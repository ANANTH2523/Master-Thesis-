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SCENARIOS" sheetId="2" state="visible" r:id="rId2"/>
    <sheet xmlns:r="http://schemas.openxmlformats.org/officeDocument/2006/relationships" name="02_REFERENCE" sheetId="3" state="visible" r:id="rId3"/>
    <sheet xmlns:r="http://schemas.openxmlformats.org/officeDocument/2006/relationships" name="03_RAW_FINDINGS" sheetId="4" state="visible" r:id="rId4"/>
    <sheet xmlns:r="http://schemas.openxmlformats.org/officeDocument/2006/relationships" name="04_MATCHING" sheetId="5" state="visible" r:id="rId5"/>
    <sheet xmlns:r="http://schemas.openxmlformats.org/officeDocument/2006/relationships" name="05_TP_FP_FN" sheetId="6" state="visible" r:id="rId6"/>
    <sheet xmlns:r="http://schemas.openxmlformats.org/officeDocument/2006/relationships" name="06_METRICS" sheetId="7" state="visible" r:id="rId7"/>
    <sheet xmlns:r="http://schemas.openxmlformats.org/officeDocument/2006/relationships" name="07_STRIDE" sheetId="8" state="visible" r:id="rId8"/>
    <sheet xmlns:r="http://schemas.openxmlformats.org/officeDocument/2006/relationships" name="08_GROUNDING" sheetId="9" state="visible" r:id="rId9"/>
    <sheet xmlns:r="http://schemas.openxmlformats.org/officeDocument/2006/relationships" name="09_UNIQUENESS_REDUNDANCY" sheetId="10" state="visible" r:id="rId10"/>
    <sheet xmlns:r="http://schemas.openxmlformats.org/officeDocument/2006/relationships" name="10_SEVERITY" sheetId="11" state="visible" r:id="rId11"/>
    <sheet xmlns:r="http://schemas.openxmlformats.org/officeDocument/2006/relationships" name="11_LLM_ANALYSIS" sheetId="12" state="visible" r:id="rId12"/>
    <sheet xmlns:r="http://schemas.openxmlformats.org/officeDocument/2006/relationships" name="12_FEATURES_MCDM" sheetId="13" state="visible" r:id="rId13"/>
    <sheet xmlns:r="http://schemas.openxmlformats.org/officeDocument/2006/relationships" name="13_STATISTICS" sheetId="14" state="visible" r:id="rId14"/>
    <sheet xmlns:r="http://schemas.openxmlformats.org/officeDocument/2006/relationships" name="14_THESIS_TABLES" sheetId="15" state="visible" r:id="rId15"/>
    <sheet xmlns:r="http://schemas.openxmlformats.org/officeDocument/2006/relationships" name="15_DATA_QUALITY" sheetId="16" state="visible" r:id="rId16"/>
    <sheet xmlns:r="http://schemas.openxmlformats.org/officeDocument/2006/relationships" name="16_CHANGE_LOG" sheetId="17" state="visible" r:id="rId17"/>
    <sheet xmlns:r="http://schemas.openxmlformats.org/officeDocument/2006/relationships" name="DASHBOARD" sheetId="18" state="visible" r:id="rId18"/>
    <sheet xmlns:r="http://schemas.openxmlformats.org/officeDocument/2006/relationships" name="17_DOCUMENTATION" sheetId="19" state="visible" r:id="rId19"/>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7">
    <font>
      <name val="Calibri"/>
      <family val="2"/>
      <color theme="1"/>
      <sz val="11"/>
      <scheme val="minor"/>
    </font>
    <font>
      <b val="1"/>
      <color rgb="001F3864"/>
      <sz val="14"/>
    </font>
    <font>
      <i val="1"/>
      <color rgb="00808080"/>
      <sz val="9"/>
    </font>
    <font>
      <b val="1"/>
      <sz val="10"/>
    </font>
    <font>
      <b val="1"/>
      <color rgb="00FFFFFF"/>
      <sz val="10"/>
    </font>
    <font>
      <b val="1"/>
    </font>
    <font>
      <b val="1"/>
      <color rgb="001F3864"/>
      <sz val="11"/>
    </font>
  </fonts>
  <fills count="8">
    <fill>
      <patternFill/>
    </fill>
    <fill>
      <patternFill patternType="gray125"/>
    </fill>
    <fill>
      <patternFill patternType="solid">
        <fgColor rgb="001F3864"/>
      </patternFill>
    </fill>
    <fill>
      <patternFill patternType="solid">
        <fgColor rgb="00E2EFDA"/>
      </patternFill>
    </fill>
    <fill>
      <patternFill patternType="solid">
        <fgColor rgb="00DDEBF7"/>
      </patternFill>
    </fill>
    <fill>
      <patternFill patternType="solid">
        <fgColor rgb="00FFF2CC"/>
      </patternFill>
    </fill>
    <fill>
      <patternFill patternType="solid">
        <fgColor rgb="00FFEB9C"/>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horizontal="left" vertical="top" wrapText="1"/>
    </xf>
    <xf numFmtId="0" fontId="4" fillId="2" borderId="1" applyAlignment="1" pivotButton="0" quotePrefix="0" xfId="0">
      <alignment horizontal="center" vertical="center" wrapText="1"/>
    </xf>
    <xf numFmtId="0" fontId="0" fillId="0" borderId="1" pivotButton="0" quotePrefix="0" xfId="0"/>
    <xf numFmtId="0" fontId="5" fillId="0" borderId="1" pivotButton="0" quotePrefix="0" xfId="0"/>
    <xf numFmtId="0" fontId="0" fillId="0" borderId="1" applyAlignment="1" pivotButton="0" quotePrefix="0" xfId="0">
      <alignment vertical="top" wrapText="1"/>
    </xf>
    <xf numFmtId="0" fontId="0" fillId="0" borderId="4" pivotButton="0" quotePrefix="0" xfId="0"/>
    <xf numFmtId="0" fontId="0" fillId="0" borderId="5" pivotButton="0" quotePrefix="0" xfId="0"/>
    <xf numFmtId="0" fontId="2" fillId="3" borderId="1" pivotButton="0" quotePrefix="0" xfId="0"/>
    <xf numFmtId="0" fontId="0" fillId="3" borderId="1" pivotButton="0" quotePrefix="0" xfId="0"/>
    <xf numFmtId="0" fontId="0" fillId="3" borderId="1" applyAlignment="1" pivotButton="0" quotePrefix="0" xfId="0">
      <alignment vertical="top" wrapText="1"/>
    </xf>
    <xf numFmtId="0" fontId="4" fillId="3" borderId="1" applyAlignment="1" pivotButton="0" quotePrefix="0" xfId="0">
      <alignment horizontal="center" vertical="center" wrapText="1"/>
    </xf>
    <xf numFmtId="0" fontId="4" fillId="3" borderId="1" applyAlignment="1" pivotButton="0" quotePrefix="0" xfId="0">
      <alignment vertical="top" wrapText="1"/>
    </xf>
    <xf numFmtId="0" fontId="2" fillId="4" borderId="1" pivotButton="0" quotePrefix="0" xfId="0"/>
    <xf numFmtId="0" fontId="0" fillId="4" borderId="1" pivotButton="0" quotePrefix="0" xfId="0"/>
    <xf numFmtId="0" fontId="0" fillId="4" borderId="1" applyAlignment="1" pivotButton="0" quotePrefix="0" xfId="0">
      <alignment vertical="top" wrapText="1"/>
    </xf>
    <xf numFmtId="0" fontId="4" fillId="4" borderId="1" applyAlignment="1" pivotButton="0" quotePrefix="0" xfId="0">
      <alignment horizontal="center" vertical="center" wrapText="1"/>
    </xf>
    <xf numFmtId="0" fontId="4" fillId="4" borderId="1" applyAlignment="1" pivotButton="0" quotePrefix="0" xfId="0">
      <alignment vertical="top" wrapText="1"/>
    </xf>
    <xf numFmtId="0" fontId="2" fillId="0" borderId="1" pivotButton="0" quotePrefix="0" xfId="0"/>
    <xf numFmtId="0" fontId="0" fillId="5" borderId="1" pivotButton="0" quotePrefix="0" xfId="0"/>
    <xf numFmtId="0" fontId="0" fillId="5" borderId="1" applyAlignment="1" pivotButton="0" quotePrefix="0" xfId="0">
      <alignment vertical="top" wrapText="1"/>
    </xf>
    <xf numFmtId="0" fontId="4" fillId="5" borderId="1" applyAlignment="1" pivotButton="0" quotePrefix="0" xfId="0">
      <alignment horizontal="center" vertical="center" wrapText="1"/>
    </xf>
    <xf numFmtId="0" fontId="4" fillId="5" borderId="1" applyAlignment="1" pivotButton="0" quotePrefix="0" xfId="0">
      <alignment vertical="top" wrapText="1"/>
    </xf>
    <xf numFmtId="164" fontId="0" fillId="0" borderId="1" pivotButton="0" quotePrefix="0" xfId="0"/>
    <xf numFmtId="165" fontId="0" fillId="0" borderId="1" pivotButton="0" quotePrefix="0" xfId="0"/>
    <xf numFmtId="164" fontId="5" fillId="0" borderId="1" pivotButton="0" quotePrefix="0" xfId="0"/>
    <xf numFmtId="165" fontId="5" fillId="0" borderId="1" pivotButton="0" quotePrefix="0" xfId="0"/>
    <xf numFmtId="0" fontId="6" fillId="0" borderId="1" pivotButton="0" quotePrefix="0" xfId="0"/>
    <xf numFmtId="0" fontId="0" fillId="6" borderId="1" pivotButton="0" quotePrefix="0" xfId="0"/>
    <xf numFmtId="0" fontId="0" fillId="7" borderId="1" pivotButton="0" quotePrefix="0" xfId="0"/>
    <xf numFmtId="0" fontId="4" fillId="2" borderId="1" pivotButton="0" quotePrefix="0" xfId="0"/>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outlineLevelCol="0"/>
  <cols>
    <col width="130" customWidth="1" min="1" max="1"/>
  </cols>
  <sheetData>
    <row r="1">
      <c r="A1" s="1" t="inlineStr">
        <is>
          <t>FINAL Master Workbook — LLM-Assisted Threat Modeling Evaluation (CORRECTED)</t>
        </is>
      </c>
    </row>
    <row r="2">
      <c r="A2" s="2" t="inlineStr">
        <is>
          <t>Single source of truth for quantitative thesis results. All derived values are live Excel formulas; nothing derived is hard-coded.</t>
        </is>
      </c>
    </row>
    <row r="4" ht="38" customHeight="1">
      <c r="A4" s="3" t="inlineStr">
        <is>
          <t>PURPOSE: This workbook is the audited, corrected version of the master evaluation workbook. It has been rebuilt from the authoritative source artifacts so that every final metric is traceable back through the calculation sheet -&gt; TP/FP/FN -&gt; per-finding mapping -&gt; generated finding -&gt; original source, and every Recall value is traceable to the expert reference baseline.</t>
        </is>
      </c>
    </row>
    <row r="5" ht="38" customHeight="1">
      <c r="A5" s="3" t="inlineStr">
        <is>
          <t>AUDIT AUTHORITY (important): 1) Expert reference baselines (Scenario{1,2,3}_Expert_Reference_Baseline_FINAL.csv) are treated as the authoritative comparison baseline (NOT as infallible truth). 2) matching.csv is treated as the authoritative per-finding matching decision record (one row per generated finding). 3) The previously-exported PDF workbook displayed a TP/FP/Duplicate set that does NOT match matching.csv; this discrepancy is flagged in 15_DATA_QUALITY and Section A/C of the audit report.</t>
        </is>
      </c>
    </row>
    <row r="6" ht="38" customHeight="1">
      <c r="A6" s="3" t="inlineStr">
        <is>
          <t>AUDIT ASSUMPTIONS: (a) One-to-one rule implemented: within each Approach x Scenario a reference threat contributes exactly one Primary TP; additional equivalent findings are Duplicates. (b) Recall = Primary TP / Reference threats; Duplicates do NOT add recall. (c) Precision follows the stated formula TP/(TP+FP) using Primary TP; a supplementary "per-finding precision incl. duplicates" is also shown. (d) Metrics that the source data cannot support are reported as N/A and FLAGGED, never fabricated.</t>
        </is>
      </c>
    </row>
    <row r="7" ht="38" customHeight="1">
      <c r="A7" s="3" t="inlineStr">
        <is>
          <t>MISSING DATA (flagged N/A): (1) Per-finding GROUNDING annotation - not provided -&gt; 08_GROUNDING = N/A. (2) Approach FEATURE/FUNCTIONALITY matrix - documentation not provided -&gt; all cells "Unknown", feature completeness &amp; MCDM composite = N/A. (3) Per-finding STRIDE classification for False-Positive findings - not provided -&gt; STRIDE precision/FP/Generated = N/A (STRIDE recall computed at reference level). (4) No SUS/usability study - no SUS scores computed.</t>
        </is>
      </c>
    </row>
    <row r="8" ht="38" customHeight="1">
      <c r="A8" s="3" t="inlineStr">
        <is>
          <t>TERMINOLOGY: OWASP = OWASP Threat Dragon; TMT = Microsoft Threat Modeling Tool; CHATGPT = ChatGPT; OLLAMA = Ollama (local LLM); THREMOLIA = ThreMoLIA.</t>
        </is>
      </c>
    </row>
    <row r="9" ht="38" customHeight="1">
      <c r="A9" s="3" t="inlineStr">
        <is>
          <t>COLOUR KEY: BLUE = raw generated data (verbatim). GREEN = validated reference baseline. YELLOW = manual matching/mapping coding. RED = failed check. GREY = fixed parameters/metadata.</t>
        </is>
      </c>
    </row>
    <row r="10" ht="38" customHeight="1">
      <c r="A10" s="3" t="inlineStr">
        <is>
          <t>STATISTICAL CAVEAT: There are only three scenarios (n=3). The 1,025 generated findings are NOT treated as independent statistical observations; scenario-level descriptive statistics are the primary analysis. No inferential tests were performed.</t>
        </is>
      </c>
    </row>
    <row r="11" ht="38" customHeight="1">
      <c r="A11" s="3" t="inlineStr">
        <is>
          <t>METHODOLOGICAL RULES: See 15_DATA_QUALITY, 16_CHANGE_LOG and this README. Rules: one-to-one rule; semantic (not keyword) matching; Precision=TP/(TP+FP); Recall=TP/Reference; FN=Reference-TP; F1 harmonic; no accuracy/TN; grounding separate from correctness; severity only from baseline; MCDM = decision-support synthesis (30/30/20/20), not a statistical metric.</t>
        </is>
      </c>
    </row>
    <row r="12" ht="38" customHeight="1">
      <c r="A12" s="3" t="inlineStr">
        <is>
          <t>DISCLAIMER: The workbook is not claimed to be perfect. Unresolved items are listed in 15_DATA_QUALITY and in the accompanying audit report (AUDIT_REPORT.md).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outlineLevelCol="0"/>
  <cols>
    <col width="14" customWidth="1" min="1" max="1"/>
    <col width="60" customWidth="1" min="2" max="2"/>
    <col width="14" customWidth="1" min="3" max="3"/>
    <col width="16" customWidth="1" min="4" max="4"/>
    <col width="16" customWidth="1" min="5" max="5"/>
    <col width="16" customWidth="1" min="6" max="6"/>
    <col width="16" customWidth="1" min="7" max="7"/>
  </cols>
  <sheetData>
    <row r="1">
      <c r="A1" s="1" t="inlineStr">
        <is>
          <t>Scenario Architecture and Volume Overview</t>
        </is>
      </c>
    </row>
    <row r="2">
      <c r="A2" s="2" t="inlineStr">
        <is>
          <t>All counts are formulas over 02_REFERENCE / 03_RAW_FINDINGS / 04_MATCHING.</t>
        </is>
      </c>
    </row>
    <row r="4">
      <c r="A4" s="4" t="inlineStr">
        <is>
          <t>Scenario</t>
        </is>
      </c>
      <c r="B4" s="4" t="inlineStr">
        <is>
          <t>Scenario Name</t>
        </is>
      </c>
      <c r="C4" s="4" t="inlineStr">
        <is>
          <t>Reference threats</t>
        </is>
      </c>
      <c r="D4" s="4" t="inlineStr">
        <is>
          <t>LLM-specific refs</t>
        </is>
      </c>
      <c r="E4" s="4" t="inlineStr">
        <is>
          <t>OWASP</t>
        </is>
      </c>
      <c r="F4" s="4" t="inlineStr">
        <is>
          <t>TMT</t>
        </is>
      </c>
      <c r="G4" s="4" t="inlineStr">
        <is>
          <t>CHATGPT</t>
        </is>
      </c>
      <c r="H4" s="4" t="inlineStr">
        <is>
          <t>OLLAMA</t>
        </is>
      </c>
      <c r="I4" s="4" t="inlineStr">
        <is>
          <t>THREMOLIA</t>
        </is>
      </c>
      <c r="J4" s="4" t="inlineStr">
        <is>
          <t>Total findings</t>
        </is>
      </c>
    </row>
    <row r="5">
      <c r="A5" s="5" t="inlineStr">
        <is>
          <t>S1</t>
        </is>
      </c>
      <c r="B5" s="5" t="inlineStr">
        <is>
          <t>S1 - User authentication web app with AI chatbot assistant</t>
        </is>
      </c>
      <c r="C5" s="5" t="n">
        <f>COUNTIFS('02_REFERENCE'!$B$2:$B$99,$A5,'02_REFERENCE'!$S$2:$S$99,"YES")</f>
        <v>32.0</v>
      </c>
      <c r="D5" s="5" t="n">
        <f>COUNTIFS('02_REFERENCE'!$B$2:$B$99,$A5,'02_REFERENCE'!$S$2:$S$99,"YES",'02_REFERENCE'!$Q$2:$Q$99,"Yes")</f>
        <v>13.0</v>
      </c>
      <c r="E5" s="5" t="n">
        <f>COUNTIFS('04_MATCHING'!$B$2:$B$1026,"OWASP",'04_MATCHING'!$C$2:$C$1026,$A5)</f>
        <v>38.0</v>
      </c>
      <c r="F5" s="5" t="n">
        <f>COUNTIFS('04_MATCHING'!$B$2:$B$1026,"TMT",'04_MATCHING'!$C$2:$C$1026,$A5)</f>
        <v>95.0</v>
      </c>
      <c r="G5" s="5" t="n">
        <f>COUNTIFS('04_MATCHING'!$B$2:$B$1026,"CHATGPT",'04_MATCHING'!$C$2:$C$1026,$A5)</f>
        <v>72.0</v>
      </c>
      <c r="H5" s="5" t="n">
        <f>COUNTIFS('04_MATCHING'!$B$2:$B$1026,"OLLAMA",'04_MATCHING'!$C$2:$C$1026,$A5)</f>
        <v>40.0</v>
      </c>
      <c r="I5" s="5" t="n">
        <f>COUNTIFS('04_MATCHING'!$B$2:$B$1026,"THREMOLIA",'04_MATCHING'!$C$2:$C$1026,$A5)</f>
        <v>106.0</v>
      </c>
      <c r="J5" s="5" t="n">
        <f>SUM(E5:I5)</f>
        <v>351</v>
      </c>
    </row>
    <row r="6">
      <c r="A6" s="5" t="inlineStr">
        <is>
          <t>S2</t>
        </is>
      </c>
      <c r="B6" s="5" t="inlineStr">
        <is>
          <t>S2 - Secure file management platform with AI file assistant (external LLM)</t>
        </is>
      </c>
      <c r="C6" s="5" t="n">
        <f>COUNTIFS('02_REFERENCE'!$B$2:$B$99,$A6,'02_REFERENCE'!$S$2:$S$99,"YES")</f>
        <v>33.0</v>
      </c>
      <c r="D6" s="5" t="n">
        <f>COUNTIFS('02_REFERENCE'!$B$2:$B$99,$A6,'02_REFERENCE'!$S$2:$S$99,"YES",'02_REFERENCE'!$Q$2:$Q$99,"Yes")</f>
        <v>13.0</v>
      </c>
      <c r="E6" s="5" t="n">
        <f>COUNTIFS('04_MATCHING'!$B$2:$B$1026,"OWASP",'04_MATCHING'!$C$2:$C$1026,$A6)</f>
        <v>39.0</v>
      </c>
      <c r="F6" s="5" t="n">
        <f>COUNTIFS('04_MATCHING'!$B$2:$B$1026,"TMT",'04_MATCHING'!$C$2:$C$1026,$A6)</f>
        <v>89.0</v>
      </c>
      <c r="G6" s="5" t="n">
        <f>COUNTIFS('04_MATCHING'!$B$2:$B$1026,"CHATGPT",'04_MATCHING'!$C$2:$C$1026,$A6)</f>
        <v>60.0</v>
      </c>
      <c r="H6" s="5" t="n">
        <f>COUNTIFS('04_MATCHING'!$B$2:$B$1026,"OLLAMA",'04_MATCHING'!$C$2:$C$1026,$A6)</f>
        <v>28.0</v>
      </c>
      <c r="I6" s="5" t="n">
        <f>COUNTIFS('04_MATCHING'!$B$2:$B$1026,"THREMOLIA",'04_MATCHING'!$C$2:$C$1026,$A6)</f>
        <v>105.0</v>
      </c>
      <c r="J6" s="5" t="n">
        <f>SUM(E6:I6)</f>
        <v>321</v>
      </c>
    </row>
    <row r="7">
      <c r="A7" s="5" t="inlineStr">
        <is>
          <t>S3</t>
        </is>
      </c>
      <c r="B7" s="5" t="inlineStr">
        <is>
          <t>S3 - Account recovery &amp; profile management with AI support assistant (external LLM)</t>
        </is>
      </c>
      <c r="C7" s="5" t="n">
        <f>COUNTIFS('02_REFERENCE'!$B$2:$B$99,$A7,'02_REFERENCE'!$S$2:$S$99,"YES")</f>
        <v>33.0</v>
      </c>
      <c r="D7" s="5" t="n">
        <f>COUNTIFS('02_REFERENCE'!$B$2:$B$99,$A7,'02_REFERENCE'!$S$2:$S$99,"YES",'02_REFERENCE'!$Q$2:$Q$99,"Yes")</f>
        <v>12.0</v>
      </c>
      <c r="E7" s="5" t="n">
        <f>COUNTIFS('04_MATCHING'!$B$2:$B$1026,"OWASP",'04_MATCHING'!$C$2:$C$1026,$A7)</f>
        <v>46.0</v>
      </c>
      <c r="F7" s="5" t="n">
        <f>COUNTIFS('04_MATCHING'!$B$2:$B$1026,"TMT",'04_MATCHING'!$C$2:$C$1026,$A7)</f>
        <v>117.0</v>
      </c>
      <c r="G7" s="5" t="n">
        <f>COUNTIFS('04_MATCHING'!$B$2:$B$1026,"CHATGPT",'04_MATCHING'!$C$2:$C$1026,$A7)</f>
        <v>49.0</v>
      </c>
      <c r="H7" s="5" t="n">
        <f>COUNTIFS('04_MATCHING'!$B$2:$B$1026,"OLLAMA",'04_MATCHING'!$C$2:$C$1026,$A7)</f>
        <v>24.0</v>
      </c>
      <c r="I7" s="5" t="n">
        <f>COUNTIFS('04_MATCHING'!$B$2:$B$1026,"THREMOLIA",'04_MATCHING'!$C$2:$C$1026,$A7)</f>
        <v>117.0</v>
      </c>
      <c r="J7" s="5" t="n">
        <f>SUM(E7:I7)</f>
        <v>353</v>
      </c>
    </row>
    <row r="8">
      <c r="A8" s="5" t="inlineStr">
        <is>
          <t>TOTAL</t>
        </is>
      </c>
      <c r="B8" s="5" t="inlineStr">
        <is>
          <t>Grand total (three scenarios, five approaches)</t>
        </is>
      </c>
      <c r="C8" s="6" t="n">
        <f>SUM(C5:C7)</f>
        <v>98</v>
      </c>
      <c r="D8" s="6" t="n">
        <f>SUM(D5:D7)</f>
        <v>38</v>
      </c>
      <c r="E8" s="6" t="n">
        <f>SUM(E5:E7)</f>
        <v>123</v>
      </c>
      <c r="F8" s="6" t="n">
        <f>SUM(F5:F7)</f>
        <v>301</v>
      </c>
      <c r="G8" s="6" t="n">
        <f>SUM(G5:G7)</f>
        <v>181</v>
      </c>
      <c r="H8" s="6" t="n">
        <f>SUM(H5:H7)</f>
        <v>92</v>
      </c>
      <c r="I8" s="6" t="n">
        <f>SUM(I5:I7)</f>
        <v>328</v>
      </c>
      <c r="J8" s="6" t="n">
        <f>SUM(J5:J7)</f>
        <v>1025</v>
      </c>
    </row>
    <row r="10">
      <c r="A10" s="6" t="inlineStr">
        <is>
          <t>Architecture note</t>
        </is>
      </c>
    </row>
    <row r="11" ht="45" customHeight="1">
      <c r="A11" s="7" t="inlineStr">
        <is>
          <t>TMT and ThreMoLIA model the architectures with different element/flow identifiers (TMT decomposes services; ThreMoLIA uses its own DF/SF numbering). Matching (04) is semantic, never identifier-based. Each scenario's reference baseline is frozen as provided.</t>
        </is>
      </c>
      <c r="B11" s="8" t="n"/>
      <c r="C11" s="8" t="n"/>
      <c r="D11" s="8" t="n"/>
      <c r="E11" s="8" t="n"/>
      <c r="F11" s="8" t="n"/>
      <c r="G11" s="8" t="n"/>
      <c r="H11" s="8" t="n"/>
      <c r="I11" s="8" t="n"/>
      <c r="J11" s="9" t="n"/>
    </row>
  </sheetData>
  <mergeCells count="1">
    <mergeCell ref="A11:J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99"/>
  <sheetViews>
    <sheetView workbookViewId="0">
      <selection activeCell="A1" sqref="A1"/>
    </sheetView>
  </sheetViews>
  <sheetFormatPr baseColWidth="8" defaultRowHeight="15" outlineLevelCol="0"/>
  <cols>
    <col width="15" customWidth="1" min="1" max="1"/>
    <col width="9" customWidth="1" min="2" max="2"/>
    <col width="34" customWidth="1" min="3" max="3"/>
    <col width="16" customWidth="1" min="4" max="4"/>
    <col width="14" customWidth="1" min="5" max="5"/>
    <col width="30" customWidth="1" min="6" max="6"/>
    <col width="16" customWidth="1" min="7" max="7"/>
    <col width="14" customWidth="1" min="8" max="8"/>
    <col width="28" customWidth="1" min="9" max="9"/>
    <col width="40" customWidth="1" min="10" max="10"/>
    <col width="40" customWidth="1" min="11" max="11"/>
    <col width="36" customWidth="1" min="12" max="12"/>
    <col width="44" customWidth="1" min="13" max="13"/>
    <col width="44" customWidth="1" min="14" max="14"/>
    <col width="9" customWidth="1" min="15" max="15"/>
    <col width="10" customWidth="1" min="16" max="16"/>
    <col width="12" customWidth="1" min="17" max="17"/>
    <col width="11" customWidth="1" min="18" max="18"/>
    <col width="12" customWidth="1" min="19" max="19"/>
  </cols>
  <sheetData>
    <row r="1">
      <c r="A1" s="1" t="inlineStr">
        <is>
          <t>Expert Reference Baseline (98 threats)</t>
        </is>
      </c>
    </row>
    <row r="2" ht="52" customHeight="1">
      <c r="A2" s="10" t="inlineStr">
        <is>
          <t>S1-RT-001</t>
        </is>
      </c>
      <c r="B2" s="11" t="inlineStr">
        <is>
          <t>S1</t>
        </is>
      </c>
      <c r="C2" s="11" t="inlineStr">
        <is>
          <t>Online brute-force password guessing</t>
        </is>
      </c>
      <c r="D2" s="11" t="inlineStr">
        <is>
          <t>Spoofing</t>
        </is>
      </c>
      <c r="E2" s="11" t="inlineStr">
        <is>
          <t>Authentication</t>
        </is>
      </c>
      <c r="F2" s="12" t="inlineStr">
        <is>
          <t>P2 Authentication Service (reached via P1 Web Frontend)</t>
        </is>
      </c>
      <c r="G2" s="12" t="inlineStr">
        <is>
          <t>DF1, DF2, DF3</t>
        </is>
      </c>
      <c r="H2" s="12" t="inlineStr">
        <is>
          <t>TB1</t>
        </is>
      </c>
      <c r="I2" s="12" t="inlineStr">
        <is>
          <t>User credentials; authentication decision</t>
        </is>
      </c>
      <c r="J2" s="12" t="inlineStr">
        <is>
          <t>Unbounded automated password guessing against the credential verification path: the attacker iterates candidate passwords for a known username until the verification result on DF4 indicates success; anti-automation is not specified by the architecture anywhere between the DF1 entry point and the DF3 verification cycle.</t>
        </is>
      </c>
      <c r="K2" s="12" t="inlineStr">
        <is>
          <t>An attacker obtains a valid username through enumeration (S1-RT-003), then scripts repeated login submissions on DF1, each carrying the same username with the next candidate password. P1 forwards every attempt on DF2, P2 executes a DF3 verification against DS1 for each, and no element in the drawn architecture limits attempt count or frequency. On the first successful verification the attacker receives a session token via DF6 and holds the account.</t>
        </is>
      </c>
      <c r="L2" s="12" t="inlineStr">
        <is>
          <t>Account takeover: one guessed password yields a valid session token on DF6, because the architecture specifies credential verification as the sole authentication factor and no second factor or step-up mechanism is drawn anywhere.</t>
        </is>
      </c>
      <c r="M2" s="12" t="inlineStr">
        <is>
          <t>P2 is the sole authentication decision authority (stated assumption A1) and is anonymously reachable because DF1 crosses TB1 from the untrusted End User environment. The DF2 to DF3 verification cycle is unbounded in the drawn architecture: no anti-automation or attempt-limiting element is specified on any flow. OWASP A07 places anti-automation at exactly this point.</t>
        </is>
      </c>
      <c r="N2" s="12" t="inlineStr">
        <is>
          <t>Final audit: retained. Architecture-grounded (DF1, DF2, DF3, TB1, A1); distinct from S1-RT-002, which is breadth-first replay of breached pairs rather than depth-first guessing; objectively matchable by attack pattern. Primary STRIDE is Spoofing: the attacker presents a credential they do not own in order to be recognised as the account owner. Control-gap phrasing applied per rule 7: anti-automation is described as not specified, not as definitely absent. Evaluation note: if lockout-style anti-automation is implemented, it admits its own denial-of-access abuse vector, which is documented in the audit summary rather than retained as a separate architecture-level threat.</t>
        </is>
      </c>
      <c r="O2" s="11" t="inlineStr">
        <is>
          <t>High</t>
        </is>
      </c>
      <c r="P2" s="11" t="inlineStr">
        <is>
          <t>High</t>
        </is>
      </c>
      <c r="Q2" s="11" t="inlineStr">
        <is>
          <t>No</t>
        </is>
      </c>
      <c r="R2" s="11" t="inlineStr">
        <is>
          <t>High</t>
        </is>
      </c>
      <c r="S2" s="11" t="inlineStr">
        <is>
          <t>YES</t>
        </is>
      </c>
    </row>
    <row r="3" ht="52" customHeight="1">
      <c r="A3" s="11" t="inlineStr">
        <is>
          <t>S1-RT-002</t>
        </is>
      </c>
      <c r="B3" s="11" t="inlineStr">
        <is>
          <t>S1</t>
        </is>
      </c>
      <c r="C3" s="11" t="inlineStr">
        <is>
          <t>Credential stuffing using breached credential corpora</t>
        </is>
      </c>
      <c r="D3" s="11" t="inlineStr">
        <is>
          <t>Spoofing</t>
        </is>
      </c>
      <c r="E3" s="11" t="inlineStr">
        <is>
          <t>Authentication</t>
        </is>
      </c>
      <c r="F3" s="12" t="inlineStr">
        <is>
          <t>P2 Authentication Service</t>
        </is>
      </c>
      <c r="G3" s="12" t="inlineStr">
        <is>
          <t>DF1, DF2</t>
        </is>
      </c>
      <c r="H3" s="12" t="inlineStr">
        <is>
          <t>TB1</t>
        </is>
      </c>
      <c r="I3" s="12" t="inlineStr">
        <is>
          <t>User credentials; user accounts</t>
        </is>
      </c>
      <c r="J3" s="12" t="inlineStr">
        <is>
          <t>Distributed low-rate replay of externally breached username and password pairs across many accounts and sources, producing a per-account request pattern that per-account anti-automation, where implemented at all, does not detect.</t>
        </is>
      </c>
      <c r="K3" s="12" t="inlineStr">
        <is>
          <t>The attacker loads a corpus of breached credential pairs and submits each pair exactly once per account, distributed across many sources. Every account sees at most one failed DF3 verification, so any per-account attempt limit never trips; every password the victim reuses elsewhere yields a session token on DF6 for the attacker.</t>
        </is>
      </c>
      <c r="L3" s="12" t="inlineStr">
        <is>
          <t>Mass account takeover proportional to the password-reuse rate in the user population, with a session token issued on DF6 for every successful pair.</t>
        </is>
      </c>
      <c r="M3" s="12" t="inlineStr">
        <is>
          <t>Like S1-RT-001 this exploits the anonymous reachability of DF1 across TB1 into P2, but the attack path is breadth-first across accounts rather than depth-first against one, producing a statistically different DF2 request pattern; OWASP treats stuffing and brute force as distinct techniques with distinct controls (breached-password screening versus attempt limiting).</t>
        </is>
      </c>
      <c r="N3" s="12" t="inlineStr">
        <is>
          <t>Final audit: retained. Distinct mechanism from S1-RT-001 (request pattern, detection signal and control all differ), so the pair is not merged. Primary STRIDE is Spoofing: valid credentials of the real owner are used to impersonate them. Conditional phrasing applied: the presence of any attempt-limiting control is treated as unspecified, and the mechanism is stated as the pattern such controls fail to catch.</t>
        </is>
      </c>
      <c r="O3" s="11" t="inlineStr">
        <is>
          <t>High</t>
        </is>
      </c>
      <c r="P3" s="11" t="inlineStr">
        <is>
          <t>High</t>
        </is>
      </c>
      <c r="Q3" s="11" t="inlineStr">
        <is>
          <t>No</t>
        </is>
      </c>
      <c r="R3" s="11" t="inlineStr">
        <is>
          <t>High</t>
        </is>
      </c>
      <c r="S3" s="11" t="inlineStr">
        <is>
          <t>YES</t>
        </is>
      </c>
    </row>
    <row r="4" ht="52" customHeight="1">
      <c r="A4" s="13" t="inlineStr">
        <is>
          <t>S1-RT-003</t>
        </is>
      </c>
      <c r="B4" s="13" t="inlineStr">
        <is>
          <t>S1</t>
        </is>
      </c>
      <c r="C4" s="13" t="inlineStr">
        <is>
          <t>Username and account enumeration</t>
        </is>
      </c>
      <c r="D4" s="13" t="inlineStr">
        <is>
          <t>Information Disclosure</t>
        </is>
      </c>
      <c r="E4" s="13" t="inlineStr">
        <is>
          <t>Authentication</t>
        </is>
      </c>
      <c r="F4" s="14" t="inlineStr">
        <is>
          <t>P2 Authentication Service; P1 Web Frontend</t>
        </is>
      </c>
      <c r="G4" s="14" t="inlineStr">
        <is>
          <t>DF1, DF2, DF4</t>
        </is>
      </c>
      <c r="H4" s="14" t="inlineStr">
        <is>
          <t>TB1</t>
        </is>
      </c>
      <c r="I4" s="14" t="inlineStr">
        <is>
          <t>Account existence metadata (PII)</t>
        </is>
      </c>
      <c r="J4" s="14" t="inlineStr">
        <is>
          <t>Differential response content, status or timing between existing and non-existing accounts turns the login and registration functions into an account-existence oracle whose signal crosses TB1 to the untrusted user environment.</t>
        </is>
      </c>
      <c r="K4" s="14" t="inlineStr">
        <is>
          <t>The attacker submits login attempts for candidate usernames with a fixed wrong password and compares the returned responses: an account-specific response for existing usernames versus a generic one for non-existing usernames, or a measurable timing difference carried by the DF4 result through P2 and P1, confirms which accounts exist before any guessing begins.</t>
        </is>
      </c>
      <c r="L4" s="14" t="inlineStr">
        <is>
          <t>Produces a validated target list that raises the yield of S1-RT-001 and S1-RT-002, and discloses membership information about identifiable persons.</t>
        </is>
      </c>
      <c r="M4" s="14" t="inlineStr">
        <is>
          <t>The verification outcome produced on DF4 propagates back through P2 and P1 and crosses TB1 to the untrusted user environment; response uniformity is not specified by the architecture, so differentiating responses are an architecture-level exposure rather than an implementation accident. ASVS V2.2 requires uniform authentication responses at exactly this point.</t>
        </is>
      </c>
      <c r="N4" s="14" t="inlineStr">
        <is>
          <t>Final audit: retained. An enabler rather than a direct compromise (Severity Medium) but a distinct mechanism, a design-level response oracle, separable from S1-RT-019 (diagnostic-content disclosure) by inspection method and asset. Primary STRIDE is Information Disclosure: the leaked asset is account existence metadata. No implementation assumption is required: the oracle is defined by response differentiation across a drawn boundary.</t>
        </is>
      </c>
      <c r="O4" s="13" t="inlineStr">
        <is>
          <t>Medium</t>
        </is>
      </c>
      <c r="P4" s="13" t="inlineStr">
        <is>
          <t>High</t>
        </is>
      </c>
      <c r="Q4" s="13" t="inlineStr">
        <is>
          <t>No</t>
        </is>
      </c>
      <c r="R4" s="13" t="inlineStr">
        <is>
          <t>High</t>
        </is>
      </c>
      <c r="S4" s="13" t="inlineStr">
        <is>
          <t>YES</t>
        </is>
      </c>
    </row>
    <row r="5" ht="52" customHeight="1">
      <c r="A5" s="11" t="inlineStr">
        <is>
          <t>S1-RT-004</t>
        </is>
      </c>
      <c r="B5" s="11" t="inlineStr">
        <is>
          <t>S1</t>
        </is>
      </c>
      <c r="C5" s="11" t="inlineStr">
        <is>
          <t>Authentication bypass through flawed authentication logic</t>
        </is>
      </c>
      <c r="D5" s="11" t="inlineStr">
        <is>
          <t>Spoofing</t>
        </is>
      </c>
      <c r="E5" s="11" t="inlineStr">
        <is>
          <t>Authentication</t>
        </is>
      </c>
      <c r="F5" s="12" t="inlineStr">
        <is>
          <t>P2 Authentication Service; P3 Session Management Module</t>
        </is>
      </c>
      <c r="G5" s="12" t="inlineStr">
        <is>
          <t>DF2, DF5</t>
        </is>
      </c>
      <c r="H5" s="12" t="inlineStr">
        <is>
          <t>TB1; internal P2-to-P3 transition</t>
        </is>
      </c>
      <c r="I5" s="12" t="inlineStr">
        <is>
          <t>Authentication decision; session tokens</t>
        </is>
      </c>
      <c r="J5" s="12" t="inlineStr">
        <is>
          <t>Request manipulation reaches session creation on DF5 without a successful verification result: forged or mishandled verification state passed from P2 to P3, or direct invocation of the P3 session-creation function where it is independently reachable.</t>
        </is>
      </c>
      <c r="K5" s="12" t="inlineStr">
        <is>
          <t>The attacker submits crafted login content that causes P2 to pass an incomplete or mishandled verification result to the session-creation step, or invokes P3's session-creation function directly with a chosen identity; P3 issues a token on DF6 for an arbitrary account whose credentials were never verified against DS1.</t>
        </is>
      </c>
      <c r="L5" s="12" t="inlineStr">
        <is>
          <t>Complete authentication bypass: a valid session token is issued on DF6 for an arbitrary identity without any credential ever being verified, defeating the architecture's central property that P2 alone decides authentication.</t>
        </is>
      </c>
      <c r="M5" s="12" t="inlineStr">
        <is>
          <t>Nothing in the drawn architecture forces DF5 to be preceded by a successful DF3/DF4 verification; the ordering constraint is an implementation convention rather than an enforced control, and the attacker input that drives the bypass enters across TB1 on DF1 and DF2. Stated assumption A1 makes P2 the sole authentication authority, so any path to DF5 around verification defeats a stated property with no drawn enforcement point. OWASP A04 (insecure design) applies.</t>
        </is>
      </c>
      <c r="N5" s="12" t="inlineStr">
        <is>
          <t>Final audit: retained. Primary STRIDE is Spoofing: an unverified identity is accepted as an authenticated subject, which is the essence of spoofing; elevation of privilege is the downstream consequence when privileged accounts are targeted and is retained as a secondary note here only. Implementation-specific payload examples (type-confusion values) were removed; the mechanism is stated at the level of the unenforced DF3/DF4-before-DF5 ordering, which the drawn architecture fully supports. Severity Critical: the bypass mints sessions for arbitrary identities.</t>
        </is>
      </c>
      <c r="O5" s="11" t="inlineStr">
        <is>
          <t>Critical</t>
        </is>
      </c>
      <c r="P5" s="11" t="inlineStr">
        <is>
          <t>Medium</t>
        </is>
      </c>
      <c r="Q5" s="11" t="inlineStr">
        <is>
          <t>No</t>
        </is>
      </c>
      <c r="R5" s="11" t="inlineStr">
        <is>
          <t>High</t>
        </is>
      </c>
      <c r="S5" s="11" t="inlineStr">
        <is>
          <t>YES</t>
        </is>
      </c>
    </row>
    <row r="6" ht="52" customHeight="1">
      <c r="A6" s="11" t="inlineStr">
        <is>
          <t>S1-RT-006</t>
        </is>
      </c>
      <c r="B6" s="11" t="inlineStr">
        <is>
          <t>S1</t>
        </is>
      </c>
      <c r="C6" s="11" t="inlineStr">
        <is>
          <t>Exposure of credentials in transit on the authentication paths</t>
        </is>
      </c>
      <c r="D6" s="11" t="inlineStr">
        <is>
          <t>Information Disclosure</t>
        </is>
      </c>
      <c r="E6" s="11" t="inlineStr">
        <is>
          <t>Authentication</t>
        </is>
      </c>
      <c r="F6" s="12" t="inlineStr">
        <is>
          <t>P1 Web Frontend; P2 Authentication Service</t>
        </is>
      </c>
      <c r="G6" s="12" t="inlineStr">
        <is>
          <t>DF1, DF2</t>
        </is>
      </c>
      <c r="H6" s="12" t="inlineStr">
        <is>
          <t>TB1 (external leg); internal P1-to-P2 leg</t>
        </is>
      </c>
      <c r="I6" s="12" t="inlineStr">
        <is>
          <t>User credentials</t>
        </is>
      </c>
      <c r="J6" s="12" t="inlineStr">
        <is>
          <t>Credentials in plaintext form traverse DF1 across TB1 and the internal DF2 leg, and confidentiality protection for these flows is not specified by the architecture; an actor positioned on either path reads submitted credentials.</t>
        </is>
      </c>
      <c r="K6" s="12" t="inlineStr">
        <is>
          <t>An actor positioned on the communication path between the End User and P1, or between P1 and P2, reads the username and password of every login submission traversing DF1 and DF2. Any implementation-side persistence of flow content, which the architecture does not specify, would extend the same exposure to stored artefacts and is treated as conditional.</t>
        </is>
      </c>
      <c r="L6" s="12" t="inlineStr">
        <is>
          <t>Direct exposure of plaintext passwords, enabling immediate account takeover and cross-service reuse independent of any guessing.</t>
        </is>
      </c>
      <c r="M6" s="12" t="inlineStr">
        <is>
          <t>DF1 and DF2 are the only flows in the model that carry plaintext credentials; DF1 crosses TB1 into the application; no confidentiality control for either flow is specified anywhere in the architecture, and under A6 that unspecified protection is itself the architecture-level finding. OWASP A02 applies.</t>
        </is>
      </c>
      <c r="N6" s="12" t="inlineStr">
        <is>
          <t>Final audit: retained with a technology-neutral rewrite. The first-pass wording referenced transport-security mechanisms and logging artefacts that the architecture does not specify; the mechanism is now stated purely as unprotected credential-bearing flows across drawn boundaries, with persistence-based exposure phrased conditionally (rules 1 and 7). Distinct from S1-RT-001 and S1-RT-002: credentials are captured rather than guessed. Primary STRIDE is Information Disclosure.</t>
        </is>
      </c>
      <c r="O6" s="11" t="inlineStr">
        <is>
          <t>High</t>
        </is>
      </c>
      <c r="P6" s="11" t="inlineStr">
        <is>
          <t>High</t>
        </is>
      </c>
      <c r="Q6" s="11" t="inlineStr">
        <is>
          <t>No</t>
        </is>
      </c>
      <c r="R6" s="11" t="inlineStr">
        <is>
          <t>High</t>
        </is>
      </c>
      <c r="S6" s="11" t="inlineStr">
        <is>
          <t>YES</t>
        </is>
      </c>
    </row>
    <row r="7" ht="52" customHeight="1">
      <c r="A7" s="11" t="inlineStr">
        <is>
          <t>S1-RT-008</t>
        </is>
      </c>
      <c r="B7" s="11" t="inlineStr">
        <is>
          <t>S1</t>
        </is>
      </c>
      <c r="C7" s="11" t="inlineStr">
        <is>
          <t>Injection into the credential verification exchange</t>
        </is>
      </c>
      <c r="D7" s="11" t="inlineStr">
        <is>
          <t>Tampering</t>
        </is>
      </c>
      <c r="E7" s="11" t="inlineStr">
        <is>
          <t>Authorization</t>
        </is>
      </c>
      <c r="F7" s="12" t="inlineStr">
        <is>
          <t>P2 Authentication Service; DS1 User Database</t>
        </is>
      </c>
      <c r="G7" s="12" t="inlineStr">
        <is>
          <t>DF3, DF4</t>
        </is>
      </c>
      <c r="H7" s="12" t="inlineStr">
        <is>
          <t>TB3</t>
        </is>
      </c>
      <c r="I7" s="12" t="inlineStr">
        <is>
          <t>User credentials; password hashes; authentication decision</t>
        </is>
      </c>
      <c r="J7" s="12" t="inlineStr">
        <is>
          <t>Untrusted input submitted on DF1 influences the verification request that P2 composes on DF3, altering what DS1 returns on DF4: the store result can be forced positive, or the exchange can be steered to return stored records beyond the intended lookup.</t>
        </is>
      </c>
      <c r="K7" s="12" t="inlineStr">
        <is>
          <t>The attacker submits a crafted username whose content changes the semantics of the DF3 verification request so that the DF4 response indicates success without the correct password; the same flaw is then steered to return stored credential records from DS1 instead of a single verification result.</t>
        </is>
      </c>
      <c r="L7" s="12" t="inlineStr">
        <is>
          <t>Simultaneous authentication bypass and mass disclosure of usernames and password hashes, the worst combined confidentiality and access-control outcome available in this architecture.</t>
        </is>
      </c>
      <c r="M7" s="12" t="inlineStr">
        <is>
          <t>DF3, issued by P2 against DS1, is the only flow in the model where untrusted text that entered P1 across TB1 is transformed into a request interpreted by a higher-authority component across TB3; the taint path DF1 to DF2 to DF3 contains no validation or separation element, a confused-deputy condition at the TB3 crossing. OWASP A03 applies.</t>
        </is>
      </c>
      <c r="N7" s="12" t="inlineStr">
        <is>
          <t>Final audit: retained with a technology-neutral rewrite: implementation-specific injection constructs were removed, and the mechanism is stated as untrusted influence over the DF3/DF4 verification exchange, which the drawn architecture fully supports. Matching note: a candidate threat describing injection into the session-validation lookups on SF1/SF3 matches this entry, since the taint pattern and the mitigation class are identical. Primary STRIDE is Tampering: the integrity of the verification request is violated; bypass and extraction are consequences.</t>
        </is>
      </c>
      <c r="O7" s="11" t="inlineStr">
        <is>
          <t>Critical</t>
        </is>
      </c>
      <c r="P7" s="11" t="inlineStr">
        <is>
          <t>Medium</t>
        </is>
      </c>
      <c r="Q7" s="11" t="inlineStr">
        <is>
          <t>No</t>
        </is>
      </c>
      <c r="R7" s="11" t="inlineStr">
        <is>
          <t>High</t>
        </is>
      </c>
      <c r="S7" s="11" t="inlineStr">
        <is>
          <t>YES</t>
        </is>
      </c>
    </row>
    <row r="8" ht="52" customHeight="1">
      <c r="A8" s="11" t="inlineStr">
        <is>
          <t>S1-RT-009</t>
        </is>
      </c>
      <c r="B8" s="11" t="inlineStr">
        <is>
          <t>S1</t>
        </is>
      </c>
      <c r="C8" s="11" t="inlineStr">
        <is>
          <t>Excessive database access scope across the application-to-database boundary</t>
        </is>
      </c>
      <c r="D8" s="11" t="inlineStr">
        <is>
          <t>Elevation of Privilege</t>
        </is>
      </c>
      <c r="E8" s="11" t="inlineStr">
        <is>
          <t>Authorization</t>
        </is>
      </c>
      <c r="F8" s="12" t="inlineStr">
        <is>
          <t>Application services and store layer (P2, P3, P4 interacting with DS1, DS2, DS3)</t>
        </is>
      </c>
      <c r="G8" s="12" t="inlineStr">
        <is>
          <t>DF3, DF4, SF1, SF2</t>
        </is>
      </c>
      <c r="H8" s="12" t="inlineStr">
        <is>
          <t>TB3</t>
        </is>
      </c>
      <c r="I8" s="12" t="inlineStr">
        <is>
          <t>User credentials; session tokens; LLM context repository</t>
        </is>
      </c>
      <c r="J8" s="12" t="inlineStr">
        <is>
          <t>Access scoping at the TB3 crossing is not specified by the architecture: nothing requires that each service's store access be limited to the store it legitimately uses, so a compromised or defective service can read and write stores it never requires.</t>
        </is>
      </c>
      <c r="K8" s="12" t="inlineStr">
        <is>
          <t>An attacker who compromises P4 operates with its store access; because no per-service scoping is specified, the attacker reaches DS1 and DS2, password hashes and session tokens, although P4 legitimately requires only DS3.</t>
        </is>
      </c>
      <c r="L8" s="12" t="inlineStr">
        <is>
          <t>Compromise of any one application service yields read or write access to stores it does not need, so a defect in a lower-value service exposes authentication credentials in DS1 or session tokens in DS2.</t>
        </is>
      </c>
      <c r="M8" s="12" t="inlineStr">
        <is>
          <t>TB3 exists to ensure that access to authentication and session data is subject to controlled authorisation. The model shows three distinct services crossing TB3 towards three distinct stores with disjoint legitimate needs: P2 to DS1 on DF3/DF4, P3 to DS2 on SF1, and P4 to DS3 on SF2; how access is scoped at that crossing is not specified, which is recorded as an architecture-level control gap.</t>
        </is>
      </c>
      <c r="N8" s="12" t="inlineStr">
        <is>
          <t>Final audit: retained with control-gap phrasing (rule 7): the entry states that scoping is not specified rather than claiming a specific misconfiguration. The entry makes no claim that the chatbot accesses the authentication databases: the architecture states the opposite, and access scoping is the control that keeps that stated property true under component compromise. Distinct from S1-RT-017, which addresses direct compromise of the session store itself. Primary STRIDE is Elevation of Privilege.</t>
        </is>
      </c>
      <c r="O8" s="11" t="inlineStr">
        <is>
          <t>High</t>
        </is>
      </c>
      <c r="P8" s="11" t="inlineStr">
        <is>
          <t>Medium</t>
        </is>
      </c>
      <c r="Q8" s="11" t="inlineStr">
        <is>
          <t>No</t>
        </is>
      </c>
      <c r="R8" s="11" t="inlineStr">
        <is>
          <t>High</t>
        </is>
      </c>
      <c r="S8" s="11" t="inlineStr">
        <is>
          <t>YES</t>
        </is>
      </c>
    </row>
    <row r="9" ht="52" customHeight="1">
      <c r="A9" s="11" t="inlineStr">
        <is>
          <t>S1-RT-010</t>
        </is>
      </c>
      <c r="B9" s="11" t="inlineStr">
        <is>
          <t>S1</t>
        </is>
      </c>
      <c r="C9" s="11" t="inlineStr">
        <is>
          <t>Broken object-level authorisation on account data</t>
        </is>
      </c>
      <c r="D9" s="11" t="inlineStr">
        <is>
          <t>Elevation of Privilege</t>
        </is>
      </c>
      <c r="E9" s="11" t="inlineStr">
        <is>
          <t>Authorization</t>
        </is>
      </c>
      <c r="F9" s="12" t="inlineStr">
        <is>
          <t>P2 Authentication Service; P1 Web Frontend</t>
        </is>
      </c>
      <c r="G9" s="12" t="inlineStr">
        <is>
          <t>DF2, DF3, DF4</t>
        </is>
      </c>
      <c r="H9" s="12" t="inlineStr">
        <is>
          <t>TB1; TB3</t>
        </is>
      </c>
      <c r="I9" s="12" t="inlineStr">
        <is>
          <t>Account information (PII); authentication decision</t>
        </is>
      </c>
      <c r="J9" s="12" t="inlineStr">
        <is>
          <t>An authenticated user substitutes another user's identifier in an account request, and P2 composes the DF3 request from the client-supplied identifier rather than from the identity bound to the authenticated session.</t>
        </is>
      </c>
      <c r="K9" s="12" t="inlineStr">
        <is>
          <t>After logging in normally, the attacker submits an account-information request naming a victim's identifier; P2 queries DS1 on DF3 using the supplied identifier and returns or modifies the victim's account record, because no element binds the DF3 access to the identity established at authentication.</t>
        </is>
      </c>
      <c r="L9" s="12" t="inlineStr">
        <is>
          <t>Unauthorised read or modification of other users' account information held in DS1.</t>
        </is>
      </c>
      <c r="M9" s="12" t="inlineStr">
        <is>
          <t>Identity is established when DF4 returns a successful verification result, but the drawn architecture contains no enforcement element that binds subsequent DS1 access on DF3 to that established identity; authentication and authorisation are therefore separable in this design, and a request may cross TB1 with a valid session and still address another subject's data across TB3. OWASP A01 applies.</t>
        </is>
      </c>
      <c r="N9" s="12" t="inlineStr">
        <is>
          <t>Final audit: retained. Primary STRIDE is Elevation of Privilege: the attacker accesses an object belonging to another subject; information disclosure is the consequence and is noted as secondary here only. The grounding is absence-based (no authorisation-enforcement element is drawn), which is stated as a control gap rather than a definite flaw, hence Confidence Medium. Objectively matchable: any candidate threat describing unauthorised access to another user's account record through identifier substitution matches.</t>
        </is>
      </c>
      <c r="O9" s="11" t="inlineStr">
        <is>
          <t>High</t>
        </is>
      </c>
      <c r="P9" s="11" t="inlineStr">
        <is>
          <t>High</t>
        </is>
      </c>
      <c r="Q9" s="11" t="inlineStr">
        <is>
          <t>No</t>
        </is>
      </c>
      <c r="R9" s="11" t="inlineStr">
        <is>
          <t>Medium</t>
        </is>
      </c>
      <c r="S9" s="11" t="inlineStr">
        <is>
          <t>YES</t>
        </is>
      </c>
    </row>
    <row r="10" ht="52" customHeight="1">
      <c r="A10" s="11" t="inlineStr">
        <is>
          <t>S1-RT-011</t>
        </is>
      </c>
      <c r="B10" s="11" t="inlineStr">
        <is>
          <t>S1</t>
        </is>
      </c>
      <c r="C10" s="11" t="inlineStr">
        <is>
          <t>Missing authorisation on the chatbot interface</t>
        </is>
      </c>
      <c r="D10" s="11" t="inlineStr">
        <is>
          <t>Elevation of Privilege</t>
        </is>
      </c>
      <c r="E10" s="11" t="inlineStr">
        <is>
          <t>Authorization</t>
        </is>
      </c>
      <c r="F10" s="12" t="inlineStr">
        <is>
          <t>P4 AI Chatbot Component</t>
        </is>
      </c>
      <c r="G10" s="12" t="inlineStr">
        <is>
          <t>DF7, SF3</t>
        </is>
      </c>
      <c r="H10" s="12" t="inlineStr">
        <is>
          <t>TB1</t>
        </is>
      </c>
      <c r="I10" s="12" t="inlineStr">
        <is>
          <t>LLM context; generated responses; provider quota</t>
        </is>
      </c>
      <c r="J10" s="12" t="inlineStr">
        <is>
          <t>The chatbot interface is invoked directly rather than through the user interface, without presenting a valid session token, or the SF3 validation step is absent or advisory only, so the LLM pipeline is reachable without authentication.</t>
        </is>
      </c>
      <c r="K10" s="12" t="inlineStr">
        <is>
          <t>An unauthenticated client calls the chatbot entry point directly, bypassing the web interface; P4 accepts the question on DF7, retrieves context on SF2, and P5 spends provider quota on DF9, all without a session token ever being presented or validated through SF3.</t>
        </is>
      </c>
      <c r="L10" s="12" t="inlineStr">
        <is>
          <t>Anonymous consumption of the downstream LLM pipeline, exposure of approved context and assistant behaviour to unauthenticated parties, and loss of per-user attribution for abuse.</t>
        </is>
      </c>
      <c r="M10" s="12" t="inlineStr">
        <is>
          <t>DF7 runs from the untrusted End User directly to P4 and crosses TB1 independently of the DF1-to-DF6 authentication path, so P4 does not inherit any protection established at login; SF3, the session-token validation exchange between P3 and P4, is the only authorisation element on this path, and its enforcement strength is not specified. P4's stated responsibilities include no identity check of its own.</t>
        </is>
      </c>
      <c r="N10" s="12" t="inlineStr">
        <is>
          <t>Final audit: retained. Primary STRIDE is Elevation of Privilege: the attacker uses a protected application capability without any entitlement; no identity is forged, so Spoofing is not the primary violation. Classified as not LLM-specific: the defect is a missing access-control check on an application endpoint and would exist identically if P4 served static content. Conditional phrasing applied to the SF3 enforcement strength. Objectively matchable by the unauthenticated-reachability test.</t>
        </is>
      </c>
      <c r="O10" s="11" t="inlineStr">
        <is>
          <t>High</t>
        </is>
      </c>
      <c r="P10" s="11" t="inlineStr">
        <is>
          <t>Medium</t>
        </is>
      </c>
      <c r="Q10" s="11" t="inlineStr">
        <is>
          <t>No</t>
        </is>
      </c>
      <c r="R10" s="11" t="inlineStr">
        <is>
          <t>High</t>
        </is>
      </c>
      <c r="S10" s="11" t="inlineStr">
        <is>
          <t>YES</t>
        </is>
      </c>
    </row>
    <row r="11" ht="52" customHeight="1">
      <c r="A11" s="11" t="inlineStr">
        <is>
          <t>S1-RT-012</t>
        </is>
      </c>
      <c r="B11" s="11" t="inlineStr">
        <is>
          <t>S1</t>
        </is>
      </c>
      <c r="C11" s="11" t="inlineStr">
        <is>
          <t>Cross-user context leakage between chatbot sessions</t>
        </is>
      </c>
      <c r="D11" s="11" t="inlineStr">
        <is>
          <t>Information Disclosure</t>
        </is>
      </c>
      <c r="E11" s="11" t="inlineStr">
        <is>
          <t>Authorization</t>
        </is>
      </c>
      <c r="F11" s="12" t="inlineStr">
        <is>
          <t>P4 AI Chatbot Component; P5 LLM Integration Service</t>
        </is>
      </c>
      <c r="G11" s="12" t="inlineStr">
        <is>
          <t>DF7, DF8, DF11, DF12</t>
        </is>
      </c>
      <c r="H11" s="12" t="inlineStr">
        <is>
          <t>TB1</t>
        </is>
      </c>
      <c r="I11" s="12" t="inlineStr">
        <is>
          <t>User prompts; LLM context; generated responses</t>
        </is>
      </c>
      <c r="J11" s="12" t="inlineStr">
        <is>
          <t>A shared or incorrectly keyed conversation-context buffer causes one user's prior questions or retrieved context to be incorporated into another user's prompt on DF8, or a concurrency defect causes a response on DF11 to be delivered to the wrong requester on DF12.</t>
        </is>
      </c>
      <c r="K11" s="12" t="inlineStr">
        <is>
          <t>Two users question the chatbot concurrently; a context buffer keyed incorrectly under load causes user B's assembled prompt on DF8 to include user A's earlier authentication-related questions, and the generated answer is delivered to the wrong requester on DF12 with the application's authority.</t>
        </is>
      </c>
      <c r="L11" s="12" t="inlineStr">
        <is>
          <t>Disclosure of one user's authentication-related questions and identifiers to a different user, delivered with the application's authority.</t>
        </is>
      </c>
      <c r="M11" s="12" t="inlineStr">
        <is>
          <t>P4 and P5 are single logical processes serving all users, and neither DF8 nor DF11 carries an explicit per-user key in the model; conversation context is required for coherent multi-turn answers yet is not represented as a data store in the architecture, so its isolation is not specified, and the leaked material crosses TB1 to the wrong subject on DF12.</t>
        </is>
      </c>
      <c r="N11" s="12" t="inlineStr">
        <is>
          <t>Final audit: retained. AI-specific because the leaked asset is accumulated AI context that exists only because prompts are assembled from conversational state. Distinct from S1-RT-026 (authorised aggregate interrogation, components behaving as designed) and from S1-RT-024 (egress to the provider): here the defect is internal keying or concurrency, and the isolation of the unrepresented context store is stated as an architecture-level gap. Confidence Medium for that reason.</t>
        </is>
      </c>
      <c r="O11" s="11" t="inlineStr">
        <is>
          <t>Medium</t>
        </is>
      </c>
      <c r="P11" s="11" t="inlineStr">
        <is>
          <t>Medium</t>
        </is>
      </c>
      <c r="Q11" s="11" t="inlineStr">
        <is>
          <t>Yes</t>
        </is>
      </c>
      <c r="R11" s="11" t="inlineStr">
        <is>
          <t>Medium</t>
        </is>
      </c>
      <c r="S11" s="11" t="inlineStr">
        <is>
          <t>YES</t>
        </is>
      </c>
    </row>
    <row r="12" ht="52" customHeight="1">
      <c r="A12" s="11" t="inlineStr">
        <is>
          <t>S1-RT-013</t>
        </is>
      </c>
      <c r="B12" s="11" t="inlineStr">
        <is>
          <t>S1</t>
        </is>
      </c>
      <c r="C12" s="11" t="inlineStr">
        <is>
          <t>Session fixation on the authentication flow</t>
        </is>
      </c>
      <c r="D12" s="11" t="inlineStr">
        <is>
          <t>Spoofing</t>
        </is>
      </c>
      <c r="E12" s="11" t="inlineStr">
        <is>
          <t>Session Management</t>
        </is>
      </c>
      <c r="F12" s="12" t="inlineStr">
        <is>
          <t>P1 Web Frontend Interface; P3 Session Management Module</t>
        </is>
      </c>
      <c r="G12" s="12" t="inlineStr">
        <is>
          <t>DF1, DF5, DF6, SF1</t>
        </is>
      </c>
      <c r="H12" s="12" t="inlineStr">
        <is>
          <t>TB1; TB3</t>
        </is>
      </c>
      <c r="I12" s="12" t="inlineStr">
        <is>
          <t>Session tokens; authenticated sessions</t>
        </is>
      </c>
      <c r="J12" s="12" t="inlineStr">
        <is>
          <t>Nothing in the architecture requires that the session identifier issued at the authentication transition be freshly derived: if an identifier the attacker already knows is accepted at DF5, P3 binds the victim's authenticated identity to that pre-existing value instead of generating a fresh one for DF6.</t>
        </is>
      </c>
      <c r="K12" s="12" t="inlineStr">
        <is>
          <t>The attacker supplies the victim with an authentication entry point that carries an attacker-chosen session identifier (the mechanism by which identifiers travel to the client is not specified by the architecture); the victim authenticates through it; P3 binds the authenticated identity to the known value, and from the moment login completes the attacker uses that identifier as the victim.</t>
        </is>
      </c>
      <c r="L12" s="12" t="inlineStr">
        <is>
          <t>The attacker holds a valid token for the victim's authenticated session from the moment login completes, without observing credentials, predicting a generated value, or intercepting any flow.</t>
        </is>
      </c>
      <c r="M12" s="12" t="inlineStr">
        <is>
          <t>Token generation is an explicitly stated responsibility of P3, but the drawn flow set shows creation (DF5), issuance (DF6) and persistence (SF1) without any element requiring that the issued identifier be freshly derived at the authentication transition, so acceptance of a client-influenced identifier is an uncontrolled degree of freedom; ASVS V3.2 requires regeneration at every authentication transition.</t>
        </is>
      </c>
      <c r="N12" s="12" t="inlineStr">
        <is>
          <t>Final audit: retained with a technology-neutral rewrite: client-transport mechanisms for identifiers were removed, and the acceptance of a client-influenced identifier is phrased conditionally because identifier transport is not specified (rules 1 and 7). Retained separately from S1-RT-014, S1-RT-015 and S1-RT-016 because the attacker never acquires, computes or reuses a token: the victim authenticates onto an identifier the attacker already holds, a distinct control failure with a distinct mitigation. Primary STRIDE is Spoofing.</t>
        </is>
      </c>
      <c r="O12" s="11" t="inlineStr">
        <is>
          <t>High</t>
        </is>
      </c>
      <c r="P12" s="11" t="inlineStr">
        <is>
          <t>Medium</t>
        </is>
      </c>
      <c r="Q12" s="11" t="inlineStr">
        <is>
          <t>No</t>
        </is>
      </c>
      <c r="R12" s="11" t="inlineStr">
        <is>
          <t>High</t>
        </is>
      </c>
      <c r="S12" s="11" t="inlineStr">
        <is>
          <t>YES</t>
        </is>
      </c>
    </row>
    <row r="13" ht="52" customHeight="1">
      <c r="A13" s="11" t="inlineStr">
        <is>
          <t>S1-RT-014</t>
        </is>
      </c>
      <c r="B13" s="11" t="inlineStr">
        <is>
          <t>S1</t>
        </is>
      </c>
      <c r="C13" s="11" t="inlineStr">
        <is>
          <t>Session token theft at the delivery and persistence crossings</t>
        </is>
      </c>
      <c r="D13" s="11" t="inlineStr">
        <is>
          <t>Spoofing</t>
        </is>
      </c>
      <c r="E13" s="11" t="inlineStr">
        <is>
          <t>Session Management</t>
        </is>
      </c>
      <c r="F13" s="12" t="inlineStr">
        <is>
          <t>P3 Session Management Module; P1 Web Frontend; DS2 Session Storage</t>
        </is>
      </c>
      <c r="G13" s="12" t="inlineStr">
        <is>
          <t>DF6, SF1</t>
        </is>
      </c>
      <c r="H13" s="12" t="inlineStr">
        <is>
          <t>TB1; TB3</t>
        </is>
      </c>
      <c r="I13" s="12" t="inlineStr">
        <is>
          <t>Session tokens</t>
        </is>
      </c>
      <c r="J13" s="12" t="inlineStr">
        <is>
          <t>The bearer token is exposed at its two drawn crossings: at delivery to the client environment on DF6 across TB1, where protection of the token within the client context is not specified, and at persistence to DS2 on SF1 across TB3, where store-side protection is not specified; a captured token is presented as the victim.</t>
        </is>
      </c>
      <c r="K13" s="12" t="inlineStr">
        <is>
          <t>Script executing in the victim's client environment, delivered for instance through S1-RT-033, reads the session token where it is exposed to client-side code and exfiltrates it; the attacker presents the token from their own client and operates as the victim for the remaining token lifetime.</t>
        </is>
      </c>
      <c r="L13" s="12" t="inlineStr">
        <is>
          <t>Full session hijack: the attacker acts as the victim without possessing credentials, defeating password strength and every login-time control.</t>
        </is>
      </c>
      <c r="M13" s="12" t="inlineStr">
        <is>
          <t>The session token is a bearer secret exposed at two distinct boundaries with two distinct control sets: it crosses TB1 on DF6 when delivered to the client, and TB3 on SF1 when persisted to DS2; neither crossing has a specified protection, and no element in the model protects either leg specifically.</t>
        </is>
      </c>
      <c r="N13" s="12" t="inlineStr">
        <is>
          <t>Final audit: retained with a technology-neutral rewrite: implementation-specific client-side protections were removed and replaced with the unspecified-protection phrasing for both drawn crossings (rules 1 and 7). Primary STRIDE is Spoofing: the primary violation is unauthorised use of the victim's authenticated session; the capture enabling it is information disclosure, noted as secondary. Both crossings are kept so that a partial mitigation at one boundary is not mistaken for coverage. Severity Critical: terminal node of the injection-to-takeover chain anchored by S1-RT-033.</t>
        </is>
      </c>
      <c r="O13" s="11" t="inlineStr">
        <is>
          <t>Critical</t>
        </is>
      </c>
      <c r="P13" s="11" t="inlineStr">
        <is>
          <t>Medium</t>
        </is>
      </c>
      <c r="Q13" s="11" t="inlineStr">
        <is>
          <t>No</t>
        </is>
      </c>
      <c r="R13" s="11" t="inlineStr">
        <is>
          <t>High</t>
        </is>
      </c>
      <c r="S13" s="11" t="inlineStr">
        <is>
          <t>YES</t>
        </is>
      </c>
    </row>
    <row r="14" ht="52" customHeight="1">
      <c r="A14" s="11" t="inlineStr">
        <is>
          <t>S1-RT-015</t>
        </is>
      </c>
      <c r="B14" s="11" t="inlineStr">
        <is>
          <t>S1</t>
        </is>
      </c>
      <c r="C14" s="11" t="inlineStr">
        <is>
          <t>Predictable or weakly generated session tokens</t>
        </is>
      </c>
      <c r="D14" s="11" t="inlineStr">
        <is>
          <t>Spoofing</t>
        </is>
      </c>
      <c r="E14" s="11" t="inlineStr">
        <is>
          <t>Session Management</t>
        </is>
      </c>
      <c r="F14" s="12" t="inlineStr">
        <is>
          <t>P3 Session Management Module</t>
        </is>
      </c>
      <c r="G14" s="12" t="inlineStr">
        <is>
          <t>DF6, SF1</t>
        </is>
      </c>
      <c r="H14" s="12" t="inlineStr">
        <is>
          <t>TB1</t>
        </is>
      </c>
      <c r="I14" s="12" t="inlineStr">
        <is>
          <t>Session tokens</t>
        </is>
      </c>
      <c r="J14" s="12" t="inlineStr">
        <is>
          <t>Unpredictability of the tokens that P3 generates is not a property specified by the architecture; if issued identifiers are derivable from observable values, an attacker can compute valid tokens belonging to other users from samples exposed on DF6.</t>
        </is>
      </c>
      <c r="K14" s="12" t="inlineStr">
        <is>
          <t>The attacker creates several accounts and logs into each, collecting the tokens issued on DF6; the values reveal a derivable pattern, from which the attacker computes a currently valid token for a victim and presents it directly, without any victim interaction or activity on the login path.</t>
        </is>
      </c>
      <c r="L14" s="12" t="inlineStr">
        <is>
          <t>Session hijack at scale with no victim interaction and no activity on the login path, therefore invisible to authentication monitoring.</t>
        </is>
      </c>
      <c r="M14" s="12" t="inlineStr">
        <is>
          <t>Generating session tokens is an explicitly stated responsibility of P3, so token unpredictability is a property of a named process in this architecture; the generated value is exposed on DF6 across TB1, which is what gives an attacker the samples needed to infer the generator, and the unpredictability requirement is not specified anywhere. ASVS V3.2 applies.</t>
        </is>
      </c>
      <c r="N14" s="12" t="inlineStr">
        <is>
          <t>Final audit: retained with conditional phrasing (rule 7): the entry states that unpredictability is not specified and conditions the attack on derivable identifiers, rather than asserting a weak generator. The failure is generation-side and therefore distinct from the delivery-side and storage-side exposure of S1-RT-014, with which it is not merged. Likelihood Low: strong generation is the implementation norm, but the impact scale keeps severity High and the entry evaluable.</t>
        </is>
      </c>
      <c r="O14" s="11" t="inlineStr">
        <is>
          <t>High</t>
        </is>
      </c>
      <c r="P14" s="11" t="inlineStr">
        <is>
          <t>Low</t>
        </is>
      </c>
      <c r="Q14" s="11" t="inlineStr">
        <is>
          <t>No</t>
        </is>
      </c>
      <c r="R14" s="11" t="inlineStr">
        <is>
          <t>High</t>
        </is>
      </c>
      <c r="S14" s="11" t="inlineStr">
        <is>
          <t>YES</t>
        </is>
      </c>
    </row>
    <row r="15" ht="52" customHeight="1">
      <c r="A15" s="11" t="inlineStr">
        <is>
          <t>S1-RT-016</t>
        </is>
      </c>
      <c r="B15" s="11" t="inlineStr">
        <is>
          <t>S1</t>
        </is>
      </c>
      <c r="C15" s="11" t="inlineStr">
        <is>
          <t>Token replay and absent session invalidation</t>
        </is>
      </c>
      <c r="D15" s="11" t="inlineStr">
        <is>
          <t>Spoofing</t>
        </is>
      </c>
      <c r="E15" s="11" t="inlineStr">
        <is>
          <t>Session Management</t>
        </is>
      </c>
      <c r="F15" s="12" t="inlineStr">
        <is>
          <t>P3 Session Management Module; DS2 Session Storage</t>
        </is>
      </c>
      <c r="G15" s="12" t="inlineStr">
        <is>
          <t>DF6, SF1, SF3</t>
        </is>
      </c>
      <c r="H15" s="12" t="inlineStr">
        <is>
          <t>TB1; TB3</t>
        </is>
      </c>
      <c r="I15" s="12" t="inlineStr">
        <is>
          <t>Session tokens</t>
        </is>
      </c>
      <c r="J15" s="12" t="inlineStr">
        <is>
          <t>The model contains session creation (DF5, DF6), persistence (SF1) and validation (SF3) but no flow by which a session is terminated or a DS2 record removed; token lifetime is therefore unbounded in the drawn architecture, and a token that leaves the victim's control remains usable.</t>
        </is>
      </c>
      <c r="K15" s="12" t="inlineStr">
        <is>
          <t>A token stolen through S1-RT-014 continues to work after the victim logs out (no logout or revocation flow exists in the model), after a password change, and after the attacker's presence is suspected; the DS2 record is never removed, so the hijacked session persists indefinitely.</t>
        </is>
      </c>
      <c r="L15" s="12" t="inlineStr">
        <is>
          <t>Indefinite persistence of a compromised session: logout and password change fail to evict an attacker who already holds a token.</t>
        </is>
      </c>
      <c r="M15" s="12" t="inlineStr">
        <is>
          <t>This threat is justified by an absence in the drawn architecture rather than by any element: no termination or revocation flow exists, so no element is responsible for invalidation and token lifetime is unbounded by construction; this is stated as an architecture-level gap, not as a claim about implementation behaviour.</t>
        </is>
      </c>
      <c r="N15" s="12" t="inlineStr">
        <is>
          <t>Final audit: retained. Primary STRIDE is Spoofing: the mechanism is replay of a captured authenticator, which is spoofing of the session owner; elevation of privilege is secondary. Implementation-specific token-design clauses were removed; the absence-based grounding needs no assumption beyond the drawn flow set. The fixation overlap remains correctly separated: S1-RT-013 handles pre-authentication binding, this entry handles post-issuance lifecycle. Confidence Medium: absence-based grounding.</t>
        </is>
      </c>
      <c r="O15" s="11" t="inlineStr">
        <is>
          <t>High</t>
        </is>
      </c>
      <c r="P15" s="11" t="inlineStr">
        <is>
          <t>Medium</t>
        </is>
      </c>
      <c r="Q15" s="11" t="inlineStr">
        <is>
          <t>No</t>
        </is>
      </c>
      <c r="R15" s="11" t="inlineStr">
        <is>
          <t>Medium</t>
        </is>
      </c>
      <c r="S15" s="11" t="inlineStr">
        <is>
          <t>YES</t>
        </is>
      </c>
    </row>
    <row r="16" ht="52" customHeight="1">
      <c r="A16" s="11" t="inlineStr">
        <is>
          <t>S1-RT-017</t>
        </is>
      </c>
      <c r="B16" s="11" t="inlineStr">
        <is>
          <t>S1</t>
        </is>
      </c>
      <c r="C16" s="11" t="inlineStr">
        <is>
          <t>Session storage compromise and record tampering</t>
        </is>
      </c>
      <c r="D16" s="11" t="inlineStr">
        <is>
          <t>Tampering</t>
        </is>
      </c>
      <c r="E16" s="11" t="inlineStr">
        <is>
          <t>Session Management</t>
        </is>
      </c>
      <c r="F16" s="12" t="inlineStr">
        <is>
          <t>DS2 Session Storage; P3 Session Management Module</t>
        </is>
      </c>
      <c r="G16" s="12" t="inlineStr">
        <is>
          <t>SF1</t>
        </is>
      </c>
      <c r="H16" s="12" t="inlineStr">
        <is>
          <t>TB3</t>
        </is>
      </c>
      <c r="I16" s="12" t="inlineStr">
        <is>
          <t>Session tokens; session state</t>
        </is>
      </c>
      <c r="J16" s="12" t="inlineStr">
        <is>
          <t>Protection of DS2 itself is not specified beyond the TB3 boundary; an attacker reaching the store directly can insert session records that map an attacker-held token to a victim identity, or read stored tokens in bulk.</t>
        </is>
      </c>
      <c r="K16" s="12" t="inlineStr">
        <is>
          <t>An attacker reaches DS2 directly behind TB3 and inserts a record binding a token value they control to a victim's identity; subsequent SF3 validation of that token succeeds, and the attacker operates as the victim without ever interacting with P2.</t>
        </is>
      </c>
      <c r="L16" s="12" t="inlineStr">
        <is>
          <t>Mass session hijack across the user population and forgery of authenticated sessions without any interaction with the authentication service.</t>
        </is>
      </c>
      <c r="M16" s="12" t="inlineStr">
        <is>
          <t>Applying STRIDE-per-element to DS2 yields tampering and information-disclosure cases not covered by the delivery-oriented S1-RT-014, because the attack occurs entirely behind TB3 on the SF1 path; TB3 is drawn precisely to mark the store boundary, and the store's own protection is not specified by the architecture.</t>
        </is>
      </c>
      <c r="N16" s="12" t="inlineStr">
        <is>
          <t>Final audit: retained with control-gap phrasing: the store's protection is described as unspecified rather than weak. Primary STRIDE is Tampering: the distinctive capability is forgery of stored session state. To prevent double-crediting, the bulk token-extraction leg is cross-referenced to the storage side of S1-RT-014 rather than restated, and the over-privileged-access vector is carried by S1-RT-009. Likelihood Low: requires direct store-level compromise behind TB3.</t>
        </is>
      </c>
      <c r="O16" s="11" t="inlineStr">
        <is>
          <t>High</t>
        </is>
      </c>
      <c r="P16" s="11" t="inlineStr">
        <is>
          <t>Low</t>
        </is>
      </c>
      <c r="Q16" s="11" t="inlineStr">
        <is>
          <t>No</t>
        </is>
      </c>
      <c r="R16" s="11" t="inlineStr">
        <is>
          <t>High</t>
        </is>
      </c>
      <c r="S16" s="11" t="inlineStr">
        <is>
          <t>YES</t>
        </is>
      </c>
    </row>
    <row r="17" ht="52" customHeight="1">
      <c r="A17" s="11" t="inlineStr">
        <is>
          <t>S1-RT-018</t>
        </is>
      </c>
      <c r="B17" s="11" t="inlineStr">
        <is>
          <t>S1</t>
        </is>
      </c>
      <c r="C17" s="11" t="inlineStr">
        <is>
          <t>Mass disclosure of the user database</t>
        </is>
      </c>
      <c r="D17" s="11" t="inlineStr">
        <is>
          <t>Information Disclosure</t>
        </is>
      </c>
      <c r="E17" s="11" t="inlineStr">
        <is>
          <t>Data Security</t>
        </is>
      </c>
      <c r="F17" s="12" t="inlineStr">
        <is>
          <t>DS1 User Database</t>
        </is>
      </c>
      <c r="G17" s="12" t="inlineStr">
        <is>
          <t>DF3, DF4</t>
        </is>
      </c>
      <c r="H17" s="12" t="inlineStr">
        <is>
          <t>TB3</t>
        </is>
      </c>
      <c r="I17" s="12" t="inlineStr">
        <is>
          <t>User credentials; password hashes; account information (PII)</t>
        </is>
      </c>
      <c r="J17" s="12" t="inlineStr">
        <is>
          <t>Unauthorised bulk read of DS1's contents through any available path: influence over the verification exchange through S1-RT-008, cross-store access through S1-RT-009, or direct compromise of the store, whose own protection is not specified by the architecture.</t>
        </is>
      </c>
      <c r="K17" s="12" t="inlineStr">
        <is>
          <t>Through the injection flaw of S1-RT-008 the verification exchange is steered to return stored account records; the attacker obtains usernames, salted password hashes and account information for the entire population. Password policy and hash-function configuration beyond salting are not specified; if either is weak, the disclosed records are additionally recoverable offline, which is recorded as a conditional amplifier and a control gap.</t>
        </is>
      </c>
      <c r="L17" s="12" t="inlineStr">
        <is>
          <t>Catastrophic and irreversible disclosure of the entire credential population, with statutory breach-notification obligations and cross-service reuse harm to users.</t>
        </is>
      </c>
      <c r="M17" s="12" t="inlineStr">
        <is>
          <t>DS1 is the highest-value asset in the model and sits entirely behind TB3, reachable through the DF3 and DF4 pair; STRIDE-per-element mandates an information-disclosure entry for every data store, and the store-direct compromise path of this entry is not carried by any other entry.</t>
        </is>
      </c>
      <c r="N17" s="12" t="inlineStr">
        <is>
          <t>Final audit: retained as the store-level disclosure entry. Challenged under rule 3 as potentially a mere consequence of S1-RT-008 and S1-RT-009, and retained deliberately: the asset-level consequence, the detection strategy and the regulatory obligations are properties of the store, and the store-direct path is unique to this entry. Modification: implementation-specific exposure vectors for stored copies of the database were removed as unspecified technologies, and the weak-policy/hash amplification previously carried by a separate entry is absorbed here as a conditional note and cross-listed as a control gap. Primary STRIDE is Information Disclosure.</t>
        </is>
      </c>
      <c r="O17" s="11" t="inlineStr">
        <is>
          <t>Critical</t>
        </is>
      </c>
      <c r="P17" s="11" t="inlineStr">
        <is>
          <t>Medium</t>
        </is>
      </c>
      <c r="Q17" s="11" t="inlineStr">
        <is>
          <t>No</t>
        </is>
      </c>
      <c r="R17" s="11" t="inlineStr">
        <is>
          <t>High</t>
        </is>
      </c>
      <c r="S17" s="11" t="inlineStr">
        <is>
          <t>YES</t>
        </is>
      </c>
    </row>
    <row r="18" ht="52" customHeight="1">
      <c r="A18" s="11" t="inlineStr">
        <is>
          <t>S1-RT-019</t>
        </is>
      </c>
      <c r="B18" s="11" t="inlineStr">
        <is>
          <t>S1</t>
        </is>
      </c>
      <c r="C18" s="11" t="inlineStr">
        <is>
          <t>Verbose error and diagnostic disclosure</t>
        </is>
      </c>
      <c r="D18" s="11" t="inlineStr">
        <is>
          <t>Information Disclosure</t>
        </is>
      </c>
      <c r="E18" s="11" t="inlineStr">
        <is>
          <t>Data Security</t>
        </is>
      </c>
      <c r="F18" s="12" t="inlineStr">
        <is>
          <t>P1 Web Frontend; P2 Authentication Service; P5 LLM Integration Service</t>
        </is>
      </c>
      <c r="G18" s="12" t="inlineStr">
        <is>
          <t>DF6 and DF1 response paths; DF10 and DF12 error paths</t>
        </is>
      </c>
      <c r="H18" s="12" t="inlineStr">
        <is>
          <t>TB1; TB2</t>
        </is>
      </c>
      <c r="I18" s="12" t="inlineStr">
        <is>
          <t>System configuration metadata; prompt content; internal identifiers</t>
        </is>
      </c>
      <c r="J18" s="12" t="inlineStr">
        <is>
          <t>Internal implementation detail is propagated to responses returned across TB1: diagnostic or configuration content generated in P1 or P2, and provider-side error content received by P5 on DF10, reaches the untrusted user environment, and response-content discipline is not specified by the architecture.</t>
        </is>
      </c>
      <c r="K18" s="12" t="inlineStr">
        <is>
          <t>An unhandled failure at P2 causes internal diagnostic content, including a fragment of the verification request, to be returned through P1 to the attacker; separately, a provider error body received on DF10 that embeds the submitted prompt is relayed verbatim on DF12, carrying prompt content back across TB1.</t>
        </is>
      </c>
      <c r="L18" s="12" t="inlineStr">
        <is>
          <t>Reconnaissance that materially accelerates S1-RT-004 and S1-RT-008 crafting, with occasional direct exposure of sensitive detail embedded in error content.</t>
        </is>
      </c>
      <c r="M18" s="12" t="inlineStr">
        <is>
          <t>The threat is anchored to two boundary crossings: on TB1, content generated by P1 and P2 returns to the untrusted user environment on the DF1 and DF6 response paths; on TB2, P5 receives provider error bodies on DF10, and relaying them on DF12 would carry prompt content back across TB1; no response-normalisation element is specified.</t>
        </is>
      </c>
      <c r="N18" s="12" t="inlineStr">
        <is>
          <t>Final audit: retained with a technology-neutral rewrite: implementation-specific diagnostic artefacts were generalised to internal diagnostic or configuration content. Distinct from S1-RT-003: that entry is a design-level response oracle (differential existence signalling), this one is diagnostic-content disclosure; different assets, different inspection method, different mitigation. Classified not LLM-specific: the defect is classical response discipline regardless of whether the upstream service is a language model. Primary STRIDE is Information Disclosure.</t>
        </is>
      </c>
      <c r="O18" s="11" t="inlineStr">
        <is>
          <t>Medium</t>
        </is>
      </c>
      <c r="P18" s="11" t="inlineStr">
        <is>
          <t>High</t>
        </is>
      </c>
      <c r="Q18" s="11" t="inlineStr">
        <is>
          <t>No</t>
        </is>
      </c>
      <c r="R18" s="11" t="inlineStr">
        <is>
          <t>High</t>
        </is>
      </c>
      <c r="S18" s="11" t="inlineStr">
        <is>
          <t>YES</t>
        </is>
      </c>
    </row>
    <row r="19" ht="52" customHeight="1">
      <c r="A19" s="11" t="inlineStr">
        <is>
          <t>S1-RT-020</t>
        </is>
      </c>
      <c r="B19" s="11" t="inlineStr">
        <is>
          <t>S1</t>
        </is>
      </c>
      <c r="C19" s="11" t="inlineStr">
        <is>
          <t>Exposure of the external service API credential</t>
        </is>
      </c>
      <c r="D19" s="11" t="inlineStr">
        <is>
          <t>Information Disclosure</t>
        </is>
      </c>
      <c r="E19" s="11" t="inlineStr">
        <is>
          <t>Data Security</t>
        </is>
      </c>
      <c r="F19" s="12" t="inlineStr">
        <is>
          <t>P5 LLM Integration Service</t>
        </is>
      </c>
      <c r="G19" s="12" t="inlineStr">
        <is>
          <t>DF9</t>
        </is>
      </c>
      <c r="H19" s="12" t="inlineStr">
        <is>
          <t>TB2</t>
        </is>
      </c>
      <c r="I19" s="12" t="inlineStr">
        <is>
          <t>LLM provider API credential</t>
        </is>
      </c>
      <c r="J19" s="12" t="inlineStr">
        <is>
          <t>The provider authentication material that P5 must hold to perform the DF9 crossing is exposed: its storage and handling are not specified by the architecture, and any exposure yields a secret that authenticates the application to EE2.</t>
        </is>
      </c>
      <c r="K19" s="12" t="inlineStr">
        <is>
          <t>The credential material held at P5 is exposed through an implementation artefact, whose nature the architecture does not specify; the attacker recovers it and submits prompts under the application's provider identity, consuming quota and impersonating the application toward EE2.</t>
        </is>
      </c>
      <c r="L19" s="12" t="inlineStr">
        <is>
          <t>Unbounded chargeable use of the organisation's provider account, attacker access to any provider-side data associated with the credential, and complete loss of attribution for prompts submitted under it.</t>
        </is>
      </c>
      <c r="M19" s="12" t="inlineStr">
        <is>
          <t>P5 is the single process performing the TB2 crossing on DF9, so the credential it must hold is a boundary-attached secret; the DS3 specification explicitly lists API keys among the secrets that must not reside in the context repository, establishing that an API credential exists as a system asset. OWASP A02 applies to secrets of this kind.</t>
        </is>
      </c>
      <c r="N19" s="12" t="inlineStr">
        <is>
          <t>Final audit: retained with a technology-neutral rewrite: implementation-specific exposure channels were replaced by the unspecified-storage phrasing (rules 1 and 7). The credential's existence is grounded in the DS3 exclusion note together with DF9's stated purpose of sending prompts to the external provider on the application's behalf. Primary STRIDE is Information Disclosure: the credential is the disclosed asset, and its abuse is the impact. Not LLM-specific: classical secret exposure.</t>
        </is>
      </c>
      <c r="O19" s="11" t="inlineStr">
        <is>
          <t>High</t>
        </is>
      </c>
      <c r="P19" s="11" t="inlineStr">
        <is>
          <t>Medium</t>
        </is>
      </c>
      <c r="Q19" s="11" t="inlineStr">
        <is>
          <t>No</t>
        </is>
      </c>
      <c r="R19" s="11" t="inlineStr">
        <is>
          <t>High</t>
        </is>
      </c>
      <c r="S19" s="11" t="inlineStr">
        <is>
          <t>YES</t>
        </is>
      </c>
    </row>
    <row r="20" ht="52" customHeight="1">
      <c r="A20" s="11" t="inlineStr">
        <is>
          <t>S1-RT-021</t>
        </is>
      </c>
      <c r="B20" s="11" t="inlineStr">
        <is>
          <t>S1</t>
        </is>
      </c>
      <c r="C20" s="11" t="inlineStr">
        <is>
          <t>Unspecified attribution of security-relevant actions</t>
        </is>
      </c>
      <c r="D20" s="11" t="inlineStr">
        <is>
          <t>Repudiation</t>
        </is>
      </c>
      <c r="E20" s="11" t="inlineStr">
        <is>
          <t>Data Security</t>
        </is>
      </c>
      <c r="F20" s="12" t="inlineStr">
        <is>
          <t>P2 Authentication Service; P3 Session Management Module; P4 AI Chatbot Component; P5 LLM Integration Service</t>
        </is>
      </c>
      <c r="G20" s="12" t="inlineStr">
        <is>
          <t>DF1, DF2, DF5, DF7, DF9</t>
        </is>
      </c>
      <c r="H20" s="12" t="inlineStr">
        <is>
          <t>TB1; TB2; TB3</t>
        </is>
      </c>
      <c r="I20" s="12" t="inlineStr">
        <is>
          <t>Attribution and accountability of security-relevant actions</t>
        </is>
      </c>
      <c r="J20" s="12" t="inlineStr">
        <is>
          <t>No audit or attribution mechanism is specified for the security-relevant actions of P2, P3, P4 and P5, so performed actions cannot be attributed to a subject and cannot be contradicted after the fact.</t>
        </is>
      </c>
      <c r="K20" s="12" t="inlineStr">
        <is>
          <t>An attacker completes an account takeover; when the action is later disputed, no specified mechanism can show which subject performed the involved authentication attempts, session issuances or chatbot requests, and the attacker can credibly deny having performed them.</t>
        </is>
      </c>
      <c r="L20" s="12" t="inlineStr">
        <is>
          <t>Attack campaigns proceed without attribution, incident scope cannot be reconstructed, actions cannot be bound to a subject, and disputes cannot be resolved.</t>
        </is>
      </c>
      <c r="M20" s="12" t="inlineStr">
        <is>
          <t>STRIDE assigns repudiation to every process, and the events requiring attribution are generated by P2, P3, P4 and P5 at all three boundaries: authentication attempts reaching P2 across TB1 on DF1 and DF2, data egress from P5 across TB2 on DF9, and privileged access by P2 and P3 across TB3 on DF3 and SF1; the drawn architecture contains no audit element, so attribution is not specified.</t>
        </is>
      </c>
      <c r="N20" s="12" t="inlineStr">
        <is>
          <t>Final audit: retained with strict control-gap phrasing: the entry states that attribution is not specified (rule 7) and assumes no particular logging infrastructure (rule 1); the threat is the repudiation exposure that follows from the drawn architecture itself. Primary STRIDE is Repudiation, a native single-category fit and the sole repudiation entry in the baseline. Severity Medium as an enabler whose harm materialises through the entries it shields.</t>
        </is>
      </c>
      <c r="O20" s="11" t="inlineStr">
        <is>
          <t>Medium</t>
        </is>
      </c>
      <c r="P20" s="11" t="inlineStr">
        <is>
          <t>High</t>
        </is>
      </c>
      <c r="Q20" s="11" t="inlineStr">
        <is>
          <t>No</t>
        </is>
      </c>
      <c r="R20" s="11" t="inlineStr">
        <is>
          <t>High</t>
        </is>
      </c>
      <c r="S20" s="11" t="inlineStr">
        <is>
          <t>YES</t>
        </is>
      </c>
    </row>
    <row r="21" ht="52" customHeight="1">
      <c r="A21" s="11" t="inlineStr">
        <is>
          <t>S1-RT-022</t>
        </is>
      </c>
      <c r="B21" s="11" t="inlineStr">
        <is>
          <t>S1</t>
        </is>
      </c>
      <c r="C21" s="11" t="inlineStr">
        <is>
          <t>Direct prompt injection</t>
        </is>
      </c>
      <c r="D21" s="11" t="inlineStr">
        <is>
          <t>Tampering</t>
        </is>
      </c>
      <c r="E21" s="11" t="inlineStr">
        <is>
          <t>LLM-Specific</t>
        </is>
      </c>
      <c r="F21" s="12" t="inlineStr">
        <is>
          <t>P4 AI Chatbot Component (prompt assembly); P5 LLM Integration Service; EE2 External LLM Provider</t>
        </is>
      </c>
      <c r="G21" s="12" t="inlineStr">
        <is>
          <t>DF7, DF8, DF9, DF10</t>
        </is>
      </c>
      <c r="H21" s="12" t="inlineStr">
        <is>
          <t>TB1; TB2</t>
        </is>
      </c>
      <c r="I21" s="12" t="inlineStr">
        <is>
          <t>LLM context; system instructions; generated responses</t>
        </is>
      </c>
      <c r="J21" s="12" t="inlineStr">
        <is>
          <t>User input submitted on DF7 is interpreted by the model as instruction rather than data: P4 assembles the untrusted text together with trusted system instructions and approved context into a single prompt that crosses TB2 on DF9, with no instruction-data separation anywhere in the pipeline.</t>
        </is>
      </c>
      <c r="K21" s="12" t="inlineStr">
        <is>
          <t>The user submits an instruction to disregard prior instructions and reveal the configuration; P4 concatenates it into the prompt on DF8, P5 sends it on DF9, and the model complies within its DF10 response, which P1 displays to the user on DF12 as an assistant answer.</t>
        </is>
      </c>
      <c r="L21" s="12" t="inlineStr">
        <is>
          <t>Disclosure of instructions and approved context present in the prompt window, generation of content that violates intended topic restrictions, and production of attacker-chosen text that the application presents as authoritative guidance.</t>
        </is>
      </c>
      <c r="M21" s="12" t="inlineStr">
        <is>
          <t>DF7 carries arbitrary untrusted text across TB1 into P4 (stated assumption A5: user inputs may be malicious), and the assembled prompt crosses TB2 on DF9 as one undifferentiated sequence, a confused-deputy condition at the prompt-assembly step; MITRE ATLAS records this vector as AML.T0051.000 (Direct Prompt Injection).</t>
        </is>
      </c>
      <c r="N21" s="12" t="inlineStr">
        <is>
          <t>Final audit: retained unchanged in substance. Architecture-grounded entirely in drawn flows and stated assumptions; the highest-likelihood AI-specific entry. Severity High rather than Critical because the architecture grants the model no authority: it cannot authenticate users, modify accounts or reach DS1 and DS2, so direct impact is bounded by disclosure of prompt content and manipulation of returned text; its role as the entry point for the chains through S1-RT-033 and S1-RT-034 is where the greater risk lies. Primary STRIDE is Tampering.</t>
        </is>
      </c>
      <c r="O21" s="11" t="inlineStr">
        <is>
          <t>High</t>
        </is>
      </c>
      <c r="P21" s="11" t="inlineStr">
        <is>
          <t>High</t>
        </is>
      </c>
      <c r="Q21" s="11" t="inlineStr">
        <is>
          <t>Yes</t>
        </is>
      </c>
      <c r="R21" s="11" t="inlineStr">
        <is>
          <t>High</t>
        </is>
      </c>
      <c r="S21" s="11" t="inlineStr">
        <is>
          <t>YES</t>
        </is>
      </c>
    </row>
    <row r="22" ht="52" customHeight="1">
      <c r="A22" s="11" t="inlineStr">
        <is>
          <t>S1-RT-023</t>
        </is>
      </c>
      <c r="B22" s="11" t="inlineStr">
        <is>
          <t>S1</t>
        </is>
      </c>
      <c r="C22" s="11" t="inlineStr">
        <is>
          <t>Indirect prompt injection through the context repository</t>
        </is>
      </c>
      <c r="D22" s="11" t="inlineStr">
        <is>
          <t>Tampering</t>
        </is>
      </c>
      <c r="E22" s="11" t="inlineStr">
        <is>
          <t>LLM-Specific</t>
        </is>
      </c>
      <c r="F22" s="12" t="inlineStr">
        <is>
          <t>DS3 Knowledge Base and Context Repository; P4 AI Chatbot Component</t>
        </is>
      </c>
      <c r="G22" s="12" t="inlineStr">
        <is>
          <t>SF2, DF8, DF9, DF10, DF11, DF12</t>
        </is>
      </c>
      <c r="H22" s="12" t="inlineStr">
        <is>
          <t>TB3; TB2; TB1</t>
        </is>
      </c>
      <c r="I22" s="12" t="inlineStr">
        <is>
          <t>LLM context; generated responses; integrity of published guidance</t>
        </is>
      </c>
      <c r="J22" s="12" t="inlineStr">
        <is>
          <t>An actor able to influence the content of DS3 embeds instructions inside otherwise legitimate documentation; every subsequent user whose query retrieves that document on SF2 has the embedded instruction acted upon on their behalf inside the prompt.</t>
        </is>
      </c>
      <c r="K22" s="12" t="inlineStr">
        <is>
          <t>An actor with influence over DS3 content, whether through a compromised content-author account or an unreviewed automated import, adds an instruction to a widely retrieved article directing users to verify their identity at an attacker-controlled destination; every user whose question retrieves that article receives the manipulated guidance with the application's authority.</t>
        </is>
      </c>
      <c r="L22" s="12" t="inlineStr">
        <is>
          <t>Persistent and victim-agnostic manipulation of assistant behaviour: users can be directed towards attacker-controlled destinations, prompted to disclose authentication information, or given deliberately weakened guidance.</t>
        </is>
      </c>
      <c r="M22" s="12" t="inlineStr">
        <is>
          <t>The injection point is a data store located inside TB3 rather than the user input field, so input-validation controls on DF7 do not detect it; DS3 is the only store in the model whose integrity requirement exceeds its confidentiality requirement, because its contents are retrieved on SF2 and interpreted as part of the instruction stream; the DS3 write path is not a numbered flow in the architecture, which is recorded as a precondition and control gap. MITRE ATLAS records this vector as AML.T0051.001 (Indirect Prompt Injection).</t>
        </is>
      </c>
      <c r="N22" s="12" t="inlineStr">
        <is>
          <t>Final audit: retained. Blast radius is all users, persistently, which makes this the highest-leverage AI-specific threat in the model. The write-path authorisation weakness is deliberately folded in as a precondition rather than kept separate, because it has no security consequence in this architecture except through prompt assembly. Confidence Medium because the precondition concerns an unmodelled write path, which is stated as a gap. Primary STRIDE is Tampering.</t>
        </is>
      </c>
      <c r="O22" s="11" t="inlineStr">
        <is>
          <t>High</t>
        </is>
      </c>
      <c r="P22" s="11" t="inlineStr">
        <is>
          <t>Medium</t>
        </is>
      </c>
      <c r="Q22" s="11" t="inlineStr">
        <is>
          <t>Yes</t>
        </is>
      </c>
      <c r="R22" s="11" t="inlineStr">
        <is>
          <t>Medium</t>
        </is>
      </c>
      <c r="S22" s="11" t="inlineStr">
        <is>
          <t>YES</t>
        </is>
      </c>
    </row>
    <row r="23" ht="52" customHeight="1">
      <c r="A23" s="11" t="inlineStr">
        <is>
          <t>S1-RT-024</t>
        </is>
      </c>
      <c r="B23" s="11" t="inlineStr">
        <is>
          <t>S1</t>
        </is>
      </c>
      <c r="C23" s="11" t="inlineStr">
        <is>
          <t>Sensitive information disclosure to the external LLM provider</t>
        </is>
      </c>
      <c r="D23" s="11" t="inlineStr">
        <is>
          <t>Information Disclosure</t>
        </is>
      </c>
      <c r="E23" s="11" t="inlineStr">
        <is>
          <t>Data Security</t>
        </is>
      </c>
      <c r="F23" s="12" t="inlineStr">
        <is>
          <t>P4 AI Chatbot Component (prompt assembly); P5 LLM Integration Service (egress); EE2 External LLM Provider</t>
        </is>
      </c>
      <c r="G23" s="12" t="inlineStr">
        <is>
          <t>SF2, DF8, DF9, DF12</t>
        </is>
      </c>
      <c r="H23" s="12" t="inlineStr">
        <is>
          <t>TB2; TB3</t>
        </is>
      </c>
      <c r="I23" s="12" t="inlineStr">
        <is>
          <t>User prompts; LLM context; account identifiers; prohibited material (passwords, password hashes, session tokens, secrets)</t>
        </is>
      </c>
      <c r="J23" s="12" t="inlineStr">
        <is>
          <t>Prompt assembly at P4 sends more than the sanitised prompt the specification permits: design-time over-inclusion of identifiers or account state, unscoped retrieval on SF2 pulling internal material from DS3, user-pasted credentials on DF7 forwarded verbatim, and prohibited material such as session tokens carried into the prompt through the validation and context paths.</t>
        </is>
      </c>
      <c r="K23" s="12" t="inlineStr">
        <is>
          <t>A user pastes their password into the chat while asking for help, or a session token presented towards validation is captured into context at P4 and attached to the next prompt; the material crosses TB2 on DF9 to EE2, leaves the application's security control, and cannot be retracted.</t>
        </is>
      </c>
      <c r="L23" s="12" t="inlineStr">
        <is>
          <t>Irreversible disclosure of context, personal data and prohibited material to a third party whose handling practices are outside the organisation's audit scope, directly violating the specification's egress prohibition.</t>
        </is>
      </c>
      <c r="M23" s="12" t="inlineStr">
        <is>
          <t>TB2 exists precisely because prompts and contextual information leave the application's security control, and the specification states that only sanitised prompts and authorisation-approved context may be sent to EE2, explicitly prohibiting passwords, password hashes, session tokens and secrets; this entry tests exactly that stated property, and no minimisation or allow-listing element is drawn between context assembly and DF9.</t>
        </is>
      </c>
      <c r="N23" s="12" t="inlineStr">
        <is>
          <t>Final audit: retained, including the first-pass extension: the egress of explicitly prohibited material, in particular session tokens and password hashes carried through the validation and context paths, is an explicit part of the mechanism because the specification names these prohibitions and no other entry tests them. The SF2 scope-control failure remains folded here (same asset, same boundary, same mitigation). Primary STRIDE is Information Disclosure. It is the only confidentiality loss in the model with no application-side remedy after the fact.</t>
        </is>
      </c>
      <c r="O23" s="11" t="inlineStr">
        <is>
          <t>High</t>
        </is>
      </c>
      <c r="P23" s="11" t="inlineStr">
        <is>
          <t>High</t>
        </is>
      </c>
      <c r="Q23" s="11" t="inlineStr">
        <is>
          <t>Yes</t>
        </is>
      </c>
      <c r="R23" s="11" t="inlineStr">
        <is>
          <t>High</t>
        </is>
      </c>
      <c r="S23" s="11" t="inlineStr">
        <is>
          <t>YES</t>
        </is>
      </c>
    </row>
    <row r="24" ht="52" customHeight="1">
      <c r="A24" s="11" t="inlineStr">
        <is>
          <t>S1-RT-025</t>
        </is>
      </c>
      <c r="B24" s="11" t="inlineStr">
        <is>
          <t>S1</t>
        </is>
      </c>
      <c r="C24" s="11" t="inlineStr">
        <is>
          <t>System prompt and instruction extraction</t>
        </is>
      </c>
      <c r="D24" s="11" t="inlineStr">
        <is>
          <t>Information Disclosure</t>
        </is>
      </c>
      <c r="E24" s="11" t="inlineStr">
        <is>
          <t>LLM-Specific</t>
        </is>
      </c>
      <c r="F24" s="12" t="inlineStr">
        <is>
          <t>P4 AI Chatbot Component; EE2 External LLM Provider</t>
        </is>
      </c>
      <c r="G24" s="12" t="inlineStr">
        <is>
          <t>DF7, DF8, DF10, DF12</t>
        </is>
      </c>
      <c r="H24" s="12" t="inlineStr">
        <is>
          <t>TB1; TB2</t>
        </is>
      </c>
      <c r="I24" s="12" t="inlineStr">
        <is>
          <t>System instructions; guardrail configuration</t>
        </is>
      </c>
      <c r="J24" s="12" t="inlineStr">
        <is>
          <t>Iterative elicitation causes the instruction preamble that travels with every prompt to be reproduced in responses: verbatim repetition requests, configuration summaries, and translation or rephrasing variants.</t>
        </is>
      </c>
      <c r="K24" s="12" t="inlineStr">
        <is>
          <t>Over several turns the attacker requests verbatim repetition of preceding text and rephrasing variants until the guardrail preamble appears in a DF10 response and reaches the user on DF12, revealing the assistant's instructions and any configuration embedded in them.</t>
        </is>
      </c>
      <c r="L24" s="12" t="inlineStr">
        <is>
          <t>Reveals the guardrail logic and therefore the means to bypass it, enabling more reliable exploitation of S1-RT-022, and may expose internal procedures, model details or business rules embedded in the preamble.</t>
        </is>
      </c>
      <c r="M24" s="12" t="inlineStr">
        <is>
          <t>The extraction request enters P4 on DF7 across TB1, is incorporated into the prompt that crosses TB2 on DF9, and the disclosed instruction text returns on DF10 and DF12; extraction requires conversation only, no component compromise. MITRE ATLAS catalogues this technique as AML.T0056 (LLM Meta Prompt Extraction).</t>
        </is>
      </c>
      <c r="N24" s="12" t="inlineStr">
        <is>
          <t>Final audit: retained. Retained separately from S1-RT-022 because the asset and the mitigation differ: the countermeasure is to treat the prompt as public, remove sensitive material from it and enforce controls outside the model, rather than to filter input; retaining it separately also prevents a candidate model that states only prompt injection from being credited with this distinct outcome. Primary STRIDE is Information Disclosure. Severity Medium: informational loss that primarily enables other entries. No implementation assumption is involved.</t>
        </is>
      </c>
      <c r="O24" s="11" t="inlineStr">
        <is>
          <t>Medium</t>
        </is>
      </c>
      <c r="P24" s="11" t="inlineStr">
        <is>
          <t>High</t>
        </is>
      </c>
      <c r="Q24" s="11" t="inlineStr">
        <is>
          <t>Yes</t>
        </is>
      </c>
      <c r="R24" s="11" t="inlineStr">
        <is>
          <t>High</t>
        </is>
      </c>
      <c r="S24" s="11" t="inlineStr">
        <is>
          <t>YES</t>
        </is>
      </c>
    </row>
    <row r="25" ht="52" customHeight="1">
      <c r="A25" s="11" t="inlineStr">
        <is>
          <t>S1-RT-026</t>
        </is>
      </c>
      <c r="B25" s="11" t="inlineStr">
        <is>
          <t>S1</t>
        </is>
      </c>
      <c r="C25" s="11" t="inlineStr">
        <is>
          <t>Disclosure of knowledge-base and context content through the assistant</t>
        </is>
      </c>
      <c r="D25" s="11" t="inlineStr">
        <is>
          <t>Information Disclosure</t>
        </is>
      </c>
      <c r="E25" s="11" t="inlineStr">
        <is>
          <t>LLM-Specific</t>
        </is>
      </c>
      <c r="F25" s="12" t="inlineStr">
        <is>
          <t>P4 AI Chatbot Component; DS3 Knowledge Base and Context Repository; EE2 External LLM Provider</t>
        </is>
      </c>
      <c r="G25" s="12" t="inlineStr">
        <is>
          <t>SF2, DF8, DF9, DF10, DF12</t>
        </is>
      </c>
      <c r="H25" s="12" t="inlineStr">
        <is>
          <t>TB3; TB2; TB1</t>
        </is>
      </c>
      <c r="I25" s="12" t="inlineStr">
        <is>
          <t>Approved documentation corpus; chatbot context information; generated responses</t>
        </is>
      </c>
      <c r="J25" s="12" t="inlineStr">
        <is>
          <t>Incremental targeted interrogation causes the model to reproduce and aggregate retrieved context in its answers; no element compares the retrieved context against the entitlement of the requesting identity, since SF2 is modelled as retrieval for relevance, not as an authorisation decision.</t>
        </is>
      </c>
      <c r="K25" s="12" t="inlineStr">
        <is>
          <t>An attacker asks many narrow questions about internal procedure names, policy details, naming conventions, support contacts and administrative workflows; the assistant retrieves approved documentation on SF2 for each and assembles, over many turns, a curated internal reconnaissance dossier delivered on DF12.</t>
        </is>
      </c>
      <c r="L25" s="12" t="inlineStr">
        <is>
          <t>A curated internal reconnaissance dossier obtained through the trusted interface, materially raising the yield of S1-RT-003 and targeted attacks, and disclosure of context material beyond the entitlement of the asking user.</t>
        </is>
      </c>
      <c r="M25" s="12" t="inlineStr">
        <is>
          <t>Content crosses TB3 outbound on SF2 into the prompt and returns to the user across TB1 on DF12, and between those crossings no element performs an entitlement check; every component behaves as designed, and the disclosure arises because unbounded interrogation of the assistant is itself an authorised action whose aggregate exceeds any single intended disclosure.</t>
        </is>
      </c>
      <c r="N25" s="12" t="inlineStr">
        <is>
          <t>Final audit: retained. The distinctness analysis is confirmed: S1-RT-024 concerns egress towards EE2, S1-RT-025 concerns the model's hidden instructions, S1-RT-012 concerns a concurrency defect, and this entry concerns authorised aggregate disclosure, so no merge is warranted. Severity Medium stands: DS3 is defined as approved documentation, which bounds corpus sensitivity. Primary STRIDE is Information Disclosure.</t>
        </is>
      </c>
      <c r="O25" s="11" t="inlineStr">
        <is>
          <t>Medium</t>
        </is>
      </c>
      <c r="P25" s="11" t="inlineStr">
        <is>
          <t>Medium</t>
        </is>
      </c>
      <c r="Q25" s="11" t="inlineStr">
        <is>
          <t>Yes</t>
        </is>
      </c>
      <c r="R25" s="11" t="inlineStr">
        <is>
          <t>High</t>
        </is>
      </c>
      <c r="S25" s="11" t="inlineStr">
        <is>
          <t>YES</t>
        </is>
      </c>
    </row>
    <row r="26" ht="52" customHeight="1">
      <c r="A26" s="11" t="inlineStr">
        <is>
          <t>S1-RT-027</t>
        </is>
      </c>
      <c r="B26" s="11" t="inlineStr">
        <is>
          <t>S1</t>
        </is>
      </c>
      <c r="C26" s="11" t="inlineStr">
        <is>
          <t>Conditional provider-side exposure of submitted prompts</t>
        </is>
      </c>
      <c r="D26" s="11" t="inlineStr">
        <is>
          <t>Information Disclosure</t>
        </is>
      </c>
      <c r="E26" s="11" t="inlineStr">
        <is>
          <t>Data Security</t>
        </is>
      </c>
      <c r="F26" s="12" t="inlineStr">
        <is>
          <t>EE2 External LLM Provider</t>
        </is>
      </c>
      <c r="G26" s="12" t="inlineStr">
        <is>
          <t>DF9, DF10, DF12</t>
        </is>
      </c>
      <c r="H26" s="12" t="inlineStr">
        <is>
          <t>TB2</t>
        </is>
      </c>
      <c r="I26" s="12" t="inlineStr">
        <is>
          <t>User prompts; LLM context</t>
        </is>
      </c>
      <c r="J26" s="12" t="inlineStr">
        <is>
          <t>Conditional provider-side risk: if the external provider retains, logs or reuses the content submitted on DF9, retention practices being outside the application's control and not specified by the architecture, then a later provider-side exposure event affects the entire history of submitted prompts and context.</t>
        </is>
      </c>
      <c r="K26" s="12" t="inlineStr">
        <is>
          <t>If DF9 content is retained provider-side and is later exposed through a provider-side event, the authentication-related questions of the user population, together with any over-included context from S1-RT-024, become known to the attacker; no application-side action can retract or bound the exposure.</t>
        </is>
      </c>
      <c r="L26" s="12" t="inlineStr">
        <is>
          <t>Long-tail confidentiality loss across the history of DF9 traffic, loss of control over deletion, and the possibility that content submitted by one user surfaces in a response returned to another user.</t>
        </is>
      </c>
      <c r="M26" s="12" t="inlineStr">
        <is>
          <t>EE2 is drawn as an entity beyond TB2, outside the application's security control, specifically to force reasoning about what happens after successful delivery; the architecture specifies no retention practices, so the provider-side behaviour is stated conditionally and the entry records the consequence if that condition holds.</t>
        </is>
      </c>
      <c r="N26" s="12" t="inlineStr">
        <is>
          <t>Final audit: retained with conditional phrasing throughout, exactly as rule 7 requires for provider-side behaviour: the entry states the conditional exposure rather than asserting that the provider retains prompts. The cross-user surfacing case stays folded as a realisation of the same conditional exposure. Severity remains High because the triggering egress on DF9 is structural and the consequence is irreversible, while Likelihood is Medium because realisation requires both the unspecified retention behaviour and a secondary provider-side event. Primary STRIDE is Information Disclosure.</t>
        </is>
      </c>
      <c r="O26" s="11" t="inlineStr">
        <is>
          <t>High</t>
        </is>
      </c>
      <c r="P26" s="11" t="inlineStr">
        <is>
          <t>Medium</t>
        </is>
      </c>
      <c r="Q26" s="11" t="inlineStr">
        <is>
          <t>Yes</t>
        </is>
      </c>
      <c r="R26" s="11" t="inlineStr">
        <is>
          <t>High</t>
        </is>
      </c>
      <c r="S26" s="11" t="inlineStr">
        <is>
          <t>YES</t>
        </is>
      </c>
    </row>
    <row r="27" ht="52" customHeight="1">
      <c r="A27" s="11" t="inlineStr">
        <is>
          <t>S1-RT-028</t>
        </is>
      </c>
      <c r="B27" s="11" t="inlineStr">
        <is>
          <t>S1</t>
        </is>
      </c>
      <c r="C27" s="11" t="inlineStr">
        <is>
          <t>Denial of service against the authentication service</t>
        </is>
      </c>
      <c r="D27" s="11" t="inlineStr">
        <is>
          <t>Denial of Service</t>
        </is>
      </c>
      <c r="E27" s="11" t="inlineStr">
        <is>
          <t>Availability</t>
        </is>
      </c>
      <c r="F27" s="12" t="inlineStr">
        <is>
          <t>P2 Authentication Service; DS1 User Database</t>
        </is>
      </c>
      <c r="G27" s="12" t="inlineStr">
        <is>
          <t>DF1, DF2, DF3</t>
        </is>
      </c>
      <c r="H27" s="12" t="inlineStr">
        <is>
          <t>TB1; TB3</t>
        </is>
      </c>
      <c r="I27" s="12" t="inlineStr">
        <is>
          <t>Authentication availability</t>
        </is>
      </c>
      <c r="J27" s="12" t="inlineStr">
        <is>
          <t>Volumetric flooding of the login and registration functions on DF1 and DF2 saturates P2's processing and its access to DS1; verification against salted password hashes is a deliberate computation, so each flooded request imposes asymmetric work on the service.</t>
        </is>
      </c>
      <c r="K27" s="12" t="inlineStr">
        <is>
          <t>An attacker floods DF1 with login attempts from distributed sources; every attempt triggers a DF3 verification computation and store access at P2; capacity saturates and legitimate users cannot authenticate, which is a full-system outage because every other capability depends on holding a session.</t>
        </is>
      </c>
      <c r="L27" s="12" t="inlineStr">
        <is>
          <t>Legitimate users cannot authenticate; because every other capability depends on holding a session, an authentication outage is effectively a full-system outage.</t>
        </is>
      </c>
      <c r="M27" s="12" t="inlineStr">
        <is>
          <t>The threat is located on the DF1 to DF2 to DF3 request path read as a resource path across TB1 and TB3; no rate-limiting, queueing or load-isolation element is specified on any of these flows, and salted hash verification is by construction a deliberate computation at P2, which the architecture itself specifies.</t>
        </is>
      </c>
      <c r="N27" s="12" t="inlineStr">
        <is>
          <t>Final audit: retained with a technology-neutral rewrite: capacity terminology was generalised and the cost-asymmetry argument now rests only on the specified salted-hash verification rather than on any assumed hashing technology. Primary STRIDE is Denial of Service. Severity Medium, Likelihood Medium: launching the attempt is trivial, sustained impact depends on capacity handling that the architecture does not specify.</t>
        </is>
      </c>
      <c r="O27" s="11" t="inlineStr">
        <is>
          <t>Medium</t>
        </is>
      </c>
      <c r="P27" s="11" t="inlineStr">
        <is>
          <t>Medium</t>
        </is>
      </c>
      <c r="Q27" s="11" t="inlineStr">
        <is>
          <t>No</t>
        </is>
      </c>
      <c r="R27" s="11" t="inlineStr">
        <is>
          <t>High</t>
        </is>
      </c>
      <c r="S27" s="11" t="inlineStr">
        <is>
          <t>YES</t>
        </is>
      </c>
    </row>
    <row r="28" ht="52" customHeight="1">
      <c r="A28" s="11" t="inlineStr">
        <is>
          <t>S1-RT-029</t>
        </is>
      </c>
      <c r="B28" s="11" t="inlineStr">
        <is>
          <t>S1</t>
        </is>
      </c>
      <c r="C28" s="11" t="inlineStr">
        <is>
          <t>External LLM provider unavailability or degradation</t>
        </is>
      </c>
      <c r="D28" s="11" t="inlineStr">
        <is>
          <t>Denial of Service</t>
        </is>
      </c>
      <c r="E28" s="11" t="inlineStr">
        <is>
          <t>Availability</t>
        </is>
      </c>
      <c r="F28" s="12" t="inlineStr">
        <is>
          <t>P5 LLM Integration Service; P4 AI Chatbot Component; EE2 External LLM Provider</t>
        </is>
      </c>
      <c r="G28" s="12" t="inlineStr">
        <is>
          <t>DF9, DF10</t>
        </is>
      </c>
      <c r="H28" s="12" t="inlineStr">
        <is>
          <t>TB2</t>
        </is>
      </c>
      <c r="I28" s="12" t="inlineStr">
        <is>
          <t>Chatbot availability</t>
        </is>
      </c>
      <c r="J28" s="12" t="inlineStr">
        <is>
          <t>Provider outage, rate-limit rejection or degraded latency on the synchronous DF9/DF10 pair leaves the chatbot unable to answer; how P5 handles provider non-response is not specified by the architecture, so waiting behaviour and its capacity consequences are implementation-dependent.</t>
        </is>
      </c>
      <c r="K28" s="12" t="inlineStr">
        <is>
          <t>The external provider suffers an extended outage; the DF10 responses never arrive, and the chatbot returns errors or nothing to every user. Whether the failure propagates further depends on runtime topology, which the drawn architecture does not establish.</t>
        </is>
      </c>
      <c r="L28" s="12" t="inlineStr">
        <is>
          <t>Loss of the chatbot capability. Propagation of the outage into the authentication path through shared request-handling capacity is possible in some deployments but is not established by the drawn architecture and is therefore recorded as conditional.</t>
        </is>
      </c>
      <c r="M28" s="12" t="inlineStr">
        <is>
          <t>TB2 marks a dependency that the organisation can neither control nor repair, and DF9 and DF10 form a synchronous request-response pair across it; the drawn architecture establishes the direct consequence, chatbot loss, but contains no evidence about shared runtime capacity between the chatbot pipeline and the authentication path.</t>
        </is>
      </c>
      <c r="N28" s="12" t="inlineStr">
        <is>
          <t>Final audit: retained with conditional scoping. The first-pass claim that the outage propagates into authentication rested on a runtime assumption the architecture does not make; under rule 1 it is removed from the impact and recorded as a conditional clarification. The baseline keeps the direct, drawn consequence. AI-specific because the dependency exists solely to obtain generated responses from an external model. Primary STRIDE is Denial of Service.</t>
        </is>
      </c>
      <c r="O28" s="11" t="inlineStr">
        <is>
          <t>Medium</t>
        </is>
      </c>
      <c r="P28" s="11" t="inlineStr">
        <is>
          <t>Medium</t>
        </is>
      </c>
      <c r="Q28" s="11" t="inlineStr">
        <is>
          <t>Yes</t>
        </is>
      </c>
      <c r="R28" s="11" t="inlineStr">
        <is>
          <t>High</t>
        </is>
      </c>
      <c r="S28" s="11" t="inlineStr">
        <is>
          <t>YES</t>
        </is>
      </c>
    </row>
    <row r="29" ht="52" customHeight="1">
      <c r="A29" s="11" t="inlineStr">
        <is>
          <t>S1-RT-030</t>
        </is>
      </c>
      <c r="B29" s="11" t="inlineStr">
        <is>
          <t>S1</t>
        </is>
      </c>
      <c r="C29" s="11" t="inlineStr">
        <is>
          <t>Unbounded consumption of the LLM processing pipeline</t>
        </is>
      </c>
      <c r="D29" s="11" t="inlineStr">
        <is>
          <t>Denial of Service</t>
        </is>
      </c>
      <c r="E29" s="11" t="inlineStr">
        <is>
          <t>Availability</t>
        </is>
      </c>
      <c r="F29" s="12" t="inlineStr">
        <is>
          <t>P4 AI Chatbot Component; P5 LLM Integration Service; EE2 External LLM Provider</t>
        </is>
      </c>
      <c r="G29" s="12" t="inlineStr">
        <is>
          <t>DF7, DF8, DF9</t>
        </is>
      </c>
      <c r="H29" s="12" t="inlineStr">
        <is>
          <t>TB1; TB2</t>
        </is>
      </c>
      <c r="I29" s="12" t="inlineStr">
        <is>
          <t>Chatbot availability; provider quota; operating budget</t>
        </is>
      </c>
      <c r="J29" s="12" t="inlineStr">
        <is>
          <t>High-frequency questions, inputs sized to fill the model context window, or prompts constructed to maximise generated output length drive the variable per-token cost of DF9; no metering, quota or cost control is specified on the DF7 to DF9 chain, and the path may be driven anonymously where S1-RT-011 applies.</t>
        </is>
      </c>
      <c r="K29" s="12" t="inlineStr">
        <is>
          <t>A script submits maximum-length questions crafted to elicit maximum-length answers at line rate on DF7; the cost of each DF9 crossing scales with input and output tokens; the provider quota and budget exhaust, denying the chatbot to legitimate users through billing rather than through capacity.</t>
        </is>
      </c>
      <c r="L29" s="12" t="inlineStr">
        <is>
          <t>Degraded or unavailable chatbot, processing backlog in P4 and P5, direct chargeable cost, and exhaustion of the provider quota, which then denies service through billing rather than through capacity.</t>
        </is>
      </c>
      <c r="M29" s="12" t="inlineStr">
        <is>
          <t>DF7 crosses TB1 into P4 with no stated size or rate constraint, and the DF9 crossing of TB2 has a cost that is variable and attacker-influenced because it scales with token counts; request-count limiting alone is structurally insufficient and token-budget limiting is required, which no element provides.</t>
        </is>
      </c>
      <c r="N29" s="12" t="inlineStr">
        <is>
          <t>Final audit: retained. Capacity exhaustion and chargeable-cost exhaustion remain combined in one entry because they share the DF7-to-DF9 attack path and the same control class, and the distinction is one of impact type rather than of mechanism, so splitting them would violate rule 4. AI-specific because the cost driver is per-token model inference, with no analogue in the classical flows. Primary STRIDE is Denial of Service. Likelihood High: no metering is drawn and the entry point is trivially reachable.</t>
        </is>
      </c>
      <c r="O29" s="11" t="inlineStr">
        <is>
          <t>Medium</t>
        </is>
      </c>
      <c r="P29" s="11" t="inlineStr">
        <is>
          <t>High</t>
        </is>
      </c>
      <c r="Q29" s="11" t="inlineStr">
        <is>
          <t>Yes</t>
        </is>
      </c>
      <c r="R29" s="11" t="inlineStr">
        <is>
          <t>High</t>
        </is>
      </c>
      <c r="S29" s="11" t="inlineStr">
        <is>
          <t>YES</t>
        </is>
      </c>
    </row>
    <row r="30" ht="52" customHeight="1">
      <c r="A30" s="11" t="inlineStr">
        <is>
          <t>S1-RT-032</t>
        </is>
      </c>
      <c r="B30" s="11" t="inlineStr">
        <is>
          <t>S1</t>
        </is>
      </c>
      <c r="C30" s="11" t="inlineStr">
        <is>
          <t>Hallucinated authentication guidance</t>
        </is>
      </c>
      <c r="D30" s="11" t="inlineStr">
        <is>
          <t>Tampering</t>
        </is>
      </c>
      <c r="E30" s="11" t="inlineStr">
        <is>
          <t>LLM-Specific</t>
        </is>
      </c>
      <c r="F30" s="12" t="inlineStr">
        <is>
          <t>EE2 External LLM Provider; P4 AI Chatbot Component</t>
        </is>
      </c>
      <c r="G30" s="12" t="inlineStr">
        <is>
          <t>DF10, DF11, DF12</t>
        </is>
      </c>
      <c r="H30" s="12" t="inlineStr">
        <is>
          <t>TB2; TB1</t>
        </is>
      </c>
      <c r="I30" s="12" t="inlineStr">
        <is>
          <t>Generated responses; user security behaviour</t>
        </is>
      </c>
      <c r="J30" s="12" t="inlineStr">
        <is>
          <t>Without any adversary, the model produces confident but incorrect content; the response crosses TB2 on DF10, passes through P5 and P4 with no element responsible for verifying factual accuracy, and is displayed on DF12 inside the trusted application interface.</t>
        </is>
      </c>
      <c r="K30" s="12" t="inlineStr">
        <is>
          <t>A user asks how to regain access after a lockout; the model confidently describes a non-existent procedure or fabricated contact destination; the user, unable to verify the guidance elsewhere, follows it and discloses authentication information through the incorrect channel or to a destination an attacker may subsequently register.</t>
        </is>
      </c>
      <c r="L30" s="12" t="inlineStr">
        <is>
          <t>Users are guided towards insecure behaviour, including disclosing authentication information through an incorrect channel or acting on a fabricated destination.</t>
        </is>
      </c>
      <c r="M30" s="12" t="inlineStr">
        <is>
          <t>No adversary or boundary violation is required: every component behaves as engineered, yet the security outcome is negative; the content originates at EE2, crosses TB2 inbound on DF10, and crosses TB1 to the user on DF12 without any accuracy-control element, which the architecture does not specify.</t>
        </is>
      </c>
      <c r="N30" s="12" t="inlineStr">
        <is>
          <t>Final audit: retained. This is the one threat class in the model with no classical STRIDE analogue, and the primary STRIDE field carries the single label Tampering under an explicitly extended interpretation, loss of integrity of generated information, with that rationale stated here as the single-category rule requires. The user-trust amplification folded into this entry in the first pass remains: users cannot easily verify guidance they depend on. Severity Medium: unintentional, not reliably targetable, correctable through verification against authoritative documentation. Likelihood High: intrinsic model behaviour.</t>
        </is>
      </c>
      <c r="O30" s="11" t="inlineStr">
        <is>
          <t>Medium</t>
        </is>
      </c>
      <c r="P30" s="11" t="inlineStr">
        <is>
          <t>High</t>
        </is>
      </c>
      <c r="Q30" s="11" t="inlineStr">
        <is>
          <t>Yes</t>
        </is>
      </c>
      <c r="R30" s="11" t="inlineStr">
        <is>
          <t>High</t>
        </is>
      </c>
      <c r="S30" s="11" t="inlineStr">
        <is>
          <t>YES</t>
        </is>
      </c>
    </row>
    <row r="31" ht="52" customHeight="1">
      <c r="A31" s="11" t="inlineStr">
        <is>
          <t>S1-RT-033</t>
        </is>
      </c>
      <c r="B31" s="11" t="inlineStr">
        <is>
          <t>S1</t>
        </is>
      </c>
      <c r="C31" s="11" t="inlineStr">
        <is>
          <t>Insecure handling of generated output</t>
        </is>
      </c>
      <c r="D31" s="11" t="inlineStr">
        <is>
          <t>Tampering</t>
        </is>
      </c>
      <c r="E31" s="11" t="inlineStr">
        <is>
          <t>LLM-Specific</t>
        </is>
      </c>
      <c r="F31" s="12" t="inlineStr">
        <is>
          <t>P4 AI Chatbot Component; P1 Web Frontend</t>
        </is>
      </c>
      <c r="G31" s="12" t="inlineStr">
        <is>
          <t>DF10, DF11, DF12</t>
        </is>
      </c>
      <c r="H31" s="12" t="inlineStr">
        <is>
          <t>TB2; TB1</t>
        </is>
      </c>
      <c r="I31" s="12" t="inlineStr">
        <is>
          <t>Generated responses; session tokens; user browser context</t>
        </is>
      </c>
      <c r="J31" s="12" t="inlineStr">
        <is>
          <t>Content that crossed TB2 inbound on DF10 is displayed by P1 on DF12; output encoding or content separation at the rendering step is not specified by the architecture, so attacker-influenced active content executes in the victim's authenticated client context.</t>
        </is>
      </c>
      <c r="K31" s="12" t="inlineStr">
        <is>
          <t>Through S1-RT-022 or S1-RT-023 the attacker induces the model to emit active content in its answer; P1 displays the response without separation; the content executes in the victim's authenticated session, reads the session token as described in S1-RT-014, and completes a full account takeover.</t>
        </is>
      </c>
      <c r="L31" s="12" t="inlineStr">
        <is>
          <t>Execution of attacker-influenced content in the victim's authenticated client context, leading to theft of the session token, actions performed on the victim's behalf, or presentation of a fabricated credential-harvesting form inside the legitimate interface.</t>
        </is>
      </c>
      <c r="M31" s="12" t="inlineStr">
        <is>
          <t>Stated assumption A4 declares external LLM output untrusted, yet no encoding or content-separation element is specified between DF10 and the DF12 rendering; the architecture's containment rests on the model reaching no database, but its output is displayed to the user, so an advisory-only component still provides a path to session compromise. OWASP LLM05 applies.</t>
        </is>
      </c>
      <c r="N31" s="12" t="inlineStr">
        <is>
          <t>Final audit: retained. Primary STRIDE is Tampering: attacker-influenced content enters the display path unmodified; the elevation of privilege and session compromise are consequences and are noted as secondary. Severity Critical stands because the chain terminates in full account takeover. This entry is the practical realisation of unintended authority for a guidance-only assistant: generated content becomes executable authority in the authenticated client context, which is how the excessive-authority concern manifests in this architecture.</t>
        </is>
      </c>
      <c r="O31" s="11" t="inlineStr">
        <is>
          <t>Critical</t>
        </is>
      </c>
      <c r="P31" s="11" t="inlineStr">
        <is>
          <t>Medium</t>
        </is>
      </c>
      <c r="Q31" s="11" t="inlineStr">
        <is>
          <t>Yes</t>
        </is>
      </c>
      <c r="R31" s="11" t="inlineStr">
        <is>
          <t>High</t>
        </is>
      </c>
      <c r="S31" s="11" t="inlineStr">
        <is>
          <t>YES</t>
        </is>
      </c>
    </row>
    <row r="32" ht="52" customHeight="1">
      <c r="A32" s="11" t="inlineStr">
        <is>
          <t>S1-RT-034</t>
        </is>
      </c>
      <c r="B32" s="11" t="inlineStr">
        <is>
          <t>S1</t>
        </is>
      </c>
      <c r="C32" s="11" t="inlineStr">
        <is>
          <t>Delivery of attacker-authored instructions through the assistant</t>
        </is>
      </c>
      <c r="D32" s="11" t="inlineStr">
        <is>
          <t>Tampering</t>
        </is>
      </c>
      <c r="E32" s="11" t="inlineStr">
        <is>
          <t>LLM-Specific</t>
        </is>
      </c>
      <c r="F32" s="12" t="inlineStr">
        <is>
          <t>P4 AI Chatbot Component; EE2 External LLM Provider</t>
        </is>
      </c>
      <c r="G32" s="12" t="inlineStr">
        <is>
          <t>DF10, DF11, DF12</t>
        </is>
      </c>
      <c r="H32" s="12" t="inlineStr">
        <is>
          <t>TB2; TB1</t>
        </is>
      </c>
      <c r="I32" s="12" t="inlineStr">
        <is>
          <t>Generated responses; user credentials; user security behaviour</t>
        </is>
      </c>
      <c r="J32" s="12" t="inlineStr">
        <is>
          <t>Through poisoned context as described in S1-RT-023, direct injection as in S1-RT-022, or provider substitution as in S1-RT-036, the returned answer instructs the user to act against their own interest, and the trusted DF12 delivery channel converts the text into an effective attack.</t>
        </is>
      </c>
      <c r="K32" s="12" t="inlineStr">
        <is>
          <t>A poisoned knowledge-base article causes the assistant to tell users to confirm their identity at an attacker-controlled destination; users comply at a rate substantially higher than external phishing, because the instruction arrives inside the trusted application interface in direct response to their own question.</t>
        </is>
      </c>
      <c r="L32" s="12" t="inlineStr">
        <is>
          <t>Disclosure of credentials or authentication information to the attacker, delivered through the application's own trusted channel.</t>
        </is>
      </c>
      <c r="M32" s="12" t="inlineStr">
        <is>
          <t>The harmful content enters across TB2 on DF10 and reaches the user across TB1 on DF12; the delivery channel's organisational authority is what converts generated text into an effective attack, and no output-side content policy or destination allow-listing element is specified at P4.</t>
        </is>
      </c>
      <c r="N32" s="12" t="inlineStr">
        <is>
          <t>Final audit: retained. Primary STRIDE is Tampering: attacker-chosen content is substituted for legitimate guidance in the delivery path; the authority-lending property of the DF12 channel, a spoofing-like characteristic, is noted as secondary. Retained separately from S1-RT-032 because the content is intentional and attacker-chosen rather than accidental, which changes the required control from model accuracy to output-side policy enforcement; the two are independently identifiable and matchable, so rule 3 does not merge them. The user-trust amplification folded into this entry in the first pass remains.</t>
        </is>
      </c>
      <c r="O32" s="11" t="inlineStr">
        <is>
          <t>High</t>
        </is>
      </c>
      <c r="P32" s="11" t="inlineStr">
        <is>
          <t>Medium</t>
        </is>
      </c>
      <c r="Q32" s="11" t="inlineStr">
        <is>
          <t>Yes</t>
        </is>
      </c>
      <c r="R32" s="11" t="inlineStr">
        <is>
          <t>High</t>
        </is>
      </c>
      <c r="S32" s="11" t="inlineStr">
        <is>
          <t>YES</t>
        </is>
      </c>
    </row>
    <row r="33" ht="52" customHeight="1">
      <c r="A33" s="11" t="inlineStr">
        <is>
          <t>S1-RT-036</t>
        </is>
      </c>
      <c r="B33" s="11" t="inlineStr">
        <is>
          <t>S1</t>
        </is>
      </c>
      <c r="C33" s="11" t="inlineStr">
        <is>
          <t>Compromise or substitution of the external model service</t>
        </is>
      </c>
      <c r="D33" s="11" t="inlineStr">
        <is>
          <t>Spoofing</t>
        </is>
      </c>
      <c r="E33" s="11" t="inlineStr">
        <is>
          <t>LLM-Specific</t>
        </is>
      </c>
      <c r="F33" s="12" t="inlineStr">
        <is>
          <t>EE2 External LLM Provider; P5 LLM Integration Service</t>
        </is>
      </c>
      <c r="G33" s="12" t="inlineStr">
        <is>
          <t>DF9, DF10</t>
        </is>
      </c>
      <c r="H33" s="12" t="inlineStr">
        <is>
          <t>TB2</t>
        </is>
      </c>
      <c r="I33" s="12" t="inlineStr">
        <is>
          <t>User prompts; LLM context; generated responses</t>
        </is>
      </c>
      <c r="J33" s="12" t="inlineStr">
        <is>
          <t>The DF9/DF10 exchange depends on the identity and integrity of the responder beyond TB2, and no mechanism verifying that the responder is the intended external service is specified by the architecture; if EE2 is substituted or compromised, prompts are harvested and responses are attacker-controlled.</t>
        </is>
      </c>
      <c r="K33" s="12" t="inlineStr">
        <is>
          <t>The communication that P5 sends on DF9 is answered by an attacker-controlled replacement of the intended external service, the substitution path lying outside the drawn architecture; every prompt is harvested, realising the S1-RT-024 exposure actively, and every DF10 response is attacker-authored, weaponising S1-RT-033 and S1-RT-034 for all users. An unannounced provider-side model or behaviour change has the same effect without any application modification.</t>
        </is>
      </c>
      <c r="L33" s="12" t="inlineStr">
        <is>
          <t>Interception of every prompt crossing TB2 together with control of every response returned on DF10, converting the assistant into an attacker-controlled channel for all users.</t>
        </is>
      </c>
      <c r="M33" s="12" t="inlineStr">
        <is>
          <t>P5 is the only element that performs the TB2 crossing, so any verification of the external service's identity and integrity must concentrate at that single process, and no such verification is specified; EE2 is not merely a service the application calls but the source of content the application redistributes to users across TB1 on DF12. MITRE ATLAS frames the substitution angle as ML supply chain compromise.</t>
        </is>
      </c>
      <c r="N33" s="12" t="inlineStr">
        <is>
          <t>Final audit: retained with a trust-boundary-level rewrite: infrastructure-specific substitution mechanisms were removed (rules 1), and the mechanism is now stated as the unspecified verification of the responder's identity beyond TB2, with the substitution path declared to lie outside the drawn architecture. Primary STRIDE is Spoofing: the trusted external entity is impersonated or substituted; control of the responses is the consequence and is noted as secondary. Likelihood Low: requires a substantial external compromise, but the impact spans the whole user base, keeping severity High.</t>
        </is>
      </c>
      <c r="O33" s="11" t="inlineStr">
        <is>
          <t>High</t>
        </is>
      </c>
      <c r="P33" s="11" t="inlineStr">
        <is>
          <t>Low</t>
        </is>
      </c>
      <c r="Q33" s="11" t="inlineStr">
        <is>
          <t>Yes</t>
        </is>
      </c>
      <c r="R33" s="11" t="inlineStr">
        <is>
          <t>High</t>
        </is>
      </c>
      <c r="S33" s="11" t="inlineStr">
        <is>
          <t>YES</t>
        </is>
      </c>
    </row>
    <row r="34" ht="52" customHeight="1">
      <c r="A34" s="11" t="inlineStr">
        <is>
          <t>S2-RT-001</t>
        </is>
      </c>
      <c r="B34" s="11" t="inlineStr">
        <is>
          <t>S2</t>
        </is>
      </c>
      <c r="C34" s="11" t="inlineStr">
        <is>
          <t>Authentication bypass through flawed enforcement of identity-bound access</t>
        </is>
      </c>
      <c r="D34" s="11" t="inlineStr">
        <is>
          <t>Spoofing</t>
        </is>
      </c>
      <c r="E34" s="11" t="inlineStr">
        <is>
          <t>Authentication</t>
        </is>
      </c>
      <c r="F34" s="12" t="inlineStr">
        <is>
          <t>P2 File Management Service (reached via P1 Web Frontend)</t>
        </is>
      </c>
      <c r="G34" s="12" t="inlineStr">
        <is>
          <t>DF1, DF4, DF5</t>
        </is>
      </c>
      <c r="H34" s="12" t="inlineStr">
        <is>
          <t>TB1</t>
        </is>
      </c>
      <c r="I34" s="12" t="inlineStr">
        <is>
          <t>User identity binding; user access permissions</t>
        </is>
      </c>
      <c r="J34" s="12" t="inlineStr">
        <is>
          <t>Requests reach the file management functions, upload on DF2 and retrieval on DF5, without a valid authenticated identity, exploiting absent or flawed enforcement of the identity requirement on the path across TB1: misrouted or disabled pre-checks, or acceptance of unverified state on flows that the permission model requires to be identity-bound.</t>
        </is>
      </c>
      <c r="K34" s="12" t="inlineStr">
        <is>
          <t>An attacker submits request state that reaches the retrieval function of P2 with the identity pre-check skipped, mishandled or absent; P2 executes the DF6 lookup and returns content on DF7 while operating on an unverified identity, so every downstream authorisation decision is anchored to nobody.</t>
        </is>
      </c>
      <c r="L34" s="12" t="inlineStr">
        <is>
          <t>Complete defeat of the platform's access model: unauthenticated upload, retrieval and assistant use, with every authorisation control operating on an unverified identity.</t>
        </is>
      </c>
      <c r="M34" s="12" t="inlineStr">
        <is>
          <t>DS2 stores user identity and P2's permission checks are per-user by construction, so requests must be bound to an identity; yet the supplied architecture draws no authentication component, credential store or authentication flow, and the enforcement point exists only as an implied property of the TB1 crossing (A6: evaluate exactly as supplied).</t>
        </is>
      </c>
      <c r="N34" s="12" t="inlineStr">
        <is>
          <t>Catalogue entry T-01, retained with re-anchoring. The supplied architecture grounds the identity requirement more strongly than the original: DS2 explicitly holds user identity and P2 checks permissions against it, so the absence of a drawn authentication enforcement point is an architecture-level gap rather than a hypothetical. Distinct from S2-RT-003 through S2-RT-005: those entries concern a caller whose identity is bound and locate the failure in the authorisation decision or in reference handling, whereas this entry is the acceptance of requests without any valid identity binding at all. Credential-guessing attacks against the unmodelled entry point remain out of scope and are recorded as a modelling gap. Primary STRIDE is Spoofing: an unverified identity is accepted as a verified subject; elevation of privilege is the downstream consequence and is noted as secondary. Confidence Medium: absence-based grounding.</t>
        </is>
      </c>
      <c r="O34" s="11" t="inlineStr">
        <is>
          <t>Critical</t>
        </is>
      </c>
      <c r="P34" s="11" t="inlineStr">
        <is>
          <t>Medium</t>
        </is>
      </c>
      <c r="Q34" s="11" t="inlineStr">
        <is>
          <t>No</t>
        </is>
      </c>
      <c r="R34" s="11" t="inlineStr">
        <is>
          <t>Medium</t>
        </is>
      </c>
      <c r="S34" s="11" t="inlineStr">
        <is>
          <t>YES</t>
        </is>
      </c>
    </row>
    <row r="35" ht="52" customHeight="1">
      <c r="A35" s="11" t="inlineStr">
        <is>
          <t>S2-RT-002</t>
        </is>
      </c>
      <c r="B35" s="11" t="inlineStr">
        <is>
          <t>S2</t>
        </is>
      </c>
      <c r="C35" s="11" t="inlineStr">
        <is>
          <t>Theft of user identity-assertion material at the user boundary</t>
        </is>
      </c>
      <c r="D35" s="11" t="inlineStr">
        <is>
          <t>Spoofing</t>
        </is>
      </c>
      <c r="E35" s="11" t="inlineStr">
        <is>
          <t>Authentication</t>
        </is>
      </c>
      <c r="F35" s="12" t="inlineStr">
        <is>
          <t>P1 Web Frontend (client environment of the End User)</t>
        </is>
      </c>
      <c r="G35" s="12" t="inlineStr">
        <is>
          <t>DF1, DF4, DF9</t>
        </is>
      </c>
      <c r="H35" s="12" t="inlineStr">
        <is>
          <t>TB1</t>
        </is>
      </c>
      <c r="I35" s="12" t="inlineStr">
        <is>
          <t>User identity-assertion material</t>
        </is>
      </c>
      <c r="J35" s="12" t="inlineStr">
        <is>
          <t>The material by which the End User's identity is asserted to the platform, whose form the architecture does not specify, is captured at the TB1 client boundary through execution of attacker-supplied active content in the user's client environment or interception of the boundary-crossing legs, and is reused from the attacker's client.</t>
        </is>
      </c>
      <c r="K35" s="12" t="inlineStr">
        <is>
          <t>Active content delivered through S2-RT-011 or S2-RT-026 executes in the victim's client environment, reads the identity-assertion material where it is exposed to code executing there, and exfiltrates it; the attacker then uploads, retrieves and queries documents as the victim, with every action attributed to the victim by any attribution mechanism.</t>
        </is>
      </c>
      <c r="L35" s="12" t="inlineStr">
        <is>
          <t>Full impersonation of the victim across all platform functions, without any defect in the authorisation logic.</t>
        </is>
      </c>
      <c r="M35" s="12" t="inlineStr">
        <is>
          <t>DS2's user identity and P2's per-user permission checks require that requests be bound to an identity, so identity-assertion material must cross TB1 on DF1, DF4 and DF9; its protection at and beyond TB1 is not represented anywhere in the architecture, and no invalidation or termination flow is drawn that would cut a stolen identity binding short.</t>
        </is>
      </c>
      <c r="N35" s="12" t="inlineStr">
        <is>
          <t>Catalogue entry T-02, retained with re-anchoring and a technology-neutral rewrite. The supplied architecture does not specify how user identity is asserted, so the entry is generalised to the unspecified identity-assertion material that the drawn authorisation model necessarily presupposes, and the capture channels are phrased on unspecified protection rather than on named technologies. Retained separately from S2-RT-001 because the mechanism differs: that entry defeats the enforcement of identity binding, whereas here a legitimately bound identity is acquired after the fact. Primary STRIDE is Spoofing. Confidence Medium: the asserted form of the material is unspecified.</t>
        </is>
      </c>
      <c r="O35" s="11" t="inlineStr">
        <is>
          <t>High</t>
        </is>
      </c>
      <c r="P35" s="11" t="inlineStr">
        <is>
          <t>High</t>
        </is>
      </c>
      <c r="Q35" s="11" t="inlineStr">
        <is>
          <t>No</t>
        </is>
      </c>
      <c r="R35" s="11" t="inlineStr">
        <is>
          <t>Medium</t>
        </is>
      </c>
      <c r="S35" s="11" t="inlineStr">
        <is>
          <t>YES</t>
        </is>
      </c>
    </row>
    <row r="36" ht="52" customHeight="1">
      <c r="A36" s="11" t="inlineStr">
        <is>
          <t>S2-RT-003</t>
        </is>
      </c>
      <c r="B36" s="11" t="inlineStr">
        <is>
          <t>S2</t>
        </is>
      </c>
      <c r="C36" s="11" t="inlineStr">
        <is>
          <t>Authorisation-check bypass through flawed logic in the File Management Service</t>
        </is>
      </c>
      <c r="D36" s="11" t="inlineStr">
        <is>
          <t>Elevation of Privilege</t>
        </is>
      </c>
      <c r="E36" s="11" t="inlineStr">
        <is>
          <t>Authorization</t>
        </is>
      </c>
      <c r="F36" s="12" t="inlineStr">
        <is>
          <t>P2 File Management Service</t>
        </is>
      </c>
      <c r="G36" s="12" t="inlineStr">
        <is>
          <t>DF5, DF6, DF7</t>
        </is>
      </c>
      <c r="H36" s="12" t="inlineStr">
        <is>
          <t>TB3</t>
        </is>
      </c>
      <c r="I36" s="12" t="inlineStr">
        <is>
          <t>User access permissions; uploaded files</t>
        </is>
      </c>
      <c r="J36" s="12" t="inlineStr">
        <is>
          <t>Manipulated access requests, through parameter tampering, null or malformed file references, type confusion between upload and retrieval paths, or indirect references that the authorisation check resolves differently from the retrieval step, cause the check inside P2 to pass while DF6 retrieves and DF7 returns content the requester is not entitled to.</t>
        </is>
      </c>
      <c r="K36" s="12" t="inlineStr">
        <is>
          <t>The attacker submits a retrieval request whose file reference is crafted so that the authorisation check inside P2 resolves it as permitted while the retrieval step resolves it as the victim's document; DF6 fetches and DF7 returns the victim's content with the check nominally in place and no obvious defect in any single component.</t>
        </is>
      </c>
      <c r="L36" s="12" t="inlineStr">
        <is>
          <t>Unauthorised retrieval of stored files with the authorisation check nominally in place, defeating the platform's core access-control property.</t>
        </is>
      </c>
      <c r="M36" s="12" t="inlineStr">
        <is>
          <t>TB3 is drawn precisely between the user request and the file retrieval authorisation logic, which makes that logic the single decision point of the architecture: DF5 arrives, a decision is taken inside P2, and DF6 and DF7 act on it with no second enforcement element after the check. The attacker's input enters across TB1 on DF4 and reaches the decision logic through DF5. OWASP A04 together with A01 applies.</t>
        </is>
      </c>
      <c r="N36" s="12" t="inlineStr">
        <is>
          <t>Catalogue entry T-03, retained unchanged in substance and already single-category. Per the review's mandated distinction, this entry is a P2-path retrieval failure and is deliberately kept separate from the AI-path disclosure entries S2-RT-009, S2-RT-018 and S2-RT-025: unauthorised retrieval through the file service and disclosure of already-approved context through the assistant are different security mechanisms. Distinct from S2-RT-004: here the check logic itself is flawed, while in S2-RT-004 the check is correct but unbound to the object; and distinct from S2-RT-001, which is the absence of a valid identity binding rather than a flawed decision for a bound caller. Primary STRIDE is Elevation of Privilege: access beyond entitlement.</t>
        </is>
      </c>
      <c r="O36" s="11" t="inlineStr">
        <is>
          <t>Critical</t>
        </is>
      </c>
      <c r="P36" s="11" t="inlineStr">
        <is>
          <t>Medium</t>
        </is>
      </c>
      <c r="Q36" s="11" t="inlineStr">
        <is>
          <t>No</t>
        </is>
      </c>
      <c r="R36" s="11" t="inlineStr">
        <is>
          <t>High</t>
        </is>
      </c>
      <c r="S36" s="11" t="inlineStr">
        <is>
          <t>YES</t>
        </is>
      </c>
    </row>
    <row r="37" ht="52" customHeight="1">
      <c r="A37" s="11" t="inlineStr">
        <is>
          <t>S2-RT-004</t>
        </is>
      </c>
      <c r="B37" s="11" t="inlineStr">
        <is>
          <t>S2</t>
        </is>
      </c>
      <c r="C37" s="11" t="inlineStr">
        <is>
          <t>Broken object-level authorisation on file identifiers</t>
        </is>
      </c>
      <c r="D37" s="11" t="inlineStr">
        <is>
          <t>Elevation of Privilege</t>
        </is>
      </c>
      <c r="E37" s="11" t="inlineStr">
        <is>
          <t>Authorization</t>
        </is>
      </c>
      <c r="F37" s="12" t="inlineStr">
        <is>
          <t>P2 File Management Service; DS1 Server Storage</t>
        </is>
      </c>
      <c r="G37" s="12" t="inlineStr">
        <is>
          <t>DF4, DF5, DF6, DF7, DF8</t>
        </is>
      </c>
      <c r="H37" s="12" t="inlineStr">
        <is>
          <t>TB3</t>
        </is>
      </c>
      <c r="I37" s="12" t="inlineStr">
        <is>
          <t>Uploaded files; sensitive document contents; file metadata</t>
        </is>
      </c>
      <c r="J37" s="12" t="inlineStr">
        <is>
          <t>An authenticated user substitutes another user's file identifier in a retrieval request on DF4 and DF5, and P2 composes the DF6 lookup from the client-supplied identifier rather than from the set of objects bound to the authenticated identity, so DF7 returns the victim's file and DF8 delivers it to the attacker.</t>
        </is>
      </c>
      <c r="K37" s="12" t="inlineStr">
        <is>
          <t>After a legitimate login, the attacker requests a document using an identifier learned or guessed for another user's file; the authorisation check verifies that the requester may retrieve files in general but nothing binds the lookup to the objects the identity owns, and the victim's document is delivered on DF8.</t>
        </is>
      </c>
      <c r="L37" s="12" t="inlineStr">
        <is>
          <t>Horizontal unauthorised access to any stored document whose identifier can be learned or guessed, scalable across the whole store, with each individual request well-formed and correctly authenticated.</t>
        </is>
      </c>
      <c r="M37" s="12" t="inlineStr">
        <is>
          <t>DF5 is described as an authenticated file access request, but authentication establishes who the caller is, not which objects the caller may act on, and no element in the flow set binds the DF6 lookup to the identity established at DF5; DS2 holds file ownership, yet nothing forces the lookup to be composed from that ownership rather than from the client-supplied reference. OWASP A01 applies, aided by the enumeration behaviour of S2-RT-016.</t>
        </is>
      </c>
      <c r="N37" s="12" t="inlineStr">
        <is>
          <t>Catalogue entry T-04, retained with a STRIDE collapse: primary Elevation of Privilege (access to another subject's object), with information disclosure noted as the consequence rather than carried in the primary field. Re-anchored to DS2's ownership records as the source the lookup fails to consult. Distinct from S2-RT-003 per the logic-versus-binding distinction stated there, and a P2-path entry per the mandated distinction from the AI-path disclosure entries. Objectively matchable by the substituted-identifier test.</t>
        </is>
      </c>
      <c r="O37" s="11" t="inlineStr">
        <is>
          <t>Critical</t>
        </is>
      </c>
      <c r="P37" s="11" t="inlineStr">
        <is>
          <t>High</t>
        </is>
      </c>
      <c r="Q37" s="11" t="inlineStr">
        <is>
          <t>No</t>
        </is>
      </c>
      <c r="R37" s="11" t="inlineStr">
        <is>
          <t>High</t>
        </is>
      </c>
      <c r="S37" s="11" t="inlineStr">
        <is>
          <t>YES</t>
        </is>
      </c>
    </row>
    <row r="38" ht="52" customHeight="1">
      <c r="A38" s="11" t="inlineStr">
        <is>
          <t>S2-RT-005</t>
        </is>
      </c>
      <c r="B38" s="11" t="inlineStr">
        <is>
          <t>S2</t>
        </is>
      </c>
      <c r="C38" s="11" t="inlineStr">
        <is>
          <t>Escape from the per-user storage scope through crafted file references</t>
        </is>
      </c>
      <c r="D38" s="11" t="inlineStr">
        <is>
          <t>Elevation of Privilege</t>
        </is>
      </c>
      <c r="E38" s="11" t="inlineStr">
        <is>
          <t>Authorization</t>
        </is>
      </c>
      <c r="F38" s="12" t="inlineStr">
        <is>
          <t>P2 File Management Service; DS1 Server Storage</t>
        </is>
      </c>
      <c r="G38" s="12" t="inlineStr">
        <is>
          <t>DF2, DF3 (write path); DF6, DF7 (read path)</t>
        </is>
      </c>
      <c r="H38" s="12" t="inlineStr">
        <is>
          <t>TB2; TB3</t>
        </is>
      </c>
      <c r="I38" s="12" t="inlineStr">
        <is>
          <t>Uploaded files; sensitive document contents; file metadata</t>
        </is>
      </c>
      <c r="J38" s="12" t="inlineStr">
        <is>
          <t>File names or identifiers whose crafted structure is interpreted by storage resolution as reaching beyond the caller's per-user or per-application scope are accepted on upload through DF2 or on retrieval through DF4 and DF6, so the write on DF3 commits to a location outside the intended scope and the read on DF6 returns storage content that the requester could never address through the legitimate reference scheme.</t>
        </is>
      </c>
      <c r="K38" s="12" t="inlineStr">
        <is>
          <t>An attacker uploads a file whose name is crafted so that the DF3 write resolves outside the intended storage scope, replacing content there; separately, a retrieval reference crafted the same way causes DF6 to read and DF7 to return storage content beyond the requester's legitimate scope, including other users' documents and platform-held content.</t>
        </is>
      </c>
      <c r="L38" s="12" t="inlineStr">
        <is>
          <t>Reading or replacing storage content beyond the caller's legitimate scope, including other users' documents and platform-held content, and planting content that later retrieval presents as legitimate.</t>
        </is>
      </c>
      <c r="M38" s="12" t="inlineStr">
        <is>
          <t>DF3 and DF6 are the flows that cross TB2, and both carry a file reference whose textual form originates in the client environment on DF1 and DF4; the model shows validation on the upload leg but no normalisation of names or references on either crossing, so the reference is interpreted by the storage layer with whatever meaning it assigns, and a crafted reference can escape the intended reference scheme entirely.</t>
        </is>
      </c>
      <c r="N38" s="12" t="inlineStr">
        <is>
          <t>Catalogue entry T-05, retained with a STRIDE collapse and an architecture-level rewrite in this final pass: the original's file-system-specific wording was generalised to crafted file references whose resolution escapes the per-user scope, a formulation the drawn architecture fully supports, because names and references flow from the client environment across TB2 to storage resolution with no normalisation drawn on either crossing. Primary Elevation of Privilege, since the violated property is access beyond the caller's entitlement, with the read-side information disclosure and write-side tampering recorded here as consequences. Distinct from S2-RT-004 because the reference here is crafted outside the legitimate reference scheme rather than being another user's valid object reference, and from S2-RT-006 because it abuses reference resolution rather than lookup influence. The mitigation, canonical reference resolution and containment, differs accordingly. OWASP A03 and A01 apply.</t>
        </is>
      </c>
      <c r="O38" s="11" t="inlineStr">
        <is>
          <t>Critical</t>
        </is>
      </c>
      <c r="P38" s="11" t="inlineStr">
        <is>
          <t>Medium</t>
        </is>
      </c>
      <c r="Q38" s="11" t="inlineStr">
        <is>
          <t>No</t>
        </is>
      </c>
      <c r="R38" s="11" t="inlineStr">
        <is>
          <t>High</t>
        </is>
      </c>
      <c r="S38" s="11" t="inlineStr">
        <is>
          <t>YES</t>
        </is>
      </c>
    </row>
    <row r="39" ht="52" customHeight="1">
      <c r="A39" s="11" t="inlineStr">
        <is>
          <t>S2-RT-006</t>
        </is>
      </c>
      <c r="B39" s="11" t="inlineStr">
        <is>
          <t>S2</t>
        </is>
      </c>
      <c r="C39" s="11" t="inlineStr">
        <is>
          <t>Injection affecting file lookup and metadata processing</t>
        </is>
      </c>
      <c r="D39" s="11" t="inlineStr">
        <is>
          <t>Tampering</t>
        </is>
      </c>
      <c r="E39" s="11" t="inlineStr">
        <is>
          <t>Authorization</t>
        </is>
      </c>
      <c r="F39" s="12" t="inlineStr">
        <is>
          <t>P2 File Management Service; DS1 Server Storage</t>
        </is>
      </c>
      <c r="G39" s="12" t="inlineStr">
        <is>
          <t>DF6 (taint entry via DF1 and DF4)</t>
        </is>
      </c>
      <c r="H39" s="12" t="inlineStr">
        <is>
          <t>TB2; TB3</t>
        </is>
      </c>
      <c r="I39" s="12" t="inlineStr">
        <is>
          <t>Uploaded files; file metadata; sensitive document contents</t>
        </is>
      </c>
      <c r="J39" s="12" t="inlineStr">
        <is>
          <t>Attacker-controlled syntax in the file reference or in metadata fields entered on DF1 influences the lookup that P2 composes on DF6, altering what the store returns: bypass of lookup restrictions and extraction of the metadata catalogue beyond the requester's scope.</t>
        </is>
      </c>
      <c r="K39" s="12" t="inlineStr">
        <is>
          <t>The attacker submits a retrieval request whose file reference carries crafted syntax that changes the meaning of the DF6 lookup; the store returns records beyond the requester's scope, both file content references and the metadata catalogue, without the authorisation check on DF5 ever seeing the same reference the lookup resolves.</t>
        </is>
      </c>
      <c r="L39" s="12" t="inlineStr">
        <is>
          <t>Simultaneous authorisation bypass and catalogue-wide disclosure of file metadata and document references, providing the enumeration substrate that scales S2-RT-004 and S2-RT-005.</t>
        </is>
      </c>
      <c r="M39" s="12" t="inlineStr">
        <is>
          <t>DF6 is the flow where untrusted text that entered the client environment across TB1 is transformed into a request interpreted by a higher-authority component across TB2, a confused-deputy condition; the taint path from DF1 through DF4 to DF6 contains no validation or separation element. The store holds file metadata alongside content, so the fields on which TB3 decisions rely are part of the lookup surface. OWASP A03 applies.</t>
        </is>
      </c>
      <c r="N39" s="12" t="inlineStr">
        <is>
          <t>Catalogue entry T-06, retained with a technology-neutral rewrite: implementation-specific injection constructs were removed and the mechanism is stated as untrusted influence over the DF6 lookup, which the drawn architecture fully supports. Matching note: the identical taint pattern applied to the permission-store lookups that P2 directs at DS2 matches this entry and feeds S2-RT-034. Primary STRIDE is Tampering: the integrity of the lookup is violated; the authorisation bypass and extraction are consequences. Distinct from S2-RT-005 per the reference-resolution versus lookup-influence distinction.</t>
        </is>
      </c>
      <c r="O39" s="11" t="inlineStr">
        <is>
          <t>Critical</t>
        </is>
      </c>
      <c r="P39" s="11" t="inlineStr">
        <is>
          <t>Medium</t>
        </is>
      </c>
      <c r="Q39" s="11" t="inlineStr">
        <is>
          <t>No</t>
        </is>
      </c>
      <c r="R39" s="11" t="inlineStr">
        <is>
          <t>High</t>
        </is>
      </c>
      <c r="S39" s="11" t="inlineStr">
        <is>
          <t>YES</t>
        </is>
      </c>
    </row>
    <row r="40" ht="52" customHeight="1">
      <c r="A40" s="11" t="inlineStr">
        <is>
          <t>S2-RT-007</t>
        </is>
      </c>
      <c r="B40" s="11" t="inlineStr">
        <is>
          <t>S2</t>
        </is>
      </c>
      <c r="C40" s="11" t="inlineStr">
        <is>
          <t>Privilege-separation gap in the File Management Service's storage access</t>
        </is>
      </c>
      <c r="D40" s="11" t="inlineStr">
        <is>
          <t>Elevation of Privilege</t>
        </is>
      </c>
      <c r="E40" s="11" t="inlineStr">
        <is>
          <t>Authorization</t>
        </is>
      </c>
      <c r="F40" s="12" t="inlineStr">
        <is>
          <t>P2 File Management Service; DS1 Server Storage; DS2 User Permission Database</t>
        </is>
      </c>
      <c r="G40" s="12" t="inlineStr">
        <is>
          <t>DF3, DF6, DF7</t>
        </is>
      </c>
      <c r="H40" s="12" t="inlineStr">
        <is>
          <t>TB2</t>
        </is>
      </c>
      <c r="I40" s="12" t="inlineStr">
        <is>
          <t>Uploaded files; file metadata; user access permissions</t>
        </is>
      </c>
      <c r="J40" s="12" t="inlineStr">
        <is>
          <t>The architecture specifies no privilege separation for P2's storage access: a single access scope spans all users' content, the metadata catalogue and the permission records P2 consults, rather than scopes limited to what each function's operations legitimately require. If the implemented access scope is broader than individual functions require, a condition the supplied architecture neither establishes nor excludes, compromise or defect in any one function operates against content and records that function never legitimately required.</t>
        </is>
      </c>
      <c r="K40" s="12" t="inlineStr">
        <is>
          <t>An attacker who compromises or finds a flaw in one P2 function, for instance the validation of uploads, operates through the undifferentiated storage access against content and records that the compromised function never legitimately required, reaching every user's documents and the permission records P2 consults.</t>
        </is>
      </c>
      <c r="L40" s="12" t="inlineStr">
        <is>
          <t>Compromise or defect in any single P2 function can yield read or write access to stores and records it does not need, so a flaw in a low-sensitivity function can expose the entire store and the authorisation source.</t>
        </is>
      </c>
      <c r="M40" s="12" t="inlineStr">
        <is>
          <t>The supplied architecture makes P2 the only component that controls storage and consults DS2 as the authoritative authorisation source, which concentrates all store access in one service; TB2 marks the storage boundary, and how P2's access is scoped at that crossing is not specified, which is recorded as an architecture-level control gap.</t>
        </is>
      </c>
      <c r="N40" s="12" t="inlineStr">
        <is>
          <t>Catalogue entry T-07, retained, re-anchored and reframed in this freeze audit as an architecture-level privilege-separation gap: the entry makes no claim that P2 definitely holds excessive privileges, since the implemented scope is unknowable from the supplied architecture; it records that nothing in the supplied architecture separates or limits P2's storage access, so the blast radius of any P2 defect is structurally unbounded. Under the supplied architecture P2 is the sole store client, which concentrates all store access in one service; TB2 marks the storage boundary, and how P2's access is scoped at that crossing is not specified, which is the control gap this entry records. The entry makes no claim that the assistant or the LLM reaches storage: the architecture states the opposite, and scoped access is what keeps that stated property true under P2 compromise. Primary STRIDE is Elevation of Privilege.</t>
        </is>
      </c>
      <c r="O40" s="11" t="inlineStr">
        <is>
          <t>High</t>
        </is>
      </c>
      <c r="P40" s="11" t="inlineStr">
        <is>
          <t>Medium</t>
        </is>
      </c>
      <c r="Q40" s="11" t="inlineStr">
        <is>
          <t>No</t>
        </is>
      </c>
      <c r="R40" s="11" t="inlineStr">
        <is>
          <t>High</t>
        </is>
      </c>
      <c r="S40" s="11" t="inlineStr">
        <is>
          <t>YES</t>
        </is>
      </c>
    </row>
    <row r="41" ht="52" customHeight="1">
      <c r="A41" s="11" t="inlineStr">
        <is>
          <t>S2-RT-008</t>
        </is>
      </c>
      <c r="B41" s="11" t="inlineStr">
        <is>
          <t>S2</t>
        </is>
      </c>
      <c r="C41" s="11" t="inlineStr">
        <is>
          <t>Unauthorised access to document context through the assistant path</t>
        </is>
      </c>
      <c r="D41" s="11" t="inlineStr">
        <is>
          <t>Elevation of Privilege</t>
        </is>
      </c>
      <c r="E41" s="11" t="inlineStr">
        <is>
          <t>Authorization</t>
        </is>
      </c>
      <c r="F41" s="12" t="inlineStr">
        <is>
          <t>P3 AI File Assistant</t>
        </is>
      </c>
      <c r="G41" s="12" t="inlineStr">
        <is>
          <t>DF9, DF10</t>
        </is>
      </c>
      <c r="H41" s="12" t="inlineStr">
        <is>
          <t>TB1</t>
        </is>
      </c>
      <c r="I41" s="12" t="inlineStr">
        <is>
          <t>Approved document context; generated responses; provider quota</t>
        </is>
      </c>
      <c r="J41" s="12" t="inlineStr">
        <is>
          <t>The assistant path crosses TB1 on DF9 independently of the identity-bound file path, and no identity binding is specified for it: a requester without a valid identity binding can submit questions, and the approved-context mechanism that A3 describes cannot anchor to a legitimate requester, so document-derived context is assembled and returned through the assistant pipeline to an unauthorised party.</t>
        </is>
      </c>
      <c r="K41" s="12" t="inlineStr">
        <is>
          <t>A client with no identity binding submits a question on DF9; P3 accepts it, document context is attached under the approved-context mechanism without a legitimate requester to anchor it, and the LLM pipeline is consumed on DF10, delivering document-derived answers to a party never bound to an identity.</t>
        </is>
      </c>
      <c r="L41" s="12" t="inlineStr">
        <is>
          <t>Unauthorised access to document-derived context and answers through the assistant path, anonymous consumption of the LLM pipeline, and loss of per-user attribution for abuse.</t>
        </is>
      </c>
      <c r="M41" s="12" t="inlineStr">
        <is>
          <t>DF9 runs from the untrusted End User directly to P3 and crosses TB1 independently of the DF4/DF5 identity-bound retrieval path, so P3 inherits no protection established at the file path; A3 states that the assistant receives only approved document context, which presupposes a known requester, yet no authentication element is drawn on DF9 and the check's presence is not specified.</t>
        </is>
      </c>
      <c r="N41" s="12" t="inlineStr">
        <is>
          <t>Catalogue entry T-08, retained with a STRIDE collapse and reframed in this freeze audit around the document-context asset. The threat is not a generic assumption that the assistant interface needs its own authorisation check: the supplied architecture independently justifies the entry, because A3 makes the assistant path carry approved document context and DS2's per-user permissions make that approval user-specific, so a path that reaches the pipeline without identity binding is an unauthorised-access path to document-derived content. Primary Elevation of Privilege, because the attacker uses a protected application capability without entitlement and no identity is forged, so Spoofing is not the primary violation. Classified as not LLM-specific: the defect is a missing identity binding on an application path and would exist identically for any capability that serves user-specific content. Conditional phrasing applied to the unspecified check. This entry is the unauthenticated entry point leveraged by S2-RT-033.</t>
        </is>
      </c>
      <c r="O41" s="11" t="inlineStr">
        <is>
          <t>High</t>
        </is>
      </c>
      <c r="P41" s="11" t="inlineStr">
        <is>
          <t>Medium</t>
        </is>
      </c>
      <c r="Q41" s="11" t="inlineStr">
        <is>
          <t>No</t>
        </is>
      </c>
      <c r="R41" s="11" t="inlineStr">
        <is>
          <t>High</t>
        </is>
      </c>
      <c r="S41" s="11" t="inlineStr">
        <is>
          <t>YES</t>
        </is>
      </c>
    </row>
    <row r="42" ht="52" customHeight="1">
      <c r="A42" s="11" t="inlineStr">
        <is>
          <t>S2-RT-009</t>
        </is>
      </c>
      <c r="B42" s="11" t="inlineStr">
        <is>
          <t>S2</t>
        </is>
      </c>
      <c r="C42" s="11" t="inlineStr">
        <is>
          <t>Authorisation gap in assistant document-context preparation</t>
        </is>
      </c>
      <c r="D42" s="11" t="inlineStr">
        <is>
          <t>Elevation of Privilege</t>
        </is>
      </c>
      <c r="E42" s="11" t="inlineStr">
        <is>
          <t>Authorization</t>
        </is>
      </c>
      <c r="F42" s="12" t="inlineStr">
        <is>
          <t>P3 AI File Assistant; P2 File Management Service; DS1 Server Storage</t>
        </is>
      </c>
      <c r="G42" s="12" t="inlineStr">
        <is>
          <t>DF9, DF10 (context-acquisition path not represented in the model)</t>
        </is>
      </c>
      <c r="H42" s="12" t="inlineStr">
        <is>
          <t>TB3; TB4</t>
        </is>
      </c>
      <c r="I42" s="12" t="inlineStr">
        <is>
          <t>Sensitive document contents; document context sent to the LLM; user access permissions</t>
        </is>
      </c>
      <c r="J42" s="12" t="inlineStr">
        <is>
          <t>The document context that DF10 describes as approved is assembled somewhere between storage and the assistant, but no flow in the model shows that context passing the TB3 authorisation logic that governs retrieval; if context preparation selects documents by reference or relevance without verifying the asking user's entitlement, the assistant becomes an alternative disclosure channel for protected files.</t>
        </is>
      </c>
      <c r="K42" s="12" t="inlineStr">
        <is>
          <t>A user asks the assistant to summarise a document they are not entitled to retrieve; the unmodelled context-acquisition path attaches the document anyway, because nothing represented in the architecture subjects context selection to the same entitlement check that governs DF5-to-DF8 retrieval, and the content is returned as a generated response.</t>
        </is>
      </c>
      <c r="L42" s="12" t="inlineStr">
        <is>
          <t>Confidential document contents returned as generated responses to users who could not retrieve those files through the authorised path, silently bypassing the platform's core access-control property through the AI channel.</t>
        </is>
      </c>
      <c r="M42" s="12" t="inlineStr">
        <is>
          <t>A3 states that the assistant receives only approved document context, but that is a policy statement whose enforcement point is not represented: the model contains a fully specified retrieval path with an explicit authorisation boundary from DF5 to DF8 across TB3, and a separate context path that begins nowhere visible and arrives fully formed on DF10. A reference model must test stated properties against drawn controls rather than accept them.</t>
        </is>
      </c>
      <c r="N42" s="12" t="inlineStr">
        <is>
          <t>Catalogue entry T-09, retained with a STRIDE collapse: primary Elevation of Privilege, the unauthorised channel to protected content, with the disclosure itself noted as the consequence. This entry is the AI-path counterpart of the P2-path retrieval failures S2-RT-003 to S2-RT-005 and is deliberately not merged with them, per the review's mandated distinction between unauthorised retrieval through P2 and disclosure of already-approved or wrongly-approved context through the AI path. Classified AI-specific because the context-preparation path exists only to feed the external LLM. Confidence Medium: absence-based grounding.</t>
        </is>
      </c>
      <c r="O42" s="11" t="inlineStr">
        <is>
          <t>High</t>
        </is>
      </c>
      <c r="P42" s="11" t="inlineStr">
        <is>
          <t>Medium</t>
        </is>
      </c>
      <c r="Q42" s="11" t="inlineStr">
        <is>
          <t>Yes</t>
        </is>
      </c>
      <c r="R42" s="11" t="inlineStr">
        <is>
          <t>Medium</t>
        </is>
      </c>
      <c r="S42" s="11" t="inlineStr">
        <is>
          <t>YES</t>
        </is>
      </c>
    </row>
    <row r="43" ht="52" customHeight="1">
      <c r="A43" s="11" t="inlineStr">
        <is>
          <t>S2-RT-010</t>
        </is>
      </c>
      <c r="B43" s="11" t="inlineStr">
        <is>
          <t>S2</t>
        </is>
      </c>
      <c r="C43" s="11" t="inlineStr">
        <is>
          <t>Malicious file upload and platform-mediated distribution</t>
        </is>
      </c>
      <c r="D43" s="11" t="inlineStr">
        <is>
          <t>Tampering</t>
        </is>
      </c>
      <c r="E43" s="11" t="inlineStr">
        <is>
          <t>Data Security</t>
        </is>
      </c>
      <c r="F43" s="12" t="inlineStr">
        <is>
          <t>P2 File Management Service; DS1 Server Storage</t>
        </is>
      </c>
      <c r="G43" s="12" t="inlineStr">
        <is>
          <t>DF2, DF3, DF7, DF8</t>
        </is>
      </c>
      <c r="H43" s="12" t="inlineStr">
        <is>
          <t>TB1; TB2</t>
        </is>
      </c>
      <c r="I43" s="12" t="inlineStr">
        <is>
          <t>Uploaded files; document contents; recipient client environments</t>
        </is>
      </c>
      <c r="J43" s="12" t="inlineStr">
        <is>
          <t>Files with malicious active content are accepted on upload because validation of file properties is not specified beyond access validation, are stored through DF3, and are distributed on request through DF7 and DF8 to other users, making the platform the delivery mechanism for hostile content.</t>
        </is>
      </c>
      <c r="K43" s="12" t="inlineStr">
        <is>
          <t>An attacker uploads a document containing hostile active content under a plausible name; the file is stored and later retrieved by another user, who opens it under the assumption that the platform is a trusted source, executing the content in their own client environment.</t>
        </is>
      </c>
      <c r="L43" s="12" t="inlineStr">
        <is>
          <t>The platform becomes a distribution channel for malicious content between users, with the trust placed in a legitimate service converting each retrieval into a delivery, and the attacker needing no further interaction after upload.</t>
        </is>
      </c>
      <c r="M43" s="12" t="inlineStr">
        <is>
          <t>Upload on DF1/DF2 and storage on DF3 are stated capabilities with no content-inspection element drawn anywhere in the model, and A5 declares uploaded files untrusted; the distribution path DF7/DF8 is the platform's stated purpose, so the only question the architecture leaves open is what, if anything, is checked about content, which is not specified.</t>
        </is>
      </c>
      <c r="N43" s="12" t="inlineStr">
        <is>
          <t>Catalogue entry T-10, retained. Required by the file-security checklist (malicious file upload) and architecture-grounded: the upload-validation obligation of P2 concerns access and properties, and no content-control element is drawn, which is stated as a control gap rather than a definite absence. Retained separately from S2-RT-011 because the victim-side mechanism differs: here the recipient opens the file in their own client environment, whereas RT-011 requires only that the platform display content, and the mitigations differ, upload-side content controls versus display-side content handling. Primary STRIDE is Tampering.</t>
        </is>
      </c>
      <c r="O43" s="11" t="inlineStr">
        <is>
          <t>Critical</t>
        </is>
      </c>
      <c r="P43" s="11" t="inlineStr">
        <is>
          <t>Medium</t>
        </is>
      </c>
      <c r="Q43" s="11" t="inlineStr">
        <is>
          <t>No</t>
        </is>
      </c>
      <c r="R43" s="11" t="inlineStr">
        <is>
          <t>High</t>
        </is>
      </c>
      <c r="S43" s="11" t="inlineStr">
        <is>
          <t>YES</t>
        </is>
      </c>
    </row>
    <row r="44" ht="52" customHeight="1">
      <c r="A44" s="11" t="inlineStr">
        <is>
          <t>S2-RT-011</t>
        </is>
      </c>
      <c r="B44" s="11" t="inlineStr">
        <is>
          <t>S2</t>
        </is>
      </c>
      <c r="C44" s="11" t="inlineStr">
        <is>
          <t>Stored active content executed in the application's client context through retrieved files</t>
        </is>
      </c>
      <c r="D44" s="11" t="inlineStr">
        <is>
          <t>Tampering</t>
        </is>
      </c>
      <c r="E44" s="11" t="inlineStr">
        <is>
          <t>Data Security</t>
        </is>
      </c>
      <c r="F44" s="12" t="inlineStr">
        <is>
          <t>P1 Web Frontend; DS1 Server Storage</t>
        </is>
      </c>
      <c r="G44" s="12" t="inlineStr">
        <is>
          <t>DF7, DF8</t>
        </is>
      </c>
      <c r="H44" s="12" t="inlineStr">
        <is>
          <t>TB1</t>
        </is>
      </c>
      <c r="I44" s="12" t="inlineStr">
        <is>
          <t>Sensitive document contents; user identity-assertion material</t>
        </is>
      </c>
      <c r="J44" s="12" t="inlineStr">
        <is>
          <t>If the retrieval interface presents stored file content within the platform interface in a form the client environment interprets as executable, and display-side content handling at P1 is not specified, with the execution context assigned by the display environment rather than by any drawn control, active content planted in an uploaded file executes in the application's client context, where identity-assertion material is reachable.</t>
        </is>
      </c>
      <c r="K44" s="12" t="inlineStr">
        <is>
          <t>An attacker uploads a document containing active content; if the platform's retrieval interface presents it within the platform interface rather than handing it off, a user who retrieves it triggers execution in the platform's own client context, where the identity-assertion material of S2-RT-002 is reachable, completing impersonation without the victim ever opening the file outside the platform.</t>
        </is>
      </c>
      <c r="L44" s="12" t="inlineStr">
        <is>
          <t>Execution of attacker-influenced content in the trusted application context, leading to theft of identity-assertion material, actions performed on the victim's behalf, or presentation of fabricated content inside the legitimate interface.</t>
        </is>
      </c>
      <c r="M44" s="12" t="inlineStr">
        <is>
          <t>DF8 terminates at a frontend whose stated purpose includes displaying responses and serving the retrieval interface, so whether stored content is dangerous is decided by display disposition rather than by any drawn control; A5 declares uploaded files untrusted, and no display-side content-handling element is specified.</t>
        </is>
      </c>
      <c r="N44" s="12" t="inlineStr">
        <is>
          <t>Catalogue entry T-11, retained with a STRIDE collapse and a technology-neutral rewrite: primary Tampering, the integrity of displayed content, with the elevation-of-privilege consequence noted here; implementation-specific display-handling mechanisms were generalised. Retained separately from S2-RT-010 per the recipient-side mechanism distinction stated there. This is the file-side anchor of the chain that terminates in impersonation through S2-RT-002. One interpretive note is recorded: the entry is retained conditionally on P1 presenting retrieved content within the platform interface in a form the client environment can interpret, which the retrieval interface's stated purpose supports but which is listed among the architectural ambiguities.</t>
        </is>
      </c>
      <c r="O44" s="11" t="inlineStr">
        <is>
          <t>High</t>
        </is>
      </c>
      <c r="P44" s="11" t="inlineStr">
        <is>
          <t>Medium</t>
        </is>
      </c>
      <c r="Q44" s="11" t="inlineStr">
        <is>
          <t>No</t>
        </is>
      </c>
      <c r="R44" s="11" t="inlineStr">
        <is>
          <t>High</t>
        </is>
      </c>
      <c r="S44" s="11" t="inlineStr">
        <is>
          <t>YES</t>
        </is>
      </c>
    </row>
    <row r="45" ht="52" customHeight="1">
      <c r="A45" s="11" t="inlineStr">
        <is>
          <t>S2-RT-012</t>
        </is>
      </c>
      <c r="B45" s="11" t="inlineStr">
        <is>
          <t>S2</t>
        </is>
      </c>
      <c r="C45" s="11" t="inlineStr">
        <is>
          <t>Server-side exploitation of document processing</t>
        </is>
      </c>
      <c r="D45" s="11" t="inlineStr">
        <is>
          <t>Tampering</t>
        </is>
      </c>
      <c r="E45" s="11" t="inlineStr">
        <is>
          <t>Data Security</t>
        </is>
      </c>
      <c r="F45" s="12" t="inlineStr">
        <is>
          <t>P2 File Management Service; P3 AI File Assistant</t>
        </is>
      </c>
      <c r="G45" s="12" t="inlineStr">
        <is>
          <t>DF2, DF3 (and the unmodelled context-extraction path)</t>
        </is>
      </c>
      <c r="H45" s="12" t="inlineStr">
        <is>
          <t>TB2; TB4</t>
        </is>
      </c>
      <c r="I45" s="12" t="inlineStr">
        <is>
          <t>Uploaded files; document contents; server integrity</t>
        </is>
      </c>
      <c r="J45" s="12" t="inlineStr">
        <is>
          <t>Malformed or hostile document constructs exploit whatever processing the platform performs on untrusted document content, the validation P2 must perform on uploads and the context preparation the assistant path requires, if that processing assigns interpretation to document structure, achieving unintended file reads, denial conditions or code execution inside the application processes.</t>
        </is>
      </c>
      <c r="K45" s="12" t="inlineStr">
        <is>
          <t>An attacker uploads a document whose structure triggers a processing flaw in the validation or context-preparation processing; the flawed processing reads content beyond the document, fails in a way that denies service, or executes with the privileges of the application process, converting a stored document into server-side compromise.</t>
        </is>
      </c>
      <c r="L45" s="12" t="inlineStr">
        <is>
          <t>Compromise of the service processes behind TB2, conversion of the undifferentiated storage access of S2-RT-007 into reach across the entire store, and reading of server-held content that can then be exfiltrated through the assistant channel.</t>
        </is>
      </c>
      <c r="M45" s="12" t="inlineStr">
        <is>
          <t>Both stated consumers of file content must process attacker-supplied content: validation is a stated obligation of P2 on the upload leg, and context preparation for the assistant requires the same stored content to be processed a second time, which the model does not represent as a flow; A5 declares uploaded files untrusted, and processing untrusted document constructs is a documented code-execution class that validation alone does not eliminate because the validator itself processes.</t>
        </is>
      </c>
      <c r="N45" s="12" t="inlineStr">
        <is>
          <t>Catalogue entry T-12, retained with a technology-neutral rewrite: format-specific payload constructs were generalised to hostile document constructs, keeping the mechanism at the level the architecture supports, the processing of untrusted document content that the stated validation and context-preparation obligations imply, with no assumption about the processing mechanism. Classified not AI-specific: the defect class is classical document processing that would exist for any validation or preview feature; the assistant merely adds a second processing site. Retained separately from S2-RT-010 because it targets the server rather than recipient client environments. Primary STRIDE is Tampering; the privilege gain is the consequence. Likelihood Low: requires a specific processing flaw.</t>
        </is>
      </c>
      <c r="O45" s="11" t="inlineStr">
        <is>
          <t>High</t>
        </is>
      </c>
      <c r="P45" s="11" t="inlineStr">
        <is>
          <t>Low</t>
        </is>
      </c>
      <c r="Q45" s="11" t="inlineStr">
        <is>
          <t>No</t>
        </is>
      </c>
      <c r="R45" s="11" t="inlineStr">
        <is>
          <t>High</t>
        </is>
      </c>
      <c r="S45" s="11" t="inlineStr">
        <is>
          <t>YES</t>
        </is>
      </c>
    </row>
    <row r="46" ht="52" customHeight="1">
      <c r="A46" s="11" t="inlineStr">
        <is>
          <t>S2-RT-013</t>
        </is>
      </c>
      <c r="B46" s="11" t="inlineStr">
        <is>
          <t>S2</t>
        </is>
      </c>
      <c r="C46" s="11" t="inlineStr">
        <is>
          <t>File metadata manipulation</t>
        </is>
      </c>
      <c r="D46" s="11" t="inlineStr">
        <is>
          <t>Tampering</t>
        </is>
      </c>
      <c r="E46" s="11" t="inlineStr">
        <is>
          <t>Data Security</t>
        </is>
      </c>
      <c r="F46" s="12" t="inlineStr">
        <is>
          <t>P2 File Management Service; DS1 Server Storage</t>
        </is>
      </c>
      <c r="G46" s="12" t="inlineStr">
        <is>
          <t>DF2, DF3, DF6</t>
        </is>
      </c>
      <c r="H46" s="12" t="inlineStr">
        <is>
          <t>TB2; TB3</t>
        </is>
      </c>
      <c r="I46" s="12" t="inlineStr">
        <is>
          <t>File metadata; provenance information</t>
        </is>
      </c>
      <c r="J46" s="12" t="inlineStr">
        <is>
          <t>Client-influenced metadata on the upload path through DF2 and DF3, or modification through the injection described in S2-RT-006, alters descriptive, provenance or context-relevant fields, so files are presented with forged authorship, timestamps or classification, and context selection is steered towards or away from documents.</t>
        </is>
      </c>
      <c r="K46" s="12" t="inlineStr">
        <is>
          <t>An uploader sets provenance and descriptive metadata misrepresenting a document's origin and date; later retrievals and assistant answers present the forged attribution as fact, and metadata that context preparation consults steers which documents attach to which questions.</t>
        </is>
      </c>
      <c r="L46" s="12" t="inlineStr">
        <is>
          <t>Integrity failure of the provenance information on which users rely when deciding whether a retrieved document is authentic, and silent steering of context selection through manipulated descriptive fields.</t>
        </is>
      </c>
      <c r="M46" s="12" t="inlineStr">
        <is>
          <t>The store holds file metadata as a stated asset, DF3 explicitly carries file and metadata together, and A5 declares metadata untrusted; nothing in the model separates metadata the uploader may set from metadata the platform owns, and no integrity protection on the catalogue is drawn, which is stated as a control gap.</t>
        </is>
      </c>
      <c r="N46" s="12" t="inlineStr">
        <is>
          <t>Catalogue entry T-13, retained and re-scoped under the supplied architecture: ownership and permission fields now live in DS2, the authoritative authorisation source, and their manipulation is carried by the new entry S2-RT-034; this entry is narrowed to descriptive, provenance and context-relevant metadata in DS1, so the two entries divide by store and asset. Retained separately from S2-RT-006 because injection is one vector for metadata corruption rather than the condition itself. Primary STRIDE is Tampering.</t>
        </is>
      </c>
      <c r="O46" s="11" t="inlineStr">
        <is>
          <t>High</t>
        </is>
      </c>
      <c r="P46" s="11" t="inlineStr">
        <is>
          <t>Medium</t>
        </is>
      </c>
      <c r="Q46" s="11" t="inlineStr">
        <is>
          <t>No</t>
        </is>
      </c>
      <c r="R46" s="11" t="inlineStr">
        <is>
          <t>High</t>
        </is>
      </c>
      <c r="S46" s="11" t="inlineStr">
        <is>
          <t>YES</t>
        </is>
      </c>
    </row>
    <row r="47" ht="52" customHeight="1">
      <c r="A47" s="11" t="inlineStr">
        <is>
          <t>S2-RT-014</t>
        </is>
      </c>
      <c r="B47" s="11" t="inlineStr">
        <is>
          <t>S2</t>
        </is>
      </c>
      <c r="C47" s="11" t="inlineStr">
        <is>
          <t>Undetected tampering of stored file content</t>
        </is>
      </c>
      <c r="D47" s="11" t="inlineStr">
        <is>
          <t>Tampering</t>
        </is>
      </c>
      <c r="E47" s="11" t="inlineStr">
        <is>
          <t>Data Security</t>
        </is>
      </c>
      <c r="F47" s="12" t="inlineStr">
        <is>
          <t>DS1 Server Storage; P2 File Management Service</t>
        </is>
      </c>
      <c r="G47" s="12" t="inlineStr">
        <is>
          <t>DF3, DF6, DF7, DF8</t>
        </is>
      </c>
      <c r="H47" s="12" t="inlineStr">
        <is>
          <t>TB2</t>
        </is>
      </c>
      <c r="I47" s="12" t="inlineStr">
        <is>
          <t>Uploaded files; sensitive document contents</t>
        </is>
      </c>
      <c r="J47" s="12" t="inlineStr">
        <is>
          <t>Content is modified after storage, through the write-side scope escape of S2-RT-005, the undifferentiated storage access of S2-RT-007, or direct store access whose protection is not specified, and no integrity verification occurs on the retrieval path, so DF7 returns altered documents that DF8 presents as the originally uploaded files.</t>
        </is>
      </c>
      <c r="K47" s="12" t="inlineStr">
        <is>
          <t>A document is modified in storage after upload; a user retrieves it and receives content that differs from what was stored, with nothing on the DF3-to-DF7 round trip detecting the change, and answers the assistant derives from the altered content inherit the modification.</t>
        </is>
      </c>
      <c r="L47" s="12" t="inlineStr">
        <is>
          <t>Users retrieve and act on documents whose contents have been changed without their knowledge, converting the platform from a store of record into a vector for document fraud, with particular force where summaries and decisions are later derived from the altered content.</t>
        </is>
      </c>
      <c r="M47" s="12" t="inlineStr">
        <is>
          <t>STRIDE-per-element assigns Tampering to every data store, and this entry is the asset-level realisation of that assignment; the model contains no integrity-verification element anywhere on the DF3-to-DF7 round trip, so the platform's integrity property rests entirely on the store being writable by nothing but a correct P2, which is stated as an architecture-level gap.</t>
        </is>
      </c>
      <c r="N47" s="12" t="inlineStr">
        <is>
          <t>Catalogue entry T-14, retained with control-gap phrasing for the unspecified store protection. Retained separately from its enabling vectors, S2-RT-005, S2-RT-006 and S2-RT-007, because the consequence, the detection strategy and the remediation, integrity verification at retrieval, are properties of the store and the DF7 crossing rather than of any single exploit path. The AI angle amplifies but does not cause the condition: altered documents also corrupt downstream outputs, recorded under S2-RT-027. Primary STRIDE is Tampering. Likelihood Low: requires store-level write access.</t>
        </is>
      </c>
      <c r="O47" s="11" t="inlineStr">
        <is>
          <t>High</t>
        </is>
      </c>
      <c r="P47" s="11" t="inlineStr">
        <is>
          <t>Low</t>
        </is>
      </c>
      <c r="Q47" s="11" t="inlineStr">
        <is>
          <t>No</t>
        </is>
      </c>
      <c r="R47" s="11" t="inlineStr">
        <is>
          <t>High</t>
        </is>
      </c>
      <c r="S47" s="11" t="inlineStr">
        <is>
          <t>YES</t>
        </is>
      </c>
    </row>
    <row r="48" ht="52" customHeight="1">
      <c r="A48" s="11" t="inlineStr">
        <is>
          <t>S2-RT-015</t>
        </is>
      </c>
      <c r="B48" s="11" t="inlineStr">
        <is>
          <t>S2</t>
        </is>
      </c>
      <c r="C48" s="11" t="inlineStr">
        <is>
          <t>Mass disclosure of Server Storage and the User Permission Database</t>
        </is>
      </c>
      <c r="D48" s="11" t="inlineStr">
        <is>
          <t>Information Disclosure</t>
        </is>
      </c>
      <c r="E48" s="11" t="inlineStr">
        <is>
          <t>Data Security</t>
        </is>
      </c>
      <c r="F48" s="12" t="inlineStr">
        <is>
          <t>DS1 Server Storage; DS2 User Permission Database</t>
        </is>
      </c>
      <c r="G48" s="12" t="inlineStr">
        <is>
          <t>DF6, DF7 (access path); DF3 (write-side exposure)</t>
        </is>
      </c>
      <c r="H48" s="12" t="inlineStr">
        <is>
          <t>TB2</t>
        </is>
      </c>
      <c r="I48" s="12" t="inlineStr">
        <is>
          <t>Uploaded files; sensitive document contents; file metadata; user identity, ownership and permission records</t>
        </is>
      </c>
      <c r="J48" s="12" t="inlineStr">
        <is>
          <t>Unauthorised bulk read of the persisted stores' contents at the store layer: an actor compromising a store, or gaining access to the store side of the flows that terminate in it, reads the entire document population of DS1 or the complete identity, ownership and permission map of DS2, bypassing P2's per-request authorisation entirely; the architecture specifies no element protecting either store's contents directly.</t>
        </is>
      </c>
      <c r="K48" s="12" t="inlineStr">
        <is>
          <t>An actor reaches the store side of the DF3, DF6 and DF7 termination or of the DS2 permission lookups, through store compromise or unauthorised store-level access whose protection the architecture does not specify, and obtains every user's documents together with the complete identity, ownership and permission map, with no authorisation check ever consulted.</t>
        </is>
      </c>
      <c r="L48" s="12" t="inlineStr">
        <is>
          <t>Catastrophic and irreversible disclosure of the entire stored document population and the complete authorisation map, statutory breach-notification obligations, and targeting information that materially raises the yield of every access-control attack in this baseline.</t>
        </is>
      </c>
      <c r="M48" s="12" t="inlineStr">
        <is>
          <t>DS1 and DS2 are the highest-value assets in the model and sit behind the storage boundary, reachable on the drawn paths only through the DF3, DF6 and DF7 set and the permission lookups P2 directs at DS2; STRIDE-per-element mandates an information-disclosure entry for every data store, and no element protects either store directly.</t>
        </is>
      </c>
      <c r="N48" s="12" t="inlineStr">
        <is>
          <t>Catalogue entry T-15, retained and extended under the supplied architecture: the entry covers DS2 in addition to DS1, because the supplied architecture introduces the User Permission Database as an explicit store whose contents, identity, ownership and permissions, are both sensitive in themselves and the targeting substrate for S2-RT-003 to S2-RT-005. One mechanism, not two: the failure mode is the unauthorised bulk read of persisted store contents at the store layer, and DS1 and DS2 share that identical failure mode with no drawn protection, so splitting by store would duplicate the mechanism rather than distinguish one. The request-path entries S2-RT-006 and S2-RT-007 are separate threats with their own mechanisms and appear here only as alternate roads to the same asset; this entry carries the store-level failure and the asset-level consequence and detection strategy, which are properties of the stores. Primary STRIDE is Information Disclosure.</t>
        </is>
      </c>
      <c r="O48" s="11" t="inlineStr">
        <is>
          <t>Critical</t>
        </is>
      </c>
      <c r="P48" s="11" t="inlineStr">
        <is>
          <t>Medium</t>
        </is>
      </c>
      <c r="Q48" s="11" t="inlineStr">
        <is>
          <t>No</t>
        </is>
      </c>
      <c r="R48" s="11" t="inlineStr">
        <is>
          <t>High</t>
        </is>
      </c>
      <c r="S48" s="11" t="inlineStr">
        <is>
          <t>YES</t>
        </is>
      </c>
    </row>
    <row r="49" ht="52" customHeight="1">
      <c r="A49" s="11" t="inlineStr">
        <is>
          <t>S2-RT-016</t>
        </is>
      </c>
      <c r="B49" s="11" t="inlineStr">
        <is>
          <t>S2</t>
        </is>
      </c>
      <c r="C49" s="11" t="inlineStr">
        <is>
          <t>File enumeration and verbose error disclosure</t>
        </is>
      </c>
      <c r="D49" s="11" t="inlineStr">
        <is>
          <t>Information Disclosure</t>
        </is>
      </c>
      <c r="E49" s="11" t="inlineStr">
        <is>
          <t>Data Security</t>
        </is>
      </c>
      <c r="F49" s="12" t="inlineStr">
        <is>
          <t>P1 Web Frontend; P2 File Management Service</t>
        </is>
      </c>
      <c r="G49" s="12" t="inlineStr">
        <is>
          <t>DF4, DF5, DF8; DF11, DF12 (provider error relay)</t>
        </is>
      </c>
      <c r="H49" s="12" t="inlineStr">
        <is>
          <t>TB1; TB4</t>
        </is>
      </c>
      <c r="I49" s="12" t="inlineStr">
        <is>
          <t>File metadata; document contents; system configuration metadata</t>
        </is>
      </c>
      <c r="J49" s="12" t="inlineStr">
        <is>
          <t>Differential responses between existing and non-existing file references on the retrieval path, sequential or predictable identifiers, internal diagnostic content returned on error, and provider error responses received on DF11 relayed verbatim to the user on DF12.</t>
        </is>
      </c>
      <c r="K49" s="12" t="inlineStr">
        <is>
          <t>The attacker probes the retrieval path with candidate file references and records which produce found-versus-not-found responses and which error content carries internal detail; over many requests this yields a validated map of stored file identifiers and their owners, plus provider error responses that embed the submitted prompt and document context.</t>
        </is>
      </c>
      <c r="L49" s="12" t="inlineStr">
        <is>
          <t>A validated map of stored file identifiers and their owners that directly scales S2-RT-004 and S2-RT-005, plus internal implementation detail that accelerates S2-RT-006, with occasional direct exposure of prompt or document-context content embedded in relayed provider errors.</t>
        </is>
      </c>
      <c r="M49" s="12" t="inlineStr">
        <is>
          <t>The enumeration surface is created by the shape of the retrieval path: DF4 carries a client-chosen file reference, the DF8 response necessarily differs between found and not-found objects, and response normalisation is not specified, so the internal state of the store is externally observable across TB1; the provider-relay leg is anchored on TB4, where error responses on DF11 may embed submitted content. OWASP A05 applies.</t>
        </is>
      </c>
      <c r="N49" s="12" t="inlineStr">
        <is>
          <t>Catalogue entry T-16, retained with a technology-neutral rewrite of the diagnostic-content examples. An enabler rather than a direct compromise (Severity Medium), but a distinct mechanism from S2-RT-015, which is bulk store disclosure rather than an externally observable oracle. Classified not AI-specific: verbose-error propagation is a classical concern regardless of whether the upstream service is a language model. Primary STRIDE is Information Disclosure.</t>
        </is>
      </c>
      <c r="O49" s="11" t="inlineStr">
        <is>
          <t>Medium</t>
        </is>
      </c>
      <c r="P49" s="11" t="inlineStr">
        <is>
          <t>High</t>
        </is>
      </c>
      <c r="Q49" s="11" t="inlineStr">
        <is>
          <t>No</t>
        </is>
      </c>
      <c r="R49" s="11" t="inlineStr">
        <is>
          <t>High</t>
        </is>
      </c>
      <c r="S49" s="11" t="inlineStr">
        <is>
          <t>YES</t>
        </is>
      </c>
    </row>
    <row r="50" ht="52" customHeight="1">
      <c r="A50" s="11" t="inlineStr">
        <is>
          <t>S2-RT-017</t>
        </is>
      </c>
      <c r="B50" s="11" t="inlineStr">
        <is>
          <t>S2</t>
        </is>
      </c>
      <c r="C50" s="11" t="inlineStr">
        <is>
          <t>Interception of files, questions and document context in transit</t>
        </is>
      </c>
      <c r="D50" s="11" t="inlineStr">
        <is>
          <t>Information Disclosure</t>
        </is>
      </c>
      <c r="E50" s="11" t="inlineStr">
        <is>
          <t>Data Security</t>
        </is>
      </c>
      <c r="F50" s="12" t="inlineStr">
        <is>
          <t>P1 Web Frontend; P3 AI File Assistant; P4 LLM Integration Service</t>
        </is>
      </c>
      <c r="G50" s="12" t="inlineStr">
        <is>
          <t>DF8, DF12 (client legs); DF10, DF11 (provider legs)</t>
        </is>
      </c>
      <c r="H50" s="12" t="inlineStr">
        <is>
          <t>TB1; TB4</t>
        </is>
      </c>
      <c r="I50" s="12" t="inlineStr">
        <is>
          <t>Uploaded files; user questions; document context sent to the LLM; user identity-assertion material</t>
        </is>
      </c>
      <c r="J50" s="12" t="inlineStr">
        <is>
          <t>The platform's most sensitive assets are in motion across drawn boundaries, retrieved files on DF8, generated responses on DF12, and questions with approved document context on DF10 and DF11, and transport protection is not specified by the architecture, so an actor positioned on any leg reads the content in transit.</t>
        </is>
      </c>
      <c r="K50" s="12" t="inlineStr">
        <is>
          <t>An actor positioned on the communication path between the client and P1 reads retrieved documents on DF8, and an actor positioned on the application-to-provider legs reads questions and approved document context on DF10; no drawn control protects either leg. Implementation-side persistence of flow content, which the architecture does not specify, would extend the same exposure and is treated as conditional.</t>
        </is>
      </c>
      <c r="L50" s="12" t="inlineStr">
        <is>
          <t>Direct exposure of confidential document contents, user questions, assembled context and identity-assertion material to any party positioned on a boundary-crossing leg, without any defect in application logic.</t>
        </is>
      </c>
      <c r="M50" s="12" t="inlineStr">
        <is>
          <t>STRIDE assigns Information Disclosure to data flows, and the model specifies no transport protection anywhere; the client legs and the TB4 legs terminate in different zones with different observers, which is why both are recorded in one entry with two boundary annotations: the asset, the crossing and the mitigation class are the same.</t>
        </is>
      </c>
      <c r="N50" s="12" t="inlineStr">
        <is>
          <t>Catalogue entry T-17, retained with a technology-neutral rewrite: transport-mechanism terminology and persistence infrastructure were replaced by the unspecified-protection phrasing, with persistence stated conditionally (architecture-only scope). Distinct from S2-RT-018 and S2-RT-019, which describe intended disclosure to the provider, whereas here content is captured in transit. Primary STRIDE is Information Disclosure. Likelihood High: boundary-crossing legs with no specified protection are the default interception surface.</t>
        </is>
      </c>
      <c r="O50" s="11" t="inlineStr">
        <is>
          <t>High</t>
        </is>
      </c>
      <c r="P50" s="11" t="inlineStr">
        <is>
          <t>High</t>
        </is>
      </c>
      <c r="Q50" s="11" t="inlineStr">
        <is>
          <t>No</t>
        </is>
      </c>
      <c r="R50" s="11" t="inlineStr">
        <is>
          <t>High</t>
        </is>
      </c>
      <c r="S50" s="11" t="inlineStr">
        <is>
          <t>YES</t>
        </is>
      </c>
    </row>
    <row r="51" ht="52" customHeight="1">
      <c r="A51" s="11" t="inlineStr">
        <is>
          <t>S2-RT-018</t>
        </is>
      </c>
      <c r="B51" s="11" t="inlineStr">
        <is>
          <t>S2</t>
        </is>
      </c>
      <c r="C51" s="11" t="inlineStr">
        <is>
          <t>Sensitive document content disclosure to the External LLM Provider</t>
        </is>
      </c>
      <c r="D51" s="11" t="inlineStr">
        <is>
          <t>Information Disclosure</t>
        </is>
      </c>
      <c r="E51" s="11" t="inlineStr">
        <is>
          <t>Data Security</t>
        </is>
      </c>
      <c r="F51" s="12" t="inlineStr">
        <is>
          <t>P3 AI File Assistant; P4 LLM Integration Service; EE2 External LLM Provider</t>
        </is>
      </c>
      <c r="G51" s="12" t="inlineStr">
        <is>
          <t>DF10</t>
        </is>
      </c>
      <c r="H51" s="12" t="inlineStr">
        <is>
          <t>TB4</t>
        </is>
      </c>
      <c r="I51" s="12" t="inlineStr">
        <is>
          <t>Sensitive document contents; user questions; document context sent to the LLM; prohibited material (unauthorised files, permission-database contents, private metadata)</t>
        </is>
      </c>
      <c r="J51" s="12" t="inlineStr">
        <is>
          <t>The egress chain from context preparation through P4 to EE2 carries more than the sanitised prompt and approved document context the specification permits: unscoped context assembly, and the carriage of material the specification explicitly prohibits, namely unauthorised files, permission-database contents and private metadata outside approved context.</t>
        </is>
      </c>
      <c r="K51" s="12" t="inlineStr">
        <is>
          <t>Document context assembled from confidential stored files crosses TB4 verbatim on DF10 together with user questions that may themselves contain sensitive material; where context assembly over-includes, unauthorised documents or permission-derived material leave the application, and no element between preparation and egress is drawn to minimise, redact or gate the scope, despite the sanitisation responsibility stated for P4.</t>
        </is>
      </c>
      <c r="L51" s="12" t="inlineStr">
        <is>
          <t>Irreversible disclosure of confidential document contents and prohibited material to a third party whose handling practices are outside the organisation's audit scope, directly violating the specification's egress prohibitions, with associated data-protection exposure for the stored document population.</t>
        </is>
      </c>
      <c r="M51" s="12" t="inlineStr">
        <is>
          <t>TB4 exists precisely because document-related information crosses into an external AI service, and the supplied architecture states that only sanitised prompts and approved document context may be sent to EE2, explicitly prohibiting unauthorised files, permission-database contents and private metadata outside approved context; P4's stated responsibility to create sanitised prompts is the control this entry tests, and no drawn element enforces its scope.</t>
        </is>
      </c>
      <c r="N51" s="12" t="inlineStr">
        <is>
          <t>Catalogue entry T-18, retained and extended under the supplied architecture: the mechanism now explicitly tests the egress prohibitions the specification lists, mirroring the stated EE2 constraints, and the chain is re-anchored through P4, whose sanitisation responsibility is acknowledged as the stated control whose enforcement is not represented. It is the only confidentiality loss in the model with no application-side remedy after the fact, because no control can retract transmitted content. Separate from S2-RT-017 (transit capture) and S2-RT-019 (provider-side persistence): the disclosure here is the intended delivery itself, unchecked in scope. Primary STRIDE is Information Disclosure.</t>
        </is>
      </c>
      <c r="O51" s="11" t="inlineStr">
        <is>
          <t>High</t>
        </is>
      </c>
      <c r="P51" s="11" t="inlineStr">
        <is>
          <t>High</t>
        </is>
      </c>
      <c r="Q51" s="11" t="inlineStr">
        <is>
          <t>Yes</t>
        </is>
      </c>
      <c r="R51" s="11" t="inlineStr">
        <is>
          <t>High</t>
        </is>
      </c>
      <c r="S51" s="11" t="inlineStr">
        <is>
          <t>YES</t>
        </is>
      </c>
    </row>
    <row r="52" ht="52" customHeight="1">
      <c r="A52" s="11" t="inlineStr">
        <is>
          <t>S2-RT-019</t>
        </is>
      </c>
      <c r="B52" s="11" t="inlineStr">
        <is>
          <t>S2</t>
        </is>
      </c>
      <c r="C52" s="11" t="inlineStr">
        <is>
          <t>Conditional provider-side exposure of submitted context</t>
        </is>
      </c>
      <c r="D52" s="11" t="inlineStr">
        <is>
          <t>Information Disclosure</t>
        </is>
      </c>
      <c r="E52" s="11" t="inlineStr">
        <is>
          <t>Data Security</t>
        </is>
      </c>
      <c r="F52" s="12" t="inlineStr">
        <is>
          <t>EE2 External LLM Provider</t>
        </is>
      </c>
      <c r="G52" s="12" t="inlineStr">
        <is>
          <t>DF10, DF11</t>
        </is>
      </c>
      <c r="H52" s="12" t="inlineStr">
        <is>
          <t>TB4</t>
        </is>
      </c>
      <c r="I52" s="12" t="inlineStr">
        <is>
          <t>Document context sent to the LLM; user questions</t>
        </is>
      </c>
      <c r="J52" s="12" t="inlineStr">
        <is>
          <t>Conditional provider-side risk: if the external provider retains, logs or reuses the content submitted on DF10, practices that are outside the application's control and not specified by the architecture, then a later provider-side exposure event affects the entire history of submitted prompts and document-derived context.</t>
        </is>
      </c>
      <c r="K52" s="12" t="inlineStr">
        <is>
          <t>If DF10 content is retained provider-side and is later exposed through a provider-side event, the document-derived questions and context of the whole user population become known to the attacker; no application-side action can retract or bound the exposure, and one user's content may surface in a response returned to another user.</t>
        </is>
      </c>
      <c r="L52" s="12" t="inlineStr">
        <is>
          <t>Long-tail confidentiality loss across the history of DF10 traffic, loss of control over deletion, and possible cross-user surfacing of submitted document content.</t>
        </is>
      </c>
      <c r="M52" s="12" t="inlineStr">
        <is>
          <t>EE2 is drawn as an entity beyond TB4, outside the application's security control, specifically to force reasoning about what happens after successful delivery; the architecture specifies no retention practices, so the provider-side behaviour is stated conditionally and the entry records the consequence if that condition holds.</t>
        </is>
      </c>
      <c r="N52" s="12" t="inlineStr">
        <is>
          <t>Catalogue entry T-19, retained with conditional phrasing throughout: the entry states the conditional exposure rather than asserting provider retention, per the architecture-only scope. The cross-user surfacing case stays folded as a realisation of the same conditional exposure, and the available mitigations remain contractual terms and minimisation at DF10. Severity Medium because realisation requires both the unspecified retention behaviour and a secondary provider-side event. Primary STRIDE is Information Disclosure.</t>
        </is>
      </c>
      <c r="O52" s="11" t="inlineStr">
        <is>
          <t>Medium</t>
        </is>
      </c>
      <c r="P52" s="11" t="inlineStr">
        <is>
          <t>Medium</t>
        </is>
      </c>
      <c r="Q52" s="11" t="inlineStr">
        <is>
          <t>Yes</t>
        </is>
      </c>
      <c r="R52" s="11" t="inlineStr">
        <is>
          <t>Medium</t>
        </is>
      </c>
      <c r="S52" s="11" t="inlineStr">
        <is>
          <t>YES</t>
        </is>
      </c>
    </row>
    <row r="53" ht="52" customHeight="1">
      <c r="A53" s="11" t="inlineStr">
        <is>
          <t>S2-RT-020</t>
        </is>
      </c>
      <c r="B53" s="11" t="inlineStr">
        <is>
          <t>S2</t>
        </is>
      </c>
      <c r="C53" s="11" t="inlineStr">
        <is>
          <t>Exposure of the external provider credential</t>
        </is>
      </c>
      <c r="D53" s="11" t="inlineStr">
        <is>
          <t>Information Disclosure</t>
        </is>
      </c>
      <c r="E53" s="11" t="inlineStr">
        <is>
          <t>Data Security</t>
        </is>
      </c>
      <c r="F53" s="12" t="inlineStr">
        <is>
          <t>P4 LLM Integration Service</t>
        </is>
      </c>
      <c r="G53" s="12" t="inlineStr">
        <is>
          <t>DF10</t>
        </is>
      </c>
      <c r="H53" s="12" t="inlineStr">
        <is>
          <t>TB4</t>
        </is>
      </c>
      <c r="I53" s="12" t="inlineStr">
        <is>
          <t>Provider credential: the authentication material for the DF10 crossing</t>
        </is>
      </c>
      <c r="J53" s="12" t="inlineStr">
        <is>
          <t>The provider authentication material that P4 must hold to perform the DF10 crossing is exposed: its storage and handling are not specified by the architecture, and any exposure yields a secret that authenticates the application to EE2.</t>
        </is>
      </c>
      <c r="K53" s="12" t="inlineStr">
        <is>
          <t>The credential material held at P4 is exposed through an implementation artefact whose nature the architecture does not specify; the attacker recovers it and submits prompts under the application's provider identity, consuming quota and impersonating the application toward the provider.</t>
        </is>
      </c>
      <c r="L53" s="12" t="inlineStr">
        <is>
          <t>Unbounded chargeable use of the organisation's provider account, attacker access to any provider-side data associated with the credential, and complete loss of attribution for prompts submitted under it.</t>
        </is>
      </c>
      <c r="M53" s="12" t="inlineStr">
        <is>
          <t>The supplied architecture makes P4 the component that sends approved document context to the external LLM, so the credential it must hold is a boundary-attached secret at exactly one location; the specification's prohibition on sending permission-database contents and secrets to EE2 confirms that credential material is a recognised system asset. OWASP A02 applies to boundary-attached secrets.</t>
        </is>
      </c>
      <c r="N53" s="12" t="inlineStr">
        <is>
          <t>Catalogue entry T-20, retained with re-anchoring and a technology-neutral rewrite: the credential holder is moved from the assistant to P4, because the supplied architecture introduces the LLM Integration Service as the egress component, and implementation-specific exposure channels were replaced by the unspecified-storage phrasing. Retained separately from S2-RT-018 because a credential compromise exposes the billing relationship and provider-side history rather than any single prompt, and is realised without any document crossing TB4. Not LLM-specific: classical secret exposure. Primary STRIDE is Information Disclosure.</t>
        </is>
      </c>
      <c r="O53" s="11" t="inlineStr">
        <is>
          <t>High</t>
        </is>
      </c>
      <c r="P53" s="11" t="inlineStr">
        <is>
          <t>Medium</t>
        </is>
      </c>
      <c r="Q53" s="11" t="inlineStr">
        <is>
          <t>No</t>
        </is>
      </c>
      <c r="R53" s="11" t="inlineStr">
        <is>
          <t>High</t>
        </is>
      </c>
      <c r="S53" s="11" t="inlineStr">
        <is>
          <t>YES</t>
        </is>
      </c>
    </row>
    <row r="54" ht="52" customHeight="1">
      <c r="A54" s="11" t="inlineStr">
        <is>
          <t>S2-RT-021</t>
        </is>
      </c>
      <c r="B54" s="11" t="inlineStr">
        <is>
          <t>S2</t>
        </is>
      </c>
      <c r="C54" s="11" t="inlineStr">
        <is>
          <t>Unspecified attribution of security-relevant events</t>
        </is>
      </c>
      <c r="D54" s="11" t="inlineStr">
        <is>
          <t>Repudiation</t>
        </is>
      </c>
      <c r="E54" s="11" t="inlineStr">
        <is>
          <t>Data Security</t>
        </is>
      </c>
      <c r="F54" s="12" t="inlineStr">
        <is>
          <t>P2 File Management Service; P3 AI File Assistant</t>
        </is>
      </c>
      <c r="G54" s="12" t="inlineStr">
        <is>
          <t>DF1, DF5, DF9, DF10</t>
        </is>
      </c>
      <c r="H54" s="12" t="inlineStr">
        <is>
          <t>TB1; TB3; TB4</t>
        </is>
      </c>
      <c r="I54" s="12" t="inlineStr">
        <is>
          <t>Attribution and accountability of security-relevant events</t>
        </is>
      </c>
      <c r="J54" s="12" t="inlineStr">
        <is>
          <t>No audit or attribution mechanism is specified for the security-relevant actions of the platform, uploads, authorisation decisions, retrievals, assistant queries and provider egress, so performed actions cannot be attributed to a subject and cannot be contradicted after the fact.</t>
        </is>
      </c>
      <c r="K54" s="12" t="inlineStr">
        <is>
          <t>An attacker completes unauthorised retrievals through S2-RT-003 to S2-RT-006; when the activity is later disputed, no specified mechanism can show which subject performed the involved uploads, authorisation decisions, retrievals or assistant queries, and the attacker can credibly deny the actions.</t>
        </is>
      </c>
      <c r="L54" s="12" t="inlineStr">
        <is>
          <t>Unauthorised access proceeds without attribution, incident scope cannot be reconstructed, actions cannot be bound to a subject, and breach-notification timelines are missed.</t>
        </is>
      </c>
      <c r="M54" s="12" t="inlineStr">
        <is>
          <t>STRIDE assigns Repudiation to every process, and the events requiring attribution are generated at all boundaries: uploads and retrieval requests reaching P2 across TB1 on DF1 and DF4, authorisation decisions taken at TB3 between DF5 and DF6, assistant queries arriving on DF9, and document egress across TB4 on DF10; the drawn architecture contains no audit element, so attribution is not specified.</t>
        </is>
      </c>
      <c r="N54" s="12" t="inlineStr">
        <is>
          <t>Catalogue entry T-21, retained with strict control-gap phrasing: the entry states that attribution is not specified rather than claiming logging is definitely absent, and it assumes no particular logging infrastructure (architecture-only scope). The genuine control conflict at TB4 is preserved: recording document context improves attribution while creating a new store of sensitive content that works against the minimisation required by S2-RT-018. Primary STRIDE is Repudiation, the sole repudiation entry. Severity Medium as an enabler.</t>
        </is>
      </c>
      <c r="O54" s="11" t="inlineStr">
        <is>
          <t>Medium</t>
        </is>
      </c>
      <c r="P54" s="11" t="inlineStr">
        <is>
          <t>High</t>
        </is>
      </c>
      <c r="Q54" s="11" t="inlineStr">
        <is>
          <t>No</t>
        </is>
      </c>
      <c r="R54" s="11" t="inlineStr">
        <is>
          <t>High</t>
        </is>
      </c>
      <c r="S54" s="11" t="inlineStr">
        <is>
          <t>YES</t>
        </is>
      </c>
    </row>
    <row r="55" ht="52" customHeight="1">
      <c r="A55" s="11" t="inlineStr">
        <is>
          <t>S2-RT-022</t>
        </is>
      </c>
      <c r="B55" s="11" t="inlineStr">
        <is>
          <t>S2</t>
        </is>
      </c>
      <c r="C55" s="11" t="inlineStr">
        <is>
          <t>Direct prompt injection through the assistant question</t>
        </is>
      </c>
      <c r="D55" s="11" t="inlineStr">
        <is>
          <t>Tampering</t>
        </is>
      </c>
      <c r="E55" s="11" t="inlineStr">
        <is>
          <t>LLM-Specific</t>
        </is>
      </c>
      <c r="F55" s="12" t="inlineStr">
        <is>
          <t>P3 AI File Assistant; P4 LLM Integration Service; EE2 External LLM Provider</t>
        </is>
      </c>
      <c r="G55" s="12" t="inlineStr">
        <is>
          <t>DF9, DF10, DF11, DF12</t>
        </is>
      </c>
      <c r="H55" s="12" t="inlineStr">
        <is>
          <t>TB1; TB4</t>
        </is>
      </c>
      <c r="I55" s="12" t="inlineStr">
        <is>
          <t>User questions; document context sent to the LLM; generated responses</t>
        </is>
      </c>
      <c r="J55" s="12" t="inlineStr">
        <is>
          <t>User input submitted on DF9 is interpreted by the model as instruction rather than data: the question is assembled into the prompt that crosses TB4 on DF10 as a single undifferentiated sequence, with no instruction-data separation anywhere in the pipeline, despite the sanitisation responsibility stated for P4.</t>
        </is>
      </c>
      <c r="K55" s="12" t="inlineStr">
        <is>
          <t>The user submits an instruction to disregard prior instructions, reveal configuration or produce content outside intended behaviour, including role-play and obfuscation variants intended to evade input controls; the injected content is assembled into the DF10 prompt and the model complies in its DF11 response, which P1 displays on DF12 as assistant output.</t>
        </is>
      </c>
      <c r="L55" s="12" t="inlineStr">
        <is>
          <t>Manipulation of returned responses, disclosure of instruction and context material present in the prompt window, and generation of attacker-chosen text that the frontend presents as authoritative assistant output.</t>
        </is>
      </c>
      <c r="M55" s="12" t="inlineStr">
        <is>
          <t>DF9 carries arbitrary untrusted text across TB1 into P3 (A5: user prompts may be malicious), the assembled prompt crosses TB4 on DF10 as one undifferentiated sequence that the model cannot reliably partition into developer instruction and user content, and P4's stated sanitisation responsibility has no drawn enforcement; this is a confused-deputy condition at prompt assembly. MITRE ATLAS records the vector as AML.T0051.000.</t>
        </is>
      </c>
      <c r="N55" s="12" t="inlineStr">
        <is>
          <t>Catalogue entry T-22, retained with re-anchoring through P4. The review's checklist item, malicious user instructions attempting to bypass file permissions, is bounded by the architecture: A2 states the assistant cannot independently retrieve files, so such instructions cannot directly succeed; the attempt manifests as this entry, the injection that tests the boundary, while the actual unauthorised-content risk runs through S2-RT-009, the context-scope gap. Severity High rather than Critical because the assistant holds no authority, so direct impact is bounded by output manipulation and prompt-window disclosure; the greater risk lies in the chains through S2-RT-026 and S2-RT-028. Primary STRIDE is Tampering.</t>
        </is>
      </c>
      <c r="O55" s="11" t="inlineStr">
        <is>
          <t>High</t>
        </is>
      </c>
      <c r="P55" s="11" t="inlineStr">
        <is>
          <t>High</t>
        </is>
      </c>
      <c r="Q55" s="11" t="inlineStr">
        <is>
          <t>Yes</t>
        </is>
      </c>
      <c r="R55" s="11" t="inlineStr">
        <is>
          <t>High</t>
        </is>
      </c>
      <c r="S55" s="11" t="inlineStr">
        <is>
          <t>YES</t>
        </is>
      </c>
    </row>
    <row r="56" ht="52" customHeight="1">
      <c r="A56" s="11" t="inlineStr">
        <is>
          <t>S2-RT-023</t>
        </is>
      </c>
      <c r="B56" s="11" t="inlineStr">
        <is>
          <t>S2</t>
        </is>
      </c>
      <c r="C56" s="11" t="inlineStr">
        <is>
          <t>Indirect prompt injection through uploaded document content</t>
        </is>
      </c>
      <c r="D56" s="11" t="inlineStr">
        <is>
          <t>Tampering</t>
        </is>
      </c>
      <c r="E56" s="11" t="inlineStr">
        <is>
          <t>LLM-Specific</t>
        </is>
      </c>
      <c r="F56" s="12" t="inlineStr">
        <is>
          <t>DS1 Server Storage (injection site); P3 AI File Assistant; EE2 External LLM Provider</t>
        </is>
      </c>
      <c r="G56" s="12" t="inlineStr">
        <is>
          <t>DF1, DF2, DF3 (planting); DF9, DF10 (execution)</t>
        </is>
      </c>
      <c r="H56" s="12" t="inlineStr">
        <is>
          <t>TB1; TB2; TB4</t>
        </is>
      </c>
      <c r="I56" s="12" t="inlineStr">
        <is>
          <t>Uploaded files; document context sent to the LLM; generated responses</t>
        </is>
      </c>
      <c r="J56" s="12" t="inlineStr">
        <is>
          <t>An attacker uploads a document containing embedded instructions, in visible text, concealed content or encoded payloads, which is stored through DF3; when another user asks the assistant about that document, the embedded content is retrieved as approved context, assembled into the prompt on DF10 and acted upon by the model within the victim's conversation.</t>
        </is>
      </c>
      <c r="K56" s="12" t="inlineStr">
        <is>
          <t>An attacker uploads a document with concealed instruction text; it is stored and later selected as context when a victim asks for a summary; the embedded instruction is executed within the victim's conversation with the assistant, directing them towards attacker-controlled destinations or inducing disclosure, with every control applied to the DF9 question channel bypassed because the carrier is stored content.</t>
        </is>
      </c>
      <c r="L56" s="12" t="inlineStr">
        <is>
          <t>Persistent, victim-agnostic manipulation of assistant behaviour: answers about trusted documents are altered, victims can be directed towards attacker-controlled destinations or induced to disclose information, and the platform's own upload feature becomes the injection-delivery mechanism.</t>
        </is>
      </c>
      <c r="M56" s="12" t="inlineStr">
        <is>
          <t>The injection carrier is stored content rather than the question channel, so every input control on DF9 fails to detect it: A5 declares uploaded files untrusted, the document store behind TB2 becomes an indirect input to the prompt that crosses TB4, and the sanitisation responsibility stated for P4 is precisely the control whose enforcement this entry tests. Research on indirect prompt injection demonstrates this stored-content pattern, OWASP LLM01 treats the indirect vector as part of prompt injection, and MITRE ATLAS records it as AML.T0051.001.</t>
        </is>
      </c>
      <c r="N56" s="12" t="inlineStr">
        <is>
          <t>Catalogue entry T-23, retained unchanged in substance: this is the signature AI-specific threat of a file-grounded assistant, required by the review's checklist (indirect prompt injection, malicious document content influencing the assistant), and fully architecture-grounded in the drawn upload-store-context chain. The victim need never interact with the attacker, which makes the blast radius all users of the shared corpus and the persistence equal to the document's retention. Primary STRIDE is Tampering. Likelihood High: the upload path is open and no content separation is drawn.</t>
        </is>
      </c>
      <c r="O56" s="11" t="inlineStr">
        <is>
          <t>High</t>
        </is>
      </c>
      <c r="P56" s="11" t="inlineStr">
        <is>
          <t>High</t>
        </is>
      </c>
      <c r="Q56" s="11" t="inlineStr">
        <is>
          <t>Yes</t>
        </is>
      </c>
      <c r="R56" s="11" t="inlineStr">
        <is>
          <t>High</t>
        </is>
      </c>
      <c r="S56" s="11" t="inlineStr">
        <is>
          <t>YES</t>
        </is>
      </c>
    </row>
    <row r="57" ht="52" customHeight="1">
      <c r="A57" s="11" t="inlineStr">
        <is>
          <t>S2-RT-024</t>
        </is>
      </c>
      <c r="B57" s="11" t="inlineStr">
        <is>
          <t>S2</t>
        </is>
      </c>
      <c r="C57" s="11" t="inlineStr">
        <is>
          <t>Extraction of privileged assistant instructions and prompt content</t>
        </is>
      </c>
      <c r="D57" s="11" t="inlineStr">
        <is>
          <t>Information Disclosure</t>
        </is>
      </c>
      <c r="E57" s="11" t="inlineStr">
        <is>
          <t>LLM-Specific</t>
        </is>
      </c>
      <c r="F57" s="12" t="inlineStr">
        <is>
          <t>P3 AI File Assistant; EE2 External LLM Provider</t>
        </is>
      </c>
      <c r="G57" s="12" t="inlineStr">
        <is>
          <t>DF9, DF10, DF11, DF12</t>
        </is>
      </c>
      <c r="H57" s="12" t="inlineStr">
        <is>
          <t>TB1; TB4</t>
        </is>
      </c>
      <c r="I57" s="12" t="inlineStr">
        <is>
          <t>Privileged assistant instructions; prompt content; guardrail configuration</t>
        </is>
      </c>
      <c r="J57" s="12" t="inlineStr">
        <is>
          <t>If the prompt assembled for the DF10 crossing carries privileged instructions or fixed configuration, an instruction preamble, guardrail logic or business rules, iterative elicitation can cause that content to be reproduced in responses: requests for verbatim repetition of preceding text, summaries of configuration, or translation and rephrasing variants.</t>
        </is>
      </c>
      <c r="K57" s="12" t="inlineStr">
        <is>
          <t>Over several turns the attacker requests verbatim repetition and rephrasing variants until privileged prompt content and any fixed context appear in a DF11 response and reach the user on DF12, revealing the assistant's instructions and any configuration embedded in them.</t>
        </is>
      </c>
      <c r="L57" s="12" t="inlineStr">
        <is>
          <t>Reveals guardrail logic and therefore the means to bypass it, enabling more reliable exploitation of S2-RT-022 and S2-RT-023, and may expose internal system details, model configuration or business rules embedded in the prompt.</t>
        </is>
      </c>
      <c r="M57" s="12" t="inlineStr">
        <is>
          <t>The extraction request enters across TB1 on DF9, is incorporated into the prompt that crosses TB4 on DF10, and any disclosed prompt content returns on DF11 and DF12; the architecture represents prompt construction at P4 but no distinct instruction element, so the presence of privileged prompt content is conditional on the implementation embedding it. MITRE ATLAS catalogues this technique as AML.T0056.</t>
        </is>
      </c>
      <c r="N57" s="12" t="inlineStr">
        <is>
          <t>Catalogue entry T-24, retained and reframed in this freeze audit: the supplied architecture represents prompt construction and the DF10 crossing but no distinct instruction element, so the entry is restated as extraction of privileged assistant instructions and prompt content, conditional on such content being embedded in the assembled prompt. Retained separately from S2-RT-022 because the asset and the mitigation differ: the countermeasure is to treat the prompt as public, remove sensitive material from it and enforce controls outside the model, rather than to filter input; retaining it separately also prevents a candidate model that states only prompt injection from being credited with this distinct outcome. Primary STRIDE is Information Disclosure. Severity Medium: informational loss that primarily enables other entries.</t>
        </is>
      </c>
      <c r="O57" s="11" t="inlineStr">
        <is>
          <t>Medium</t>
        </is>
      </c>
      <c r="P57" s="11" t="inlineStr">
        <is>
          <t>High</t>
        </is>
      </c>
      <c r="Q57" s="11" t="inlineStr">
        <is>
          <t>Yes</t>
        </is>
      </c>
      <c r="R57" s="11" t="inlineStr">
        <is>
          <t>High</t>
        </is>
      </c>
      <c r="S57" s="11" t="inlineStr">
        <is>
          <t>YES</t>
        </is>
      </c>
    </row>
    <row r="58" ht="52" customHeight="1">
      <c r="A58" s="11" t="inlineStr">
        <is>
          <t>S2-RT-025</t>
        </is>
      </c>
      <c r="B58" s="11" t="inlineStr">
        <is>
          <t>S2</t>
        </is>
      </c>
      <c r="C58" s="11" t="inlineStr">
        <is>
          <t>Cross-user context-isolation failure in the assistant pipeline</t>
        </is>
      </c>
      <c r="D58" s="11" t="inlineStr">
        <is>
          <t>Information Disclosure</t>
        </is>
      </c>
      <c r="E58" s="11" t="inlineStr">
        <is>
          <t>LLM-Specific</t>
        </is>
      </c>
      <c r="F58" s="12" t="inlineStr">
        <is>
          <t>P3 AI File Assistant; P4 LLM Integration Service</t>
        </is>
      </c>
      <c r="G58" s="12" t="inlineStr">
        <is>
          <t>DF9, DF10, DF11, DF12</t>
        </is>
      </c>
      <c r="H58" s="12" t="inlineStr">
        <is>
          <t>TB1</t>
        </is>
      </c>
      <c r="I58" s="12" t="inlineStr">
        <is>
          <t>User questions; document context sent to the LLM; generated responses</t>
        </is>
      </c>
      <c r="J58" s="12" t="inlineStr">
        <is>
          <t>If the assistant pipeline maintains per-user material, prior questions, attached document context, assembled prompts, without correct per-user isolation, one user's material can be incorporated into another user's prompt on DF10, or a response on DF11 can be delivered to the wrong requester on DF12; whether such per-user state is maintained, and how it is isolated, is not specified by the architecture.</t>
        </is>
      </c>
      <c r="K58" s="12" t="inlineStr">
        <is>
          <t>Two users question the assistant; per-user material associated with one user is attached to the other's assembled prompt, or a generated answer is delivered to the wrong requester, disclosing one user's questions and document context to the other with the application's authority.</t>
        </is>
      </c>
      <c r="L58" s="12" t="inlineStr">
        <is>
          <t>Disclosure of one user's document-related questions and context to a different user, delivered with the application's authority.</t>
        </is>
      </c>
      <c r="M58" s="12" t="inlineStr">
        <is>
          <t>P3 and P4 are single logical processes serving all users, and neither the prompt assembly nor the response delivery carries an explicit per-user binding in the model; the architecture draws no per-user isolation element for pipeline state, whose existence and handling are unspecified, so cross-user exposure through mis-association is a conditional risk the architecture does not exclude, and any leaked material crosses TB1 to the wrong subject on DF12.</t>
        </is>
      </c>
      <c r="N58" s="12" t="inlineStr">
        <is>
          <t>Catalogue entry T-25, retained and reframed conditionally in this freeze audit: the entry assumes neither conversation memory nor any specific storage mechanism; it records that if the pipeline maintains per-user state, the architecture draws no isolation element for it, and mis-association then discloses one user's material to another. Per the review's mandated distinction, this AI-path disclosure entry is deliberately kept separate from the P2-path retrieval failures: here the material disclosed is pipeline state through the assistant, not a file served through DF5-to-DF8. Distinct from S2-RT-026's aggregation behaviour, where components behave as designed, and from S2-RT-018, which is intended egress: the defect here is mis-association of per-user material. Confidence Medium: conditional on unspecified pipeline state. Primary STRIDE is Information Disclosure.</t>
        </is>
      </c>
      <c r="O58" s="11" t="inlineStr">
        <is>
          <t>Medium</t>
        </is>
      </c>
      <c r="P58" s="11" t="inlineStr">
        <is>
          <t>Medium</t>
        </is>
      </c>
      <c r="Q58" s="11" t="inlineStr">
        <is>
          <t>Yes</t>
        </is>
      </c>
      <c r="R58" s="11" t="inlineStr">
        <is>
          <t>Medium</t>
        </is>
      </c>
      <c r="S58" s="11" t="inlineStr">
        <is>
          <t>YES</t>
        </is>
      </c>
    </row>
    <row r="59" ht="52" customHeight="1">
      <c r="A59" s="11" t="inlineStr">
        <is>
          <t>S2-RT-026</t>
        </is>
      </c>
      <c r="B59" s="11" t="inlineStr">
        <is>
          <t>S2</t>
        </is>
      </c>
      <c r="C59" s="11" t="inlineStr">
        <is>
          <t>Insecure handling of generated output</t>
        </is>
      </c>
      <c r="D59" s="11" t="inlineStr">
        <is>
          <t>Tampering</t>
        </is>
      </c>
      <c r="E59" s="11" t="inlineStr">
        <is>
          <t>LLM-Specific</t>
        </is>
      </c>
      <c r="F59" s="12" t="inlineStr">
        <is>
          <t>P3 AI File Assistant; P1 Web Frontend</t>
        </is>
      </c>
      <c r="G59" s="12" t="inlineStr">
        <is>
          <t>DF11, DF12</t>
        </is>
      </c>
      <c r="H59" s="12" t="inlineStr">
        <is>
          <t>TB1; TB4</t>
        </is>
      </c>
      <c r="I59" s="12" t="inlineStr">
        <is>
          <t>Generated responses; user identity-assertion material</t>
        </is>
      </c>
      <c r="J59" s="12" t="inlineStr">
        <is>
          <t>Content that crossed TB4 inbound on DF11 is displayed by P1 on DF12 without content separation or handling safeguards, whose specification is absent from the architecture, so attacker-influenced active content in generated responses executes in the victim's client context.</t>
        </is>
      </c>
      <c r="K59" s="12" t="inlineStr">
        <is>
          <t>Through S2-RT-022 or S2-RT-023 the attacker induces the model to emit active content in its answer; P1 displays the response as content with execution capability; it runs in the victim's authenticated client context, reads the identity-assertion material of S2-RT-002, and completes full impersonation of the victim.</t>
        </is>
      </c>
      <c r="L59" s="12" t="inlineStr">
        <is>
          <t>Execution of attacker-influenced content in the trusted application context, leading to theft of identity-assertion material, actions performed on the victim's behalf, or presentation of a fabricated content-harvesting form inside the legitimate interface.</t>
        </is>
      </c>
      <c r="M59" s="12" t="inlineStr">
        <is>
          <t>A4 declares external LLM output untrusted, yet no content-separation or display-handling element is specified between DF11 and the DF12 display; the architecture's containment rests on the assistant reaching no storage and making no access decisions, but its output is displayed to the user, so an advisory component still provides a path to impersonation. OWASP LLM05 applies.</t>
        </is>
      </c>
      <c r="N59" s="12" t="inlineStr">
        <is>
          <t>Catalogue entry T-26, retained with a STRIDE collapse: primary Tampering, attacker-influenced content entering the display path unmodified, with the privilege gain and impersonation noted as consequences. Severity Critical stands because the chain terminates in full impersonation. This entry is the practical realisation of unintended AI authority in this architecture: generated content becomes executable authority in the client context, which is how the excessive-authority concern manifests when the assistant itself is structurally unprivileged. Primary STRIDE remains a single category.</t>
        </is>
      </c>
      <c r="O59" s="11" t="inlineStr">
        <is>
          <t>Critical</t>
        </is>
      </c>
      <c r="P59" s="11" t="inlineStr">
        <is>
          <t>Medium</t>
        </is>
      </c>
      <c r="Q59" s="11" t="inlineStr">
        <is>
          <t>Yes</t>
        </is>
      </c>
      <c r="R59" s="11" t="inlineStr">
        <is>
          <t>High</t>
        </is>
      </c>
      <c r="S59" s="11" t="inlineStr">
        <is>
          <t>YES</t>
        </is>
      </c>
    </row>
    <row r="60" ht="52" customHeight="1">
      <c r="A60" s="11" t="inlineStr">
        <is>
          <t>S2-RT-027</t>
        </is>
      </c>
      <c r="B60" s="11" t="inlineStr">
        <is>
          <t>S2</t>
        </is>
      </c>
      <c r="C60" s="11" t="inlineStr">
        <is>
          <t>Hallucinated document summaries and answers</t>
        </is>
      </c>
      <c r="D60" s="11" t="inlineStr">
        <is>
          <t>Tampering</t>
        </is>
      </c>
      <c r="E60" s="11" t="inlineStr">
        <is>
          <t>LLM-Specific</t>
        </is>
      </c>
      <c r="F60" s="12" t="inlineStr">
        <is>
          <t>P3 AI File Assistant; EE2 External LLM Provider</t>
        </is>
      </c>
      <c r="G60" s="12" t="inlineStr">
        <is>
          <t>DF10, DF11, DF12</t>
        </is>
      </c>
      <c r="H60" s="12" t="inlineStr">
        <is>
          <t>TB4</t>
        </is>
      </c>
      <c r="I60" s="12" t="inlineStr">
        <is>
          <t>Generated responses; integrity of document-derived information</t>
        </is>
      </c>
      <c r="J60" s="12" t="inlineStr">
        <is>
          <t>Without any adversary, the model produces confident but incorrect summaries or answers about stored documents; the response crosses TB4 inbound on DF11, passes through the assistant without any element responsible for verifying factual accuracy against the stored document, and reaches the user on DF12 inside a trusted interface.</t>
        </is>
      </c>
      <c r="K60" s="12" t="inlineStr">
        <is>
          <t>A user asks for a summary of a contract document; the model confidently includes a clause that does not exist or misstates a figure; the user relies on the summary for a decision, and nothing on the DF11-to-DF12 path compares the generated content against the source document.</t>
        </is>
      </c>
      <c r="L60" s="12" t="inlineStr">
        <is>
          <t>Users are guided towards incorrect decisions based on authoritative-looking but unfaithful summaries of their own documents, with the platform's stated purpose, document understanding, becoming the source of the error.</t>
        </is>
      </c>
      <c r="M60" s="12" t="inlineStr">
        <is>
          <t>No adversary or boundary violation is required: every component behaves as engineered, yet the security outcome is negative; the content originates at EE2, crosses TB4 inbound on DF11, and crosses TB1 to the user on DF12 without any accuracy-control element, which the architecture does not specify. OWASP LLM09 applies.</t>
        </is>
      </c>
      <c r="N60" s="12" t="inlineStr">
        <is>
          <t>Catalogue entry T-27, retained. The primary STRIDE field carries the single label Tampering under an explicitly extended interpretation, loss of integrity of generated information, with the rationale stated here as the single-category rule requires; this is the one threat class in the model with no classical STRIDE analogue. Modification: the entry absorbs the user-trust amplification formerly carried by the excessive-trust entry excluded from the baseline: users cannot easily verify summaries against source documents without re-reading them, which amplifies this entry's impact but is not a distinct mechanism. Severity Medium: unintentional, partially correctable through grounding against the source document.</t>
        </is>
      </c>
      <c r="O60" s="11" t="inlineStr">
        <is>
          <t>Medium</t>
        </is>
      </c>
      <c r="P60" s="11" t="inlineStr">
        <is>
          <t>High</t>
        </is>
      </c>
      <c r="Q60" s="11" t="inlineStr">
        <is>
          <t>Yes</t>
        </is>
      </c>
      <c r="R60" s="11" t="inlineStr">
        <is>
          <t>High</t>
        </is>
      </c>
      <c r="S60" s="11" t="inlineStr">
        <is>
          <t>YES</t>
        </is>
      </c>
    </row>
    <row r="61" ht="52" customHeight="1">
      <c r="A61" s="11" t="inlineStr">
        <is>
          <t>S2-RT-028</t>
        </is>
      </c>
      <c r="B61" s="11" t="inlineStr">
        <is>
          <t>S2</t>
        </is>
      </c>
      <c r="C61" s="11" t="inlineStr">
        <is>
          <t>Delivery of attacker-authored instructions through the assistant</t>
        </is>
      </c>
      <c r="D61" s="11" t="inlineStr">
        <is>
          <t>Tampering</t>
        </is>
      </c>
      <c r="E61" s="11" t="inlineStr">
        <is>
          <t>LLM-Specific</t>
        </is>
      </c>
      <c r="F61" s="12" t="inlineStr">
        <is>
          <t>P3 AI File Assistant; EE2 External LLM Provider</t>
        </is>
      </c>
      <c r="G61" s="12" t="inlineStr">
        <is>
          <t>DF10, DF11, DF12</t>
        </is>
      </c>
      <c r="H61" s="12" t="inlineStr">
        <is>
          <t>TB4; TB1</t>
        </is>
      </c>
      <c r="I61" s="12" t="inlineStr">
        <is>
          <t>Generated responses; user identity-assertion material; user security behaviour</t>
        </is>
      </c>
      <c r="J61" s="12" t="inlineStr">
        <is>
          <t>Through the poisoned document context of S2-RT-023, direct injection as in S2-RT-022, or provider substitution as in S2-RT-030, the returned answer instructs the user to act against their own interest, and the trusted DF12 delivery channel converts the text into an effective attack.</t>
        </is>
      </c>
      <c r="K61" s="12" t="inlineStr">
        <is>
          <t>A poisoned document causes the assistant to tell a user asking about that document to verify their identity at an attacker-controlled destination, disclose their identity-assertion material, or transmit a file to a given address; users comply at a rate substantially higher than external phishing, because the instruction arrives inside the trusted application interface in direct response to their own question.</t>
        </is>
      </c>
      <c r="L61" s="12" t="inlineStr">
        <is>
          <t>Disclosure of identity-assertion material or files to the attacker, delivered through the application's own trusted channel.</t>
        </is>
      </c>
      <c r="M61" s="12" t="inlineStr">
        <is>
          <t>The harmful content enters across TB4 on DF11 and reaches the user across TB1 on DF12; the delivery channel's organisational authority is what converts generated text into an effective attack, and no output-side content policy or destination allow-listing element is specified at P3.</t>
        </is>
      </c>
      <c r="N61" s="12" t="inlineStr">
        <is>
          <t>Catalogue entry T-28, retained with a STRIDE collapse and two modifications. Primary STRIDE is Tampering: attacker-chosen content is substituted for legitimate guidance in the delivery path; the authority-lending property of the DF12 channel, a spoofing-like characteristic, is noted as secondary. Modifications: the entry absorbs the user-trust amplification formerly carried by the excluded excessive-trust entry, and the original recovery-artefact wording is generalised to identity-assertion material and files because no recovery capability is specified in this architecture. Retained separately from S2-RT-027 because the content is intentional and attacker-chosen rather than accidental, which changes the required control from model accuracy to output-side policy enforcement, and separately from S2-RT-026 because the victim's compliance rather than content execution is the exploitation mechanism.</t>
        </is>
      </c>
      <c r="O61" s="11" t="inlineStr">
        <is>
          <t>High</t>
        </is>
      </c>
      <c r="P61" s="11" t="inlineStr">
        <is>
          <t>Medium</t>
        </is>
      </c>
      <c r="Q61" s="11" t="inlineStr">
        <is>
          <t>Yes</t>
        </is>
      </c>
      <c r="R61" s="11" t="inlineStr">
        <is>
          <t>High</t>
        </is>
      </c>
      <c r="S61" s="11" t="inlineStr">
        <is>
          <t>YES</t>
        </is>
      </c>
    </row>
    <row r="62" ht="52" customHeight="1">
      <c r="A62" s="11" t="inlineStr">
        <is>
          <t>S2-RT-030</t>
        </is>
      </c>
      <c r="B62" s="11" t="inlineStr">
        <is>
          <t>S2</t>
        </is>
      </c>
      <c r="C62" s="11" t="inlineStr">
        <is>
          <t>Compromise or substitution of the external model service</t>
        </is>
      </c>
      <c r="D62" s="11" t="inlineStr">
        <is>
          <t>Spoofing</t>
        </is>
      </c>
      <c r="E62" s="11" t="inlineStr">
        <is>
          <t>LLM-Specific</t>
        </is>
      </c>
      <c r="F62" s="12" t="inlineStr">
        <is>
          <t>EE2 External LLM Provider; P4 LLM Integration Service</t>
        </is>
      </c>
      <c r="G62" s="12" t="inlineStr">
        <is>
          <t>DF10, DF11</t>
        </is>
      </c>
      <c r="H62" s="12" t="inlineStr">
        <is>
          <t>TB4</t>
        </is>
      </c>
      <c r="I62" s="12" t="inlineStr">
        <is>
          <t>Document context sent to the LLM; user questions; generated responses</t>
        </is>
      </c>
      <c r="J62" s="12" t="inlineStr">
        <is>
          <t>The DF10/DF11 exchange depends on the identity and integrity of the responder beyond TB4, and no mechanism verifying that the responder is the intended external service is specified by the architecture; if EE2 is substituted or compromised, prompts are harvested and responses are attacker-controlled.</t>
        </is>
      </c>
      <c r="K62" s="12" t="inlineStr">
        <is>
          <t>The communication that P4 sends on DF10 is answered by an attacker-controlled replacement of the intended external service, the substitution path lying outside the drawn architecture; every prompt and document-context submission is harvested, realising the S2-RT-018 exposure actively, and every DF11 response is attacker-authored, weaponising S2-RT-026 and S2-RT-028 for all users. An unannounced provider-side model or behaviour change has the same effect without any application modification.</t>
        </is>
      </c>
      <c r="L62" s="12" t="inlineStr">
        <is>
          <t>Interception of every prompt and document-context submission crossing TB4 together with control of every response returned on DF11, converting the assistant into an attacker-controlled channel for all users.</t>
        </is>
      </c>
      <c r="M62" s="12" t="inlineStr">
        <is>
          <t>P4 is the only element that performs the TB4 crossing, so any verification of the external service's identity and integrity must concentrate at that single process, and no such verification is specified; EE2 is not merely a service the application calls but the source of content the application displays to users across TB1 on DF12. MITRE ATLAS frames the substitution angle as ML supply chain compromise, and OWASP LLM03 applies.</t>
        </is>
      </c>
      <c r="N62" s="12" t="inlineStr">
        <is>
          <t>Catalogue entry T-30, retained with a STRIDE collapse and a trust-boundary-level rewrite: primary Spoofing, the trusted external entity is impersonated or substituted, with control of the responses (tampering) noted as the consequence; infrastructure-specific substitution mechanisms were removed per the architecture-only scope, and the crossing element is re-anchored to P4 under the supplied architecture. Likelihood Low: requires a substantial external compromise, but the impact spans the whole user base, keeping severity High.</t>
        </is>
      </c>
      <c r="O62" s="11" t="inlineStr">
        <is>
          <t>High</t>
        </is>
      </c>
      <c r="P62" s="11" t="inlineStr">
        <is>
          <t>Low</t>
        </is>
      </c>
      <c r="Q62" s="11" t="inlineStr">
        <is>
          <t>Yes</t>
        </is>
      </c>
      <c r="R62" s="11" t="inlineStr">
        <is>
          <t>High</t>
        </is>
      </c>
      <c r="S62" s="11" t="inlineStr">
        <is>
          <t>YES</t>
        </is>
      </c>
    </row>
    <row r="63" ht="52" customHeight="1">
      <c r="A63" s="11" t="inlineStr">
        <is>
          <t>S2-RT-031</t>
        </is>
      </c>
      <c r="B63" s="11" t="inlineStr">
        <is>
          <t>S2</t>
        </is>
      </c>
      <c r="C63" s="11" t="inlineStr">
        <is>
          <t>Denial of service against file management and storage</t>
        </is>
      </c>
      <c r="D63" s="11" t="inlineStr">
        <is>
          <t>Denial of Service</t>
        </is>
      </c>
      <c r="E63" s="11" t="inlineStr">
        <is>
          <t>Availability</t>
        </is>
      </c>
      <c r="F63" s="12" t="inlineStr">
        <is>
          <t>P2 File Management Service; DS1 Server Storage</t>
        </is>
      </c>
      <c r="G63" s="12" t="inlineStr">
        <is>
          <t>DF1, DF2, DF3, DF6</t>
        </is>
      </c>
      <c r="H63" s="12" t="inlineStr">
        <is>
          <t>TB1; TB2</t>
        </is>
      </c>
      <c r="I63" s="12" t="inlineStr">
        <is>
          <t>Platform availability; uploaded files</t>
        </is>
      </c>
      <c r="J63" s="12" t="inlineStr">
        <is>
          <t>Volumetric flooding of the upload and retrieval functions, oversized or numerous uploads exhausting storage capacity, and deliberately expensive validation work on structurally complex documents that converts each cheap DF1 request into heavy server-side computation before DF3 commits capacity.</t>
        </is>
      </c>
      <c r="K63" s="12" t="inlineStr">
        <is>
          <t>An attacker floods DF1 with uploads, including structurally complex documents that maximise validation cost and sheer volume that consumes storage; each request commits storage capacity on DF3 that is not released when the attack ends, so legitimate users cannot upload or retrieve and the exhaustion persists beyond the attack.</t>
        </is>
      </c>
      <c r="L63" s="12" t="inlineStr">
        <is>
          <t>Legitimate users cannot upload or retrieve documents, which is the loss of the platform's entire purpose; storage exhaustion additionally produces a persistent condition that survives the end of the attack until capacity is recovered.</t>
        </is>
      </c>
      <c r="M63" s="12" t="inlineStr">
        <is>
          <t>The upload path is the system's core exposed surface: DF1 and DF2 are reachable by any client, validation is a stated processing obligation of P2, and DF3 commits consumed capacity to the store, so the resource path runs from a cheap external request to an expensive internal commitment across two boundaries; storage exhaustion is cumulative and semi-permanent, which is why this entry is rated High where a transient outage alone might be Medium.</t>
        </is>
      </c>
      <c r="N63" s="12" t="inlineStr">
        <is>
          <t>Catalogue entry T-31, retained with a technology-neutral rewrite: format-specific cost examples were generalised to structurally complex documents that impose heavy validation work, keeping the mechanism at the level of the stated validation obligation. Required by the review's checklist (denial of service through file operations where architecturally justified). Distinct from S2-RT-012, which describes code execution through processing flaws rather than resource exhaustion. Primary STRIDE is Denial of Service. Likelihood High: the upload surface is open and the resource commitment is structural.</t>
        </is>
      </c>
      <c r="O63" s="11" t="inlineStr">
        <is>
          <t>High</t>
        </is>
      </c>
      <c r="P63" s="11" t="inlineStr">
        <is>
          <t>High</t>
        </is>
      </c>
      <c r="Q63" s="11" t="inlineStr">
        <is>
          <t>No</t>
        </is>
      </c>
      <c r="R63" s="11" t="inlineStr">
        <is>
          <t>High</t>
        </is>
      </c>
      <c r="S63" s="11" t="inlineStr">
        <is>
          <t>YES</t>
        </is>
      </c>
    </row>
    <row r="64" ht="52" customHeight="1">
      <c r="A64" s="11" t="inlineStr">
        <is>
          <t>S2-RT-032</t>
        </is>
      </c>
      <c r="B64" s="11" t="inlineStr">
        <is>
          <t>S2</t>
        </is>
      </c>
      <c r="C64" s="11" t="inlineStr">
        <is>
          <t>External LLM provider unavailability or degradation</t>
        </is>
      </c>
      <c r="D64" s="11" t="inlineStr">
        <is>
          <t>Denial of Service</t>
        </is>
      </c>
      <c r="E64" s="11" t="inlineStr">
        <is>
          <t>Availability</t>
        </is>
      </c>
      <c r="F64" s="12" t="inlineStr">
        <is>
          <t>P4 LLM Integration Service; P3 AI File Assistant; EE2 External LLM Provider</t>
        </is>
      </c>
      <c r="G64" s="12" t="inlineStr">
        <is>
          <t>DF10, DF11</t>
        </is>
      </c>
      <c r="H64" s="12" t="inlineStr">
        <is>
          <t>TB4</t>
        </is>
      </c>
      <c r="I64" s="12" t="inlineStr">
        <is>
          <t>Assistant availability</t>
        </is>
      </c>
      <c r="J64" s="12" t="inlineStr">
        <is>
          <t>Provider outage, rate-limit rejection or degraded latency on the DF10/DF11 pair leaves the assistant unable to answer; how P4 and P3 handle provider non-response is not specified by the architecture, so waiting behaviour and its capacity consequences are implementation-dependent.</t>
        </is>
      </c>
      <c r="K64" s="12" t="inlineStr">
        <is>
          <t>The external provider suffers an extended outage; the DF11 responses never arrive, and the assistant returns errors or nothing to every user; file storage and retrieval on DF1 to DF8 continue, which bounds the direct impact to the assistant capability unless waiting behaviour propagates, which the drawn architecture does not establish.</t>
        </is>
      </c>
      <c r="L64" s="12" t="inlineStr">
        <is>
          <t>Loss of the summarisation, explanation and question-answering capability; the design property to verify is containment of the blast radius, since the architecture separates the assistant from the file path, and a third-party failure should not propagate into the primary platform functions.</t>
        </is>
      </c>
      <c r="M64" s="12" t="inlineStr">
        <is>
          <t>TB4 marks a dependency that the organisation can neither control nor repair, and DF10 and DF11 form a synchronous request-response pair across it; the drawn architecture establishes the direct consequence, assistant loss, but contains no evidence about shared capacity between the assistant pipeline and the file path, so propagation is recorded as conditional.</t>
        </is>
      </c>
      <c r="N64" s="12" t="inlineStr">
        <is>
          <t>Catalogue entry T-32, retained with conditional scoping: the original's claim that waiting propagates into shared frontend capacity rested on an unspecified runtime assumption and is now stated conditionally, with the direct, drawn consequence kept as the impact. AI-specific because the dependency exists solely to obtain generated responses from an external model, and the failure mode is absent from a non-integrated file platform. Primary STRIDE is Denial of Service. Confidence Medium: the containment property is unverifiable in the drawn model.</t>
        </is>
      </c>
      <c r="O64" s="11" t="inlineStr">
        <is>
          <t>Medium</t>
        </is>
      </c>
      <c r="P64" s="11" t="inlineStr">
        <is>
          <t>Medium</t>
        </is>
      </c>
      <c r="Q64" s="11" t="inlineStr">
        <is>
          <t>Yes</t>
        </is>
      </c>
      <c r="R64" s="11" t="inlineStr">
        <is>
          <t>Medium</t>
        </is>
      </c>
      <c r="S64" s="11" t="inlineStr">
        <is>
          <t>YES</t>
        </is>
      </c>
    </row>
    <row r="65" ht="52" customHeight="1">
      <c r="A65" s="11" t="inlineStr">
        <is>
          <t>S2-RT-033</t>
        </is>
      </c>
      <c r="B65" s="11" t="inlineStr">
        <is>
          <t>S2</t>
        </is>
      </c>
      <c r="C65" s="11" t="inlineStr">
        <is>
          <t>Unbounded consumption of the LLM processing pipeline</t>
        </is>
      </c>
      <c r="D65" s="11" t="inlineStr">
        <is>
          <t>Denial of Service</t>
        </is>
      </c>
      <c r="E65" s="11" t="inlineStr">
        <is>
          <t>Availability</t>
        </is>
      </c>
      <c r="F65" s="12" t="inlineStr">
        <is>
          <t>P3 AI File Assistant; P4 LLM Integration Service; EE2 External LLM Provider</t>
        </is>
      </c>
      <c r="G65" s="12" t="inlineStr">
        <is>
          <t>DF9, DF10</t>
        </is>
      </c>
      <c r="H65" s="12" t="inlineStr">
        <is>
          <t>TB1; TB4</t>
        </is>
      </c>
      <c r="I65" s="12" t="inlineStr">
        <is>
          <t>Assistant availability; provider quota; operating budget</t>
        </is>
      </c>
      <c r="J65" s="12" t="inlineStr">
        <is>
          <t>High-frequency questions, questions crafted to maximise generated output length, or selection of the largest stored documents as context drive the variable usage cost of DF10; no metering, quota or cost control is specified on the DF9-to-DF10 chain, and the path may be driven anonymously where S2-RT-008 applies.</t>
        </is>
      </c>
      <c r="K65" s="12" t="inlineStr">
        <is>
          <t>An attacker automates the submission of maximum-length questions about the largest available documents at high frequency on DF9; the cost of each DF10 crossing scales with both the question and the attached document context, a lever unique to a file-grounded assistant; the provider quota and budget exhaust, denying the assistant to legitimate users through billing rather than capacity.</t>
        </is>
      </c>
      <c r="L65" s="12" t="inlineStr">
        <is>
          <t>Degraded or unavailable assistant for legitimate users, direct chargeable cost, and exhaustion of the provider quota, which then denies service through billing rather than through capacity.</t>
        </is>
      </c>
      <c r="M65" s="12" t="inlineStr">
        <is>
          <t>DF9 crosses TB1 into P3 with no stated size or rate constraint, and the DF10 crossing of TB4 has a cost that is variable and attacker-influenced because it scales with both the submitted question and the volume of document context attached; request-count limiting alone is structurally insufficient and limits on the volume of prompt and response content are required, which no element provides. OWASP LLM10 applies.</t>
        </is>
      </c>
      <c r="N65" s="12" t="inlineStr">
        <is>
          <t>Catalogue entry T-33, retained with re-anchoring through P4. Capacity exhaustion and chargeable-cost exhaustion remain combined in one entry because they share the DF9-to-DF10 attack path and the same control class, and the distinction is one of impact type rather than of mechanism, so splitting them would violate the deduplication rule. AI-specific because the cost driver is usage-scaled model inference, growing with prompt and response volume, with no analogue in the classical flows. Primary STRIDE is Denial of Service. Likelihood High: no metering is drawn and the entry point is trivially reachable, including anonymously through S2-RT-008.</t>
        </is>
      </c>
      <c r="O65" s="11" t="inlineStr">
        <is>
          <t>Medium</t>
        </is>
      </c>
      <c r="P65" s="11" t="inlineStr">
        <is>
          <t>High</t>
        </is>
      </c>
      <c r="Q65" s="11" t="inlineStr">
        <is>
          <t>Yes</t>
        </is>
      </c>
      <c r="R65" s="11" t="inlineStr">
        <is>
          <t>High</t>
        </is>
      </c>
      <c r="S65" s="11" t="inlineStr">
        <is>
          <t>YES</t>
        </is>
      </c>
    </row>
    <row r="66" ht="52" customHeight="1">
      <c r="A66" s="11" t="inlineStr">
        <is>
          <t>S2-RT-034</t>
        </is>
      </c>
      <c r="B66" s="11" t="inlineStr">
        <is>
          <t>S2</t>
        </is>
      </c>
      <c r="C66" s="11" t="inlineStr">
        <is>
          <t>Tampering with permission and ownership records in the User Permission Database</t>
        </is>
      </c>
      <c r="D66" s="11" t="inlineStr">
        <is>
          <t>Tampering</t>
        </is>
      </c>
      <c r="E66" s="11" t="inlineStr">
        <is>
          <t>Authorization</t>
        </is>
      </c>
      <c r="F66" s="12" t="inlineStr">
        <is>
          <t>DS2 User Permission Database; P2 File Management Service</t>
        </is>
      </c>
      <c r="G66" s="12" t="inlineStr">
        <is>
          <t>P2-to-DS2 permission and ownership lookups (not represented as a numbered flow in the supplied architecture)</t>
        </is>
      </c>
      <c r="H66" s="12" t="inlineStr">
        <is>
          <t>Storage boundary at P2 (unnamed in the supplied architecture; the TB2-analogue)</t>
        </is>
      </c>
      <c r="I66" s="12" t="inlineStr">
        <is>
          <t>User identity; file ownership; access permissions; integrity of the authorisation source</t>
        </is>
      </c>
      <c r="J66" s="12" t="inlineStr">
        <is>
          <t>The authoritative authorisation source is modified without authorisation, through untrusted influence on the permission lookups P2 directs at DS2, the same taint pattern as S2-RT-006 applied to the permission store, or direct store access whose protection is not specified, so DS2 reflects attacker-chosen ownership and permissions.</t>
        </is>
      </c>
      <c r="K66" s="12" t="inlineStr">
        <is>
          <t>An attacker influences or directly modifies the DS2 records for a victim's files, granting their own identity ownership or read permission; every subsequent retrieval request passes P2's authorisation check exactly as designed, because the check consults the authoritative record that now grants the attacker access, and the victim's documents are delivered through the fully legitimate path.</t>
        </is>
      </c>
      <c r="L66" s="12" t="inlineStr">
        <is>
          <t>Blanket unauthorised file access with the authorisation enforcement point functioning exactly as designed: the most complete defeat of the access model available, since every check passes once the source it trusts is corrupted, and the corruption persists until the records are repaired.</t>
        </is>
      </c>
      <c r="M66" s="12" t="inlineStr">
        <is>
          <t>The supplied architecture defines DS2 as the authoritative authorisation source holding user identity, file ownership and access permissions, and A1 makes P2 the only enforcement point consulting it; no flow, write path or protection for DS2 is specified, which is recorded as a control gap, and the EE2 prohibition on permission-database contents confirms the sensitivity of these records.</t>
        </is>
      </c>
      <c r="N66" s="12" t="inlineStr">
        <is>
          <t>NEW ENTRY added in this review. Reason: the supplied architecture introduces DS2 as an explicit component that the original catalogue predated, and the file-security checklist requires coverage of ownership and permission manipulation; the original catalogue carried permission-field manipulation inside the file-metadata entry, which this review re-scopes to DS1 document metadata, dividing the two concerns by store and asset. Mechanism, asset and consequence are distinct from S2-RT-013 and from the check-logic flaws of S2-RT-003 and S2-RT-004: here the check is correct but the source it consults is corrupted. Primary STRIDE is Tampering: the violated property is the integrity of the authorisation source. Severity Critical: every check passes once the source is corrupted. Confidence Medium: the modification vectors are conditional on the unspecified write path. Not LLM-specific.</t>
        </is>
      </c>
      <c r="O66" s="11" t="inlineStr">
        <is>
          <t>Critical</t>
        </is>
      </c>
      <c r="P66" s="11" t="inlineStr">
        <is>
          <t>Medium</t>
        </is>
      </c>
      <c r="Q66" s="11" t="inlineStr">
        <is>
          <t>No</t>
        </is>
      </c>
      <c r="R66" s="11" t="inlineStr">
        <is>
          <t>Medium</t>
        </is>
      </c>
      <c r="S66" s="11" t="inlineStr">
        <is>
          <t>YES</t>
        </is>
      </c>
    </row>
    <row r="67" ht="52" customHeight="1">
      <c r="A67" s="11" t="inlineStr">
        <is>
          <t>S3-RT-001</t>
        </is>
      </c>
      <c r="B67" s="11" t="inlineStr">
        <is>
          <t>S3</t>
        </is>
      </c>
      <c r="C67" s="11" t="inlineStr">
        <is>
          <t>Account recovery bypass through manipulation of recovery request handling</t>
        </is>
      </c>
      <c r="D67" s="11" t="inlineStr">
        <is>
          <t>Spoofing</t>
        </is>
      </c>
      <c r="E67" s="11" t="inlineStr">
        <is>
          <t>Authentication</t>
        </is>
      </c>
      <c r="F67" s="12" t="inlineStr">
        <is>
          <t>P2 Account Recovery Service (reached via P1 Web Frontend)</t>
        </is>
      </c>
      <c r="G67" s="12" t="inlineStr">
        <is>
          <t>DF1, DF2</t>
        </is>
      </c>
      <c r="H67" s="12" t="inlineStr">
        <is>
          <t>TB1</t>
        </is>
      </c>
      <c r="I67" s="12" t="inlineStr">
        <is>
          <t>User account information; recovery information</t>
        </is>
      </c>
      <c r="J67" s="12" t="inlineStr">
        <is>
          <t>Recovery requests submitted on DF1 and forwarded as details on DF2 carry manipulated content — omitted or reordered verification parameters, forged request state, or request shapes that reach token generation without the verification steps having been completed — so that a recovery token is issued on DF5 without the attacker having completed valid identity verification for the target account.</t>
        </is>
      </c>
      <c r="K67" s="12" t="inlineStr">
        <is>
          <t>An attacker submits a recovery request whose content causes P2's request processing to skip or mishandle the verification steps and issue a token anyway; the token is delivered on DF7, the attacker completes recovery for an account they do not own, and operates as the legitimate account owner with all subsequent actions attributed to the victim.</t>
        </is>
      </c>
      <c r="L67" s="12" t="inlineStr">
        <is>
          <t>Unauthorised account takeover: the attacker receives a valid recovery token on DF7 for an account they do not own, restores access to it, and operates as the legitimate account owner with all subsequent actions attributed to the victim.</t>
        </is>
      </c>
      <c r="M67" s="12" t="inlineStr">
        <is>
          <t>The recovery workflow is the scenario's identity restoration mechanism and is exposed at TB1, the boundary that exists precisely because users submit externally controlled recovery requests there. No authentication or login component exists anywhere in the model, so the recovery path is the only modelled gate at which identity is re-established, and its request processing logic is the single control separating any external user from any account; attacks against a non-existent login flow are correspondingly out of scope. OWASP Top 10 A01 and A07 identify recovery flows as the canonical takeover path because they mint new credentials.</t>
        </is>
      </c>
      <c r="N67" s="12" t="inlineStr">
        <is>
          <t>Catalogue entry T-01, retained with a STRIDE collapse: primary Spoofing, identity re-established without valid verification, with elevation of privilege recorded as the consequence. Architecture-only rewrite: the original's direct-invocation phrasing was generalised to request shapes that reach token generation without completed verification, since no undrawn path is assumed. The entry is the parent of the recovery takeover family: S3-RT-002 attacks the verification factors themselves, S3-RT-011 forges the verification result at the data layer, and S3-RT-003 to S3-RT-006 attack the token after or around generation, each with a distinct mitigation. Per the review's mandated distinction, this P2-path authority bypass is kept separate from the AI-guidance entries: manipulated guidance (S3-RT-025, S3-RT-026) never constitutes a recovery bypass.</t>
        </is>
      </c>
      <c r="O67" s="11" t="inlineStr">
        <is>
          <t>Critical</t>
        </is>
      </c>
      <c r="P67" s="11" t="inlineStr">
        <is>
          <t>Medium</t>
        </is>
      </c>
      <c r="Q67" s="11" t="inlineStr">
        <is>
          <t>No</t>
        </is>
      </c>
      <c r="R67" s="11" t="inlineStr">
        <is>
          <t>Medium</t>
        </is>
      </c>
      <c r="S67" s="11" t="inlineStr">
        <is>
          <t>YES</t>
        </is>
      </c>
    </row>
    <row r="68" ht="52" customHeight="1">
      <c r="A68" s="11" t="inlineStr">
        <is>
          <t>S3-RT-002</t>
        </is>
      </c>
      <c r="B68" s="11" t="inlineStr">
        <is>
          <t>S3</t>
        </is>
      </c>
      <c r="C68" s="11" t="inlineStr">
        <is>
          <t>Weak identity verification exploitation through guessable verification factors</t>
        </is>
      </c>
      <c r="D68" s="11" t="inlineStr">
        <is>
          <t>Spoofing</t>
        </is>
      </c>
      <c r="E68" s="11" t="inlineStr">
        <is>
          <t>Authentication</t>
        </is>
      </c>
      <c r="F68" s="12" t="inlineStr">
        <is>
          <t>P2 Account Recovery Service; DS1 User Database</t>
        </is>
      </c>
      <c r="G68" s="12" t="inlineStr">
        <is>
          <t>DF3, DF4</t>
        </is>
      </c>
      <c r="H68" s="12" t="inlineStr">
        <is>
          <t>TB2</t>
        </is>
      </c>
      <c r="I68" s="12" t="inlineStr">
        <is>
          <t>Identity verification data; recovery information</t>
        </is>
      </c>
      <c r="J68" s="12" t="inlineStr">
        <is>
          <t>The attacker submits repeated recovery requests on DF1 containing guessed verification answers, harvesting the differentiating responses returned on DF7; if the verification information held in DS1 and checked over DF3 and DF4 consists of weak or low-entropy factors — a property the architecture does not constrain — verification eventually succeeds, because no attempt limiting, lockout or attempt ceiling is represented anywhere in the model.</t>
        </is>
      </c>
      <c r="K68" s="12" t="inlineStr">
        <is>
          <t>An attacker targets an account whose verification factors are researchable or predictable and submits guessed answers across repeated requests; nothing in the model throttles the attempts, the verification eventually succeeds, and token generation is triggered for the attacker, while accounts with predictable factors fall to untargeted mass exploitation.</t>
        </is>
      </c>
      <c r="L68" s="12" t="inlineStr">
        <is>
          <t>Verification succeeds for targeted accounts and token generation is triggered for the attacker, while accounts whose verification factors are predictable fall to untargeted mass exploitation.</t>
        </is>
      </c>
      <c r="M68" s="12" t="inlineStr">
        <is>
          <t>The strength of the recovery control equals the entropy and secrecy of the verification data in DS1, which the architecture lists among its stored assets; verification factors of this knowledge-based kind are characteristically enumerable from public information about a user, and the drawn model represents no throttling of any kind on the DF1-to-DF4 path. OWASP authentication failure guidance under Top 10 A07 treats insufficiently strong verification factors together with absent throttling as a single failure class. The flow pair DF3 and DF4 crosses TB2, the boundary drawn because recovery decisions depend on sensitive identity verification information.</t>
        </is>
      </c>
      <c r="N68" s="12" t="inlineStr">
        <is>
          <t>Catalogue entry T-02, retained with conditional framing: the architecture does not constrain the strength or entropy of the verification information in DS1, so the entry is stated as a conditional weakness — if the factors are weak or low-entropy, repeated guessing succeeds in the absence of any modelled attempt limiting — rather than as a claim that they are definitely weak. Retained separately from S3-RT-001 because the mechanism differs: that entry defeats the enforcement logic of the recovery workflow, whereas here the verification factors are legitimately answered but should never have been sufficient; the mitigations differ, processing hardening versus factor strength and attempt limiting.</t>
        </is>
      </c>
      <c r="O68" s="11" t="inlineStr">
        <is>
          <t>Critical</t>
        </is>
      </c>
      <c r="P68" s="11" t="inlineStr">
        <is>
          <t>Medium</t>
        </is>
      </c>
      <c r="Q68" s="11" t="inlineStr">
        <is>
          <t>No</t>
        </is>
      </c>
      <c r="R68" s="11" t="inlineStr">
        <is>
          <t>Medium</t>
        </is>
      </c>
      <c r="S68" s="11" t="inlineStr">
        <is>
          <t>YES</t>
        </is>
      </c>
    </row>
    <row r="69" ht="52" customHeight="1">
      <c r="A69" s="11" t="inlineStr">
        <is>
          <t>S3-RT-003</t>
        </is>
      </c>
      <c r="B69" s="11" t="inlineStr">
        <is>
          <t>S3</t>
        </is>
      </c>
      <c r="C69" s="11" t="inlineStr">
        <is>
          <t>Recovery token theft at the user boundary</t>
        </is>
      </c>
      <c r="D69" s="11" t="inlineStr">
        <is>
          <t>Spoofing</t>
        </is>
      </c>
      <c r="E69" s="11" t="inlineStr">
        <is>
          <t>Session Management</t>
        </is>
      </c>
      <c r="F69" s="12" t="inlineStr">
        <is>
          <t>P1 Web Frontend (client environment of the End User)</t>
        </is>
      </c>
      <c r="G69" s="12" t="inlineStr">
        <is>
          <t>DF7</t>
        </is>
      </c>
      <c r="H69" s="12" t="inlineStr">
        <is>
          <t>TB1</t>
        </is>
      </c>
      <c r="I69" s="12" t="inlineStr">
        <is>
          <t>Recovery tokens</t>
        </is>
      </c>
      <c r="J69" s="12" t="inlineStr">
        <is>
          <t>The recovery token delivered to the user on DF7 is captured in the victim's client environment — through execution of attacker-supplied active content delivered by S3-RT-013 or S3-RT-027, or through interception of the delivery leg where transport protection is not specified — or exposed through client-side handling whose protection the architecture does not represent, and is redeemed by the attacker from the attacker's own client.</t>
        </is>
      </c>
      <c r="K69" s="12" t="inlineStr">
        <is>
          <t>Active content executing in the victim's client context reads the delivered token where it is exposed to code executing there and exfiltrates it; the attacker then completes recovery as the victim, redeeming a legitimately issued, correctly bound token, and every action taken with it is attributed to the victim.</t>
        </is>
      </c>
      <c r="L69" s="12" t="inlineStr">
        <is>
          <t>Unauthorised account takeover without any attack on the verification chain: the attacker redeems a legitimately issued, correctly bound token, and every action taken with it is attributed to the victim.</t>
        </is>
      </c>
      <c r="M69" s="12" t="inlineStr">
        <is>
          <t>DF7 hands a bearer credential across TB1, the boundary that exists because externally controlled input enters there, and once delivered, the token's protection is delegated entirely to the client environment, which the model does not represent. STRIDE assigns Spoofing to the misuse of stolen authenticators at an external interactor crossing, with information disclosure as the enabling loss. The architecture stores token state in DS2 and can therefore bound the exposure window through expiry and single-use status, which is the concern of S3-RT-004; the present entry captures the theft itself.</t>
        </is>
      </c>
      <c r="N69" s="12" t="inlineStr">
        <is>
          <t>Catalogue entry T-03, retained with a STRIDE collapse and an architecture-only rewrite: primary Spoofing, misuse of a stolen authenticator, with the enabling disclosure noted as secondary; implementation-specific client-side capture channels were generalised to active-content execution and unspecified client-side handling. The review's mandated leakage-versus-replay distinction is honoured: theft is this entry, replay is S3-RT-004, and a correctly enforced single-use status defeats replay even after a successful theft. Retained separately from S3-RT-016, which addresses systematic interception across sensitive flows, because here the asset is the recovery token and the control point is its delivery and client-side handling on DF7 specifically.</t>
        </is>
      </c>
      <c r="O69" s="11" t="inlineStr">
        <is>
          <t>High</t>
        </is>
      </c>
      <c r="P69" s="11" t="inlineStr">
        <is>
          <t>High</t>
        </is>
      </c>
      <c r="Q69" s="11" t="inlineStr">
        <is>
          <t>No</t>
        </is>
      </c>
      <c r="R69" s="11" t="inlineStr">
        <is>
          <t>Medium</t>
        </is>
      </c>
      <c r="S69" s="11" t="inlineStr">
        <is>
          <t>YES</t>
        </is>
      </c>
    </row>
    <row r="70" ht="52" customHeight="1">
      <c r="A70" s="11" t="inlineStr">
        <is>
          <t>S3-RT-004</t>
        </is>
      </c>
      <c r="B70" s="11" t="inlineStr">
        <is>
          <t>S3</t>
        </is>
      </c>
      <c r="C70" s="11" t="inlineStr">
        <is>
          <t>Recovery token replay through insufficient single-use and expiry enforcement</t>
        </is>
      </c>
      <c r="D70" s="11" t="inlineStr">
        <is>
          <t>Spoofing</t>
        </is>
      </c>
      <c r="E70" s="11" t="inlineStr">
        <is>
          <t>Session Management</t>
        </is>
      </c>
      <c r="F70" s="12" t="inlineStr">
        <is>
          <t>P2 Account Recovery Service; DS2 Recovery Token Storage</t>
        </is>
      </c>
      <c r="G70" s="12" t="inlineStr">
        <is>
          <t>DF5, DF6</t>
        </is>
      </c>
      <c r="H70" s="12" t="inlineStr">
        <is>
          <t>TB4</t>
        </is>
      </c>
      <c r="I70" s="12" t="inlineStr">
        <is>
          <t>Recovery tokens; session/account recovery state</t>
        </is>
      </c>
      <c r="J70" s="12" t="inlineStr">
        <is>
          <t>A token that has already been delivered or observed — whether stolen through S3-RT-003, intercepted through S3-RT-016, or simply retained after a legitimate recovery — is submitted again towards the validation path; DS2 returns token validation information on DF6 without the status record having been transitioned to used or expired, so the token validates a second time.</t>
        </is>
      </c>
      <c r="K70" s="12" t="inlineStr">
        <is>
          <t>An attacker who observed a victim's token during the victim's recovery waits or acts immediately: the token is submitted again on the validation path, DS2's status record still permits it, and a second recovery completes outside the intended window, with the second redemption indistinguishable from the first in any record.</t>
        </is>
      </c>
      <c r="L70" s="12" t="inlineStr">
        <is>
          <t>Account takeover outside the intended recovery window and persistence of attacker access after the legitimate user has completed recovery, with the second redemption indistinguishable from the first in any audit record.</t>
        </is>
      </c>
      <c r="M70" s="12" t="inlineStr">
        <is>
          <t>DS2 is specified to hold active recovery tokens, token metadata, expiration information and consumption/invalidation state, which exists for no other purpose than enforcing one-time use and bounded validity, and TB4 is drawn around exactly this state because recovery tokens represent sensitive authentication state. OWASP session management guidance under Top 10 A07 requires invalidation at first use and short lifetimes for single-purpose credentials, and the absence of any modelled expiry enforcement makes the failure persistent rather than bounded.</t>
        </is>
      </c>
      <c r="N70" s="12" t="inlineStr">
        <is>
          <t>Catalogue entry T-04, retained unchanged in substance, with one wording harmonisation in the mechanism. Retained separately from S3-RT-003 because a stolen token still has to be replayed to be useful, and a correctly enforced single-use status in DS2 defeats the replay even after a successful theft, which is why the two entries admit different mitigations, token protection versus lifecycle enforcement. Primary STRIDE is Spoofing: retransmission of a captured authenticator.</t>
        </is>
      </c>
      <c r="O70" s="11" t="inlineStr">
        <is>
          <t>High</t>
        </is>
      </c>
      <c r="P70" s="11" t="inlineStr">
        <is>
          <t>Medium</t>
        </is>
      </c>
      <c r="Q70" s="11" t="inlineStr">
        <is>
          <t>No</t>
        </is>
      </c>
      <c r="R70" s="11" t="inlineStr">
        <is>
          <t>Medium</t>
        </is>
      </c>
      <c r="S70" s="11" t="inlineStr">
        <is>
          <t>YES</t>
        </is>
      </c>
    </row>
    <row r="71" ht="52" customHeight="1">
      <c r="A71" s="11" t="inlineStr">
        <is>
          <t>S3-RT-005</t>
        </is>
      </c>
      <c r="B71" s="11" t="inlineStr">
        <is>
          <t>S3</t>
        </is>
      </c>
      <c r="C71" s="11" t="inlineStr">
        <is>
          <t>Recovery token prediction through insufficient generation entropy</t>
        </is>
      </c>
      <c r="D71" s="11" t="inlineStr">
        <is>
          <t>Spoofing</t>
        </is>
      </c>
      <c r="E71" s="11" t="inlineStr">
        <is>
          <t>Session Management</t>
        </is>
      </c>
      <c r="F71" s="12" t="inlineStr">
        <is>
          <t>P2 Account Recovery Service</t>
        </is>
      </c>
      <c r="G71" s="12" t="inlineStr">
        <is>
          <t>DF5</t>
        </is>
      </c>
      <c r="H71" s="12" t="inlineStr">
        <is>
          <t>TB4</t>
        </is>
      </c>
      <c r="I71" s="12" t="inlineStr">
        <is>
          <t>Recovery tokens</t>
        </is>
      </c>
      <c r="J71" s="12" t="inlineStr">
        <is>
          <t>The attacker completes legitimate recovery on a controlled account, observes the issued token on DF7, and repeats the process to collect a series; from the series the generation scheme is inferred — sequential or time-derived values, or a weak generation scheme — and tokens issued to other users on DF5 are then computed and redeemed without any verification attempt.</t>
        </is>
      </c>
      <c r="K71" s="12" t="inlineStr">
        <is>
          <t>An attacker with one or more controlled accounts harvests issued tokens, reconstructs the generation pattern, computes tokens currently issued to victim accounts directly from the pattern, and redeems them, defeating the identity verification chain without ever submitting a verification answer.</t>
        </is>
      </c>
      <c r="L71" s="12" t="inlineStr">
        <is>
          <t>Mass unauthorised account takeover, because prediction defeats the identity verification chain entirely and requires no per-victim effort or information, unlike every other member of the recovery takeover family.</t>
        </is>
      </c>
      <c r="M71" s="12" t="inlineStr">
        <is>
          <t>Token generation is an explicitly stated responsibility of P2, but nothing in the model constrains the entropy or unpredictability of the generated values, and DF5 persists them into DS2 where their format is stable; predictable recovery credentials are a recurring real-world failure class precisely because the generator is an internal detail that no drawn element polices. The threat follows from the gap between the stated responsibility, to generate tokens, and the unstated property, unpredictability.</t>
        </is>
      </c>
      <c r="N71" s="12" t="inlineStr">
        <is>
          <t>Catalogue entry T-05, retained with a technology-neutral rewording of the predictability examples and conditional framing: the architecture states the generation responsibility but constrains neither entropy nor unpredictability, and the entry records that gap rather than claiming the generator is definitely weak. Retained separately from S3-RT-002, which also yields tokens without honest verification, because prediction attacks the generator itself, is fully untargeted, and is remedied by generation strength rather than verification strength or throttling, so a candidate model proposing only factor hardening is not credited with preventing prediction.</t>
        </is>
      </c>
      <c r="O71" s="11" t="inlineStr">
        <is>
          <t>Critical</t>
        </is>
      </c>
      <c r="P71" s="11" t="inlineStr">
        <is>
          <t>Low</t>
        </is>
      </c>
      <c r="Q71" s="11" t="inlineStr">
        <is>
          <t>No</t>
        </is>
      </c>
      <c r="R71" s="11" t="inlineStr">
        <is>
          <t>Medium</t>
        </is>
      </c>
      <c r="S71" s="11" t="inlineStr">
        <is>
          <t>YES</t>
        </is>
      </c>
    </row>
    <row r="72" ht="52" customHeight="1">
      <c r="A72" s="11" t="inlineStr">
        <is>
          <t>S3-RT-006</t>
        </is>
      </c>
      <c r="B72" s="11" t="inlineStr">
        <is>
          <t>S3</t>
        </is>
      </c>
      <c r="C72" s="11" t="inlineStr">
        <is>
          <t>Cross-account token confusion through insufficient token-to-account binding</t>
        </is>
      </c>
      <c r="D72" s="11" t="inlineStr">
        <is>
          <t>Spoofing</t>
        </is>
      </c>
      <c r="E72" s="11" t="inlineStr">
        <is>
          <t>Session Management</t>
        </is>
      </c>
      <c r="F72" s="12" t="inlineStr">
        <is>
          <t>DS2 Recovery Token Storage</t>
        </is>
      </c>
      <c r="G72" s="12" t="inlineStr">
        <is>
          <t>DF5, DF6 (token redemption path not represented in the model)</t>
        </is>
      </c>
      <c r="H72" s="12" t="inlineStr">
        <is>
          <t>TB4</t>
        </is>
      </c>
      <c r="I72" s="12" t="inlineStr">
        <is>
          <t>Recovery tokens; session/account recovery state</t>
        </is>
      </c>
      <c r="J72" s="12" t="inlineStr">
        <is>
          <t>The attacker completes legitimate recovery on a controlled account to obtain a genuinely valid token, then presents it in connection with a victim's account identifier on the redemption path that the model does not draw; if the token records in DS2 do not bind each token to the verified account, the validation information returned on DF6 is applied to the wrong account.</t>
        </is>
      </c>
      <c r="K72" s="12" t="inlineStr">
        <is>
          <t>An attacker recovers their own account, receives a genuinely valid token, and presents it together with a victim's account identifier; the validation path applies the token to the victim's account, and the attacker completes recovery on an account they never verified, with the record showing a valid verification for the attacker throughout.</t>
        </is>
      </c>
      <c r="L72" s="12" t="inlineStr">
        <is>
          <t>Unauthorised takeover of arbitrary accounts using the attacker's own legitimately issued token, with the recovery record showing a valid verification for the attacker throughout.</t>
        </is>
      </c>
      <c r="M72" s="12" t="inlineStr">
        <is>
          <t>This threat is justified by an absence in the architecture rather than by a drawn element: the model shows generation on DF5, storage and validation on DF6, and delivery on DF7, but no flow depicts a token being redeemed to restore access, so the binding between a presented token and the target account is implicit and unpoliced. The stated property that tokens restore the verified user's access has no represented enforcement point, and DS2's specified contents — active tokens, metadata, expiration and consumption state — do not name account binding.</t>
        </is>
      </c>
      <c r="N72" s="12" t="inlineStr">
        <is>
          <t>Catalogue entry T-06, retained with a STRIDE collapse: primary Spoofing, a legitimately issued token applied to the wrong account, with elevation of privilege noted as the consequence. Absence-justified: the redemption path and the binding property it presupposes are not drawn, and a reference model must test stated properties against drawn controls rather than accept them. Retained separately from S3-RT-004 and S3-RT-005 because the attacker neither reuses a victim's token nor predicts one: a flawlessly generated, single-use, expiring token for the attacker's own account suffices when binding is weak, so only account-binding mitigations address this entry.</t>
        </is>
      </c>
      <c r="O72" s="11" t="inlineStr">
        <is>
          <t>High</t>
        </is>
      </c>
      <c r="P72" s="11" t="inlineStr">
        <is>
          <t>Low</t>
        </is>
      </c>
      <c r="Q72" s="11" t="inlineStr">
        <is>
          <t>No</t>
        </is>
      </c>
      <c r="R72" s="11" t="inlineStr">
        <is>
          <t>Medium</t>
        </is>
      </c>
      <c r="S72" s="11" t="inlineStr">
        <is>
          <t>YES</t>
        </is>
      </c>
    </row>
    <row r="73" ht="52" customHeight="1">
      <c r="A73" s="11" t="inlineStr">
        <is>
          <t>S3-RT-007</t>
        </is>
      </c>
      <c r="B73" s="11" t="inlineStr">
        <is>
          <t>S3</t>
        </is>
      </c>
      <c r="C73" s="11" t="inlineStr">
        <is>
          <t>Broken access control on profile updates through record-level reference manipulation</t>
        </is>
      </c>
      <c r="D73" s="11" t="inlineStr">
        <is>
          <t>Elevation of Privilege</t>
        </is>
      </c>
      <c r="E73" s="11" t="inlineStr">
        <is>
          <t>Authorization</t>
        </is>
      </c>
      <c r="F73" s="12" t="inlineStr">
        <is>
          <t>P3 Profile Management Service</t>
        </is>
      </c>
      <c r="G73" s="12" t="inlineStr">
        <is>
          <t>DF8, DF9</t>
        </is>
      </c>
      <c r="H73" s="12" t="inlineStr">
        <is>
          <t>TB3</t>
        </is>
      </c>
      <c r="I73" s="12" t="inlineStr">
        <is>
          <t>Profile information; user account information</t>
        </is>
      </c>
      <c r="J73" s="12" t="inlineStr">
        <is>
          <t>An attacker with an update path for their own account submits profile update requests on DF8 that reference a record other than their own, through manipulated record identifiers in the request or parameter tampering; P3 fails to bind the requesting identity to the target record and persists the update to the victim's stored profile information on DF9.</t>
        </is>
      </c>
      <c r="K73" s="12" t="inlineStr">
        <is>
          <t>An attacker submits a profile update request whose record reference points at a victim's record; the update validation at P3 does not bind the target record to the requester, DF9 persists the change to the victim's stored profile, and the modification stands in the victim's record while the attacker only ever used an ordinary update request.</t>
        </is>
      </c>
      <c r="L73" s="12" t="inlineStr">
        <is>
          <t>Unauthorised modification of arbitrary users' profile data, and a staging step for full account takeover through S3-RT-013, where content planted in the victim's record executes in the victim's client context, and through S3-RT-008, where security-relevant fields are altered to arm a subsequent recovery.</t>
        </is>
      </c>
      <c r="M73" s="12" t="inlineStr">
        <is>
          <t>The architecture states that P3 performs updates only after authorised recovery approval, which makes the validation logic at TB3 the single control point for record-level authorisation, exactly the configuration OWASP Top 10 A01 identifies as broken access control through insecure direct object references. TB3 is drawn because profile updates modify stored account information, and DF8 carries user-controlled request content across TB1 before reaching that validation.</t>
        </is>
      </c>
      <c r="N73" s="12" t="inlineStr">
        <is>
          <t>Catalogue entry T-07, retained with a STRIDE collapse and an architecture-only rewrite: primary Elevation of Privilege, access to another subject's record, with tampering of the persisted record noted as the consequence; the original's direct-invocation phrasing was removed since no undrawn path is assumed. Retained separately from S3-RT-008, which attacks which fields may be written within a permitted record, because here the record selection itself is unauthorised, and a field-level allowlist does not repair an unverified record reference.</t>
        </is>
      </c>
      <c r="O73" s="11" t="inlineStr">
        <is>
          <t>Critical</t>
        </is>
      </c>
      <c r="P73" s="11" t="inlineStr">
        <is>
          <t>High</t>
        </is>
      </c>
      <c r="Q73" s="11" t="inlineStr">
        <is>
          <t>No</t>
        </is>
      </c>
      <c r="R73" s="11" t="inlineStr">
        <is>
          <t>High</t>
        </is>
      </c>
      <c r="S73" s="11" t="inlineStr">
        <is>
          <t>YES</t>
        </is>
      </c>
    </row>
    <row r="74" ht="52" customHeight="1">
      <c r="A74" s="11" t="inlineStr">
        <is>
          <t>S3-RT-008</t>
        </is>
      </c>
      <c r="B74" s="11" t="inlineStr">
        <is>
          <t>S3</t>
        </is>
      </c>
      <c r="C74" s="11" t="inlineStr">
        <is>
          <t>Mass assignment of security-relevant fields through the profile update path</t>
        </is>
      </c>
      <c r="D74" s="11" t="inlineStr">
        <is>
          <t>Elevation of Privilege</t>
        </is>
      </c>
      <c r="E74" s="11" t="inlineStr">
        <is>
          <t>Authorization</t>
        </is>
      </c>
      <c r="F74" s="12" t="inlineStr">
        <is>
          <t>P3 Profile Management Service; DS1 User Database</t>
        </is>
      </c>
      <c r="G74" s="12" t="inlineStr">
        <is>
          <t>DF8, DF9</t>
        </is>
      </c>
      <c r="H74" s="12" t="inlineStr">
        <is>
          <t>TB3</t>
        </is>
      </c>
      <c r="I74" s="12" t="inlineStr">
        <is>
          <t>Profile information; identity verification data; user account information</t>
        </is>
      </c>
      <c r="J74" s="12" t="inlineStr">
        <is>
          <t>The attacker includes security-relevant field names — recovery-linked and verification attributes among the architecture's stated data classes — inside an otherwise permitted profile update request on DF8; the field-level validation of P3 fails to reject them, and the values are persisted on DF9 into DS1, which stores account, profile and verification information without any modelled segregation.</t>
        </is>
      </c>
      <c r="K74" s="12" t="inlineStr">
        <is>
          <t>An attacker submits an ordinary update on their own record that additionally carries verification-attribute and recovery-linked field names; the field validation does not reject them, DF9 persists the values, and the attacker then passes the legitimately altered verification factors through the ordinary recovery flow of S3-RT-001 and S3-RT-002 and receives a genuine token.</t>
        </is>
      </c>
      <c r="L74" s="12" t="inlineStr">
        <is>
          <t>A takeover path through altered recovery-linked data: the attacker passes the legitimately altered verification factors through the ordinary recovery flow and receives a genuine token, and any write to security-relevant stored data beyond the profile domain that confers advantage inside the application stands persisted in DS1.</t>
        </is>
      </c>
      <c r="M74" s="12" t="inlineStr">
        <is>
          <t>The architecture limits P3 to performing profile updates, which implies a field allowlist at P3, but the model shows no separation inside DS1 between the profile domain that DF9 may write and the verification domain that DF3 and DF4 read, so an allowlist failure crosses domains silently. OWASP guidance on mass assignment under Top 10 A01 and on data integrity failures under A08 covers exactly this request-shape attack.</t>
        </is>
      </c>
      <c r="N74" s="12" t="inlineStr">
        <is>
          <t>Catalogue entry T-08, retained with a STRIDE collapse and an architecture-only rewrite: primary Elevation of Privilege; the original's role and permission examples were removed because the architecture specifies no such fields, and the entry is stated over the architecture's own data classes, recovery-linked and verification attributes held in DS1 without modelled segregation from the profile domain. Retained separately from S3-RT-007 because a correctly record-bound update of the attacker's own profile can still carry the attack when the field validation is the weakness, and separately from S3-RT-009 because here the write path itself is abused legitimately rather than through the access-scope layer.</t>
        </is>
      </c>
      <c r="O74" s="11" t="inlineStr">
        <is>
          <t>Critical</t>
        </is>
      </c>
      <c r="P74" s="11" t="inlineStr">
        <is>
          <t>Medium</t>
        </is>
      </c>
      <c r="Q74" s="11" t="inlineStr">
        <is>
          <t>No</t>
        </is>
      </c>
      <c r="R74" s="11" t="inlineStr">
        <is>
          <t>Medium</t>
        </is>
      </c>
      <c r="S74" s="11" t="inlineStr">
        <is>
          <t>YES</t>
        </is>
      </c>
    </row>
    <row r="75" ht="52" customHeight="1">
      <c r="A75" s="11" t="inlineStr">
        <is>
          <t>S3-RT-009</t>
        </is>
      </c>
      <c r="B75" s="11" t="inlineStr">
        <is>
          <t>S3</t>
        </is>
      </c>
      <c r="C75" s="11" t="inlineStr">
        <is>
          <t>Privilege-separation gap in the Profile Management Service's access to the shared User Database</t>
        </is>
      </c>
      <c r="D75" s="11" t="inlineStr">
        <is>
          <t>Elevation of Privilege</t>
        </is>
      </c>
      <c r="E75" s="11" t="inlineStr">
        <is>
          <t>Authorization</t>
        </is>
      </c>
      <c r="F75" s="12" t="inlineStr">
        <is>
          <t>P3 Profile Management Service; DS1 User Database</t>
        </is>
      </c>
      <c r="G75" s="12" t="inlineStr">
        <is>
          <t>DF9</t>
        </is>
      </c>
      <c r="H75" s="12" t="inlineStr">
        <is>
          <t>TB3</t>
        </is>
      </c>
      <c r="I75" s="12" t="inlineStr">
        <is>
          <t>Identity verification data; recovery information; user account information</t>
        </is>
      </c>
      <c r="J75" s="12" t="inlineStr">
        <is>
          <t>The architecture draws TB2 and TB3 over one shared store, expressing intended separation between the recovery and profile domains, but specifies no separation or scoping of P3's access to DS1: if the access scope under which P3 operates spans the recovery domain as well as the profile domain — a condition the architecture neither establishes nor excludes — compromise of P3, or a flaw reachable through it such as the stored injection of S3-RT-012, reads and modifies verification and recovery information belonging to P2's domain.</t>
        </is>
      </c>
      <c r="K75" s="12" t="inlineStr">
        <is>
          <t>An attacker who compromises P3 or finds a flaw reachable through it operates through the undifferentiated access scope against verification and recovery information belonging to the recovery domain of P2, reading and modifying data the profile service never legitimately required.</t>
        </is>
      </c>
      <c r="L75" s="12" t="inlineStr">
        <is>
          <t>Cross-domain disclosure and tampering: a profile-side compromise escalates into identity verification data theft and recovery information manipulation, collapsing the separation between the profile and recovery trust domains that the two boundaries TB2 and TB3 are drawn to express.</t>
        </is>
      </c>
      <c r="M75" s="12" t="inlineStr">
        <is>
          <t>DS1 is shared by P2 across TB2 and P3 across TB3, and the architecture's decision to draw two separate boundaries over one store is an explicit statement of intended domain separation; the access scoping that must realise it is nowhere documented in the model, which is recorded as an architecture-level control gap rather than a claim about the implemented scope.</t>
        </is>
      </c>
      <c r="N75" s="12" t="inlineStr">
        <is>
          <t>Catalogue entry T-09, retained and reframed as an architecture-level privilege-separation gap: the entry makes no claim that P3's access is definitely over-broad, since the implemented scope is unknowable from the supplied architecture; it records that nothing in the supplied architecture separates or limits P3's access to the shared store, so a profile-side compromise can escalate across the boundary the design intends. The original's credential-layer wording was generalised to access scope per the architecture-only scope. Retained separately from S3-RT-008, which abuses the legitimate write path of DF9 through request-shape manipulation, because here the write path is bypassed entirely through the access-scope layer, so field allowlists and request validation are irrelevant mitigations.</t>
        </is>
      </c>
      <c r="O75" s="11" t="inlineStr">
        <is>
          <t>High</t>
        </is>
      </c>
      <c r="P75" s="11" t="inlineStr">
        <is>
          <t>Medium</t>
        </is>
      </c>
      <c r="Q75" s="11" t="inlineStr">
        <is>
          <t>No</t>
        </is>
      </c>
      <c r="R75" s="11" t="inlineStr">
        <is>
          <t>High</t>
        </is>
      </c>
      <c r="S75" s="11" t="inlineStr">
        <is>
          <t>YES</t>
        </is>
      </c>
    </row>
    <row r="76" ht="52" customHeight="1">
      <c r="A76" s="11" t="inlineStr">
        <is>
          <t>S3-RT-010</t>
        </is>
      </c>
      <c r="B76" s="11" t="inlineStr">
        <is>
          <t>S3</t>
        </is>
      </c>
      <c r="C76" s="11" t="inlineStr">
        <is>
          <t>Unauthenticated access to account-related information through the assistant path</t>
        </is>
      </c>
      <c r="D76" s="11" t="inlineStr">
        <is>
          <t>Elevation of Privilege</t>
        </is>
      </c>
      <c r="E76" s="11" t="inlineStr">
        <is>
          <t>Authorization</t>
        </is>
      </c>
      <c r="F76" s="12" t="inlineStr">
        <is>
          <t>P4 AI Account Support Assistant</t>
        </is>
      </c>
      <c r="G76" s="12" t="inlineStr">
        <is>
          <t>DF10</t>
        </is>
      </c>
      <c r="H76" s="12" t="inlineStr">
        <is>
          <t>TB1</t>
        </is>
      </c>
      <c r="I76" s="12" t="inlineStr">
        <is>
          <t>User AI questions; context information sent to the LLM; generated AI responses</t>
        </is>
      </c>
      <c r="J76" s="12" t="inlineStr">
        <is>
          <t>The assistant path crosses TB1 on DF10 with no identity binding drawn — the stated limitation that the assistant cannot authenticate users means no identity check exists on this path — so an unauthenticated caller receives the assistant's account-related responses and whatever context the pipeline attaches: account-related information is delivered without entitlement, and the external LLM chain is consumed without attribution, seeding S3-RT-033.</t>
        </is>
      </c>
      <c r="K76" s="12" t="inlineStr">
        <is>
          <t>An unauthenticated attacker questions the assistant about account handling and recovery procedures; the pipeline assembles account-related context and returns account-related answers to a party bound to no identity, and systematic questioning yields reconnaissance material that sharpens the targeted recovery attacks S3-RT-001 and S3-RT-002.</t>
        </is>
      </c>
      <c r="L76" s="12" t="inlineStr">
        <is>
          <t>Unauthorised access to account-related information through the assistant path, reconnaissance material for the recovery attacks S3-RT-001 and S3-RT-002, and an unattributed entry point for the external LLM chain's consumption abuse through S3-RT-033; in a recovery context the assistant can additionally serve as a social engineering amplifier through S3-RT-026.</t>
        </is>
      </c>
      <c r="M76" s="12" t="inlineStr">
        <is>
          <t>The stated limitation that the assistant cannot authenticate users, combined with DF10 being drawn directly from the End User across TB1, means the assistant path carries no identity binding anywhere in the model; the assistant's stated purpose — answering account questions with approved context — makes the path account-information-bearing, so its unbound reachability is an unauthorised-access path rather than a benign property. The compensating constraints — no token generation, no account modification, no authorisation decisions — bound the direct technical impact, which is why severity is High and not Critical.</t>
        </is>
      </c>
      <c r="N76" s="12" t="inlineStr">
        <is>
          <t>Catalogue entry T-10, retained with a STRIDE collapse and reframed in this freeze audit around its concrete consequence path: the entry is not the bare fact that the assistant can be queried without authentication — it is the unauthorised delivery of account-related information and the unattributed consumption of the external chain that the unbound path delivers, which make it independently evaluable against a generated threat. Distinct from S3-RT-023, which is mis-scoped or over-inclusive context assembly between users: here no identity binding exists on the entry path at all. Primary Elevation of Privilege: a protected capability is used without entitlement, with the reconnaissance disclosure noted as secondary. Not AI-specific: classical access-control analysis of an entry point. This entry is the unauthenticated entry point leveraged by S3-RT-033.</t>
        </is>
      </c>
      <c r="O76" s="11" t="inlineStr">
        <is>
          <t>High</t>
        </is>
      </c>
      <c r="P76" s="11" t="inlineStr">
        <is>
          <t>High</t>
        </is>
      </c>
      <c r="Q76" s="11" t="inlineStr">
        <is>
          <t>No</t>
        </is>
      </c>
      <c r="R76" s="11" t="inlineStr">
        <is>
          <t>High</t>
        </is>
      </c>
      <c r="S76" s="11" t="inlineStr">
        <is>
          <t>YES</t>
        </is>
      </c>
    </row>
    <row r="77" ht="52" customHeight="1">
      <c r="A77" s="11" t="inlineStr">
        <is>
          <t>S3-RT-011</t>
        </is>
      </c>
      <c r="B77" s="11" t="inlineStr">
        <is>
          <t>S3</t>
        </is>
      </c>
      <c r="C77" s="11" t="inlineStr">
        <is>
          <t>Injection into identity verification lookups through recovery request data</t>
        </is>
      </c>
      <c r="D77" s="11" t="inlineStr">
        <is>
          <t>Tampering</t>
        </is>
      </c>
      <c r="E77" s="11" t="inlineStr">
        <is>
          <t>Data Security</t>
        </is>
      </c>
      <c r="F77" s="12" t="inlineStr">
        <is>
          <t>P2 Account Recovery Service; DS1 User Database</t>
        </is>
      </c>
      <c r="G77" s="12" t="inlineStr">
        <is>
          <t>DF2, DF3</t>
        </is>
      </c>
      <c r="H77" s="12" t="inlineStr">
        <is>
          <t>TB2</t>
        </is>
      </c>
      <c r="I77" s="12" t="inlineStr">
        <is>
          <t>Identity verification data; user account information</t>
        </is>
      </c>
      <c r="J77" s="12" t="inlineStr">
        <is>
          <t>Recovery request details arriving on DF2 carry injection payloads in identifier or verification-answer fields; P2 composes the identity verification lookups of DF3 from this externally controlled data, and the payload alters the lookup executed against DS1 — forcing a positive verification result on DF4 or extracting records beyond the intended scope.</t>
        </is>
      </c>
      <c r="K77" s="12" t="inlineStr">
        <is>
          <t>An attacker submits a recovery request whose verification-answer field carries crafted syntax that changes the meaning of the DF3 lookup; DS1 returns a positive verification result on DF4 or record contents beyond the intended scope, and token generation proceeds for an account the attacker never verified.</t>
        </is>
      </c>
      <c r="L77" s="12" t="inlineStr">
        <is>
          <t>Direct account recovery bypass through forged verification results, and arbitrary extraction of account, profile and verification data from DS1, seeding the mass disclosure of S3-RT-014.</t>
        </is>
      </c>
      <c r="M77" s="12" t="inlineStr">
        <is>
          <t>DF2 crosses TB1 with user-controlled content and DF3 carries it across TB2 into security-decisive verification lookups, exactly the untrusted-input-to-lookup path that OWASP Top 10 A03 identifies; the verification result on DF4 is the scenario's core security decision, so injection here subverts the control the entire architecture exists to enforce.</t>
        </is>
      </c>
      <c r="N77" s="12" t="inlineStr">
        <is>
          <t>Catalogue entry T-11, retained with a STRIDE collapse and a technology-neutral rewrite: primary Tampering, the integrity of the verification lookup is violated, with the disclosure consequence noted; query-technology terminology was generalised to untrusted influence over the lookups P2 composes, which the drawn architecture fully supports. Retained separately from S3-RT-001 and S3-RT-002, which also end in illegitimate tokens, because the mechanism is a data-layer lookup integrity failure: a flawless recovery workflow with strong verification factors and correct throttling still falls to a single crafted request, and only structured construction of the lookup, with untrusted data kept separate, addresses it.</t>
        </is>
      </c>
      <c r="O77" s="11" t="inlineStr">
        <is>
          <t>Critical</t>
        </is>
      </c>
      <c r="P77" s="11" t="inlineStr">
        <is>
          <t>Medium</t>
        </is>
      </c>
      <c r="Q77" s="11" t="inlineStr">
        <is>
          <t>No</t>
        </is>
      </c>
      <c r="R77" s="11" t="inlineStr">
        <is>
          <t>High</t>
        </is>
      </c>
      <c r="S77" s="11" t="inlineStr">
        <is>
          <t>YES</t>
        </is>
      </c>
    </row>
    <row r="78" ht="52" customHeight="1">
      <c r="A78" s="11" t="inlineStr">
        <is>
          <t>S3-RT-012</t>
        </is>
      </c>
      <c r="B78" s="11" t="inlineStr">
        <is>
          <t>S3</t>
        </is>
      </c>
      <c r="C78" s="11" t="inlineStr">
        <is>
          <t>Stored second-order injection through profile update data crossing service domains</t>
        </is>
      </c>
      <c r="D78" s="11" t="inlineStr">
        <is>
          <t>Tampering</t>
        </is>
      </c>
      <c r="E78" s="11" t="inlineStr">
        <is>
          <t>Data Security</t>
        </is>
      </c>
      <c r="F78" s="12" t="inlineStr">
        <is>
          <t>P3 Profile Management Service; DS1 User Database</t>
        </is>
      </c>
      <c r="G78" s="12" t="inlineStr">
        <is>
          <t>DF8, DF9</t>
        </is>
      </c>
      <c r="H78" s="12" t="inlineStr">
        <is>
          <t>TB3</t>
        </is>
      </c>
      <c r="I78" s="12" t="inlineStr">
        <is>
          <t>Profile information; identity verification data</t>
        </is>
      </c>
      <c r="J78" s="12" t="inlineStr">
        <is>
          <t>The attacker stores hostile content inside profile fields through an otherwise permitted update on DF8 and DF9; the content lies dormant in DS1 until another service reads the shared store — for example when P2 reads stored values over DF3 to verify identity — and, if the reading service's processing assigns interpretive meaning to stored content, the stored syntax alters that processing's behaviour in the recovery context, with the reading service's authority.</t>
        </is>
      </c>
      <c r="K78" s="12" t="inlineStr">
        <is>
          <t>An attacker writes crafted content into a profile field through an ordinary update; the content persists in DS1, and when P2 later reads stored values during identity verification, the stored content's influence forces a positive verification result or widens what the verification step reads, all without the attacker ever touching the recovery path directly.</t>
        </is>
      </c>
      <c r="L78" s="12" t="inlineStr">
        <is>
          <t>Second-order compromise of verification operations, including forged verification results and extraction of account and verification data, with the attack crossing from the profile trust domain at TB3 into the recovery trust domain at TB2 while the attacker only ever performed an ordinary profile write.</t>
        </is>
      </c>
      <c r="M78" s="12" t="inlineStr">
        <is>
          <t>OWASP injection guidance under Top 10 A03 explicitly covers stored and second-order variants, in which malicious data is persisted through one path and consumed by another; DS1 is precisely such a shared store, fed by the user-writable DF9 and read by the security-decisive DF3 and DF4, and the architecture's separation into two services does not isolate the underlying data. What the reading service's processing makes of stored content is not specified by the architecture, so the influence is stated conditionally on that processing interpreting stored content.</t>
        </is>
      </c>
      <c r="N78" s="12" t="inlineStr">
        <is>
          <t>Catalogue entry T-12, retained with the lookup-wording harmonisation of the first review and, in this freeze audit, restated at the architecture level: the entry assumes no specific downstream processing mechanism — it is stated as untrusted stored content, written through the profile path, influencing the security-decisive recovery processing that reads it back, conditional on that processing interpreting stored content — which is the level the drawn shared-store structure supports. Retained separately from S3-RT-011 because the entry point, precondition and boundary differ: that entry injects directly through the recovery path at TB2 with immediate effect, whereas this entry requires only an ordinary profile write and detonates later in a different service, so input validation at P2's boundary alone cannot address it. Primary STRIDE is Tampering.</t>
        </is>
      </c>
      <c r="O78" s="11" t="inlineStr">
        <is>
          <t>High</t>
        </is>
      </c>
      <c r="P78" s="11" t="inlineStr">
        <is>
          <t>Medium</t>
        </is>
      </c>
      <c r="Q78" s="11" t="inlineStr">
        <is>
          <t>No</t>
        </is>
      </c>
      <c r="R78" s="11" t="inlineStr">
        <is>
          <t>Medium</t>
        </is>
      </c>
      <c r="S78" s="11" t="inlineStr">
        <is>
          <t>YES</t>
        </is>
      </c>
    </row>
    <row r="79" ht="52" customHeight="1">
      <c r="A79" s="11" t="inlineStr">
        <is>
          <t>S3-RT-013</t>
        </is>
      </c>
      <c r="B79" s="11" t="inlineStr">
        <is>
          <t>S3</t>
        </is>
      </c>
      <c r="C79" s="11" t="inlineStr">
        <is>
          <t>Stored or reflected active content from profile and recovery data executing in the application's client context</t>
        </is>
      </c>
      <c r="D79" s="11" t="inlineStr">
        <is>
          <t>Tampering</t>
        </is>
      </c>
      <c r="E79" s="11" t="inlineStr">
        <is>
          <t>Data Security</t>
        </is>
      </c>
      <c r="F79" s="12" t="inlineStr">
        <is>
          <t>P1 Web Frontend; DS1 User Database</t>
        </is>
      </c>
      <c r="G79" s="12" t="inlineStr">
        <is>
          <t>DF7, DF9</t>
        </is>
      </c>
      <c r="H79" s="12" t="inlineStr">
        <is>
          <t>TB1</t>
        </is>
      </c>
      <c r="I79" s="12" t="inlineStr">
        <is>
          <t>Profile information; recovery tokens</t>
        </is>
      </c>
      <c r="J79" s="12" t="inlineStr">
        <is>
          <t>Active content stored in profile fields through DF9, or reflected in recovery results and error messages on DF7, is presented by P1 within the platform interface; if the client environment interprets the presented content as executable — display-side content handling at P1 is not specified — it executes in the user's client context, and content planted in a victim's own record through the record-level takeover of S3-RT-007 renders in the victim's context rather than the attacker's.</t>
        </is>
      </c>
      <c r="K79" s="12" t="inlineStr">
        <is>
          <t>An attacker plants active content in a victim's profile record through S3-RT-007 or submits it in recovery fields; when P1 presents the stored or reflected data within the platform interface, the content executes in the victim's client context, where a live recovery token delivered on DF7 is reachable.</t>
        </is>
      </c>
      <c r="L79" s="12" t="inlineStr">
        <is>
          <t>Client-side compromise inside the application context: capture of the recovery token delivered on DF7 within the same client context and its hand-off to S3-RT-003, and actions performed in the victim's name.</t>
        </is>
      </c>
      <c r="M79" s="12" t="inlineStr">
        <is>
          <t>User-influenced data reaches the web tier across TB1, and display-side content handling is the only control point the model offers, none being specified; OWASP Top 10 A03 identifies rendering-sink failures for user-influenced data as the canonical class. The recovery setting aggravates the generic pattern because a live recovery token can be present in the same client context that presents the content, converting content execution directly into account takeover.</t>
        </is>
      </c>
      <c r="N79" s="12" t="inlineStr">
        <is>
          <t>Catalogue entry T-13, retained with an architecture-only rewrite: implementation-specific rendering and encoding mechanisms were generalised to display-side content handling, which the architecture does not specify, and execution is stated conditionally on the client environment interpreting presented content. Retained separately from S3-RT-012, whose payload attacks lookup construction, because the sink here is the client context and the mitigation is display-side content handling at P1 rather than structured lookup construction at the services; and distinct from S3-RT-027, whose content originates in the LLM chain.</t>
        </is>
      </c>
      <c r="O79" s="11" t="inlineStr">
        <is>
          <t>High</t>
        </is>
      </c>
      <c r="P79" s="11" t="inlineStr">
        <is>
          <t>Medium</t>
        </is>
      </c>
      <c r="Q79" s="11" t="inlineStr">
        <is>
          <t>No</t>
        </is>
      </c>
      <c r="R79" s="11" t="inlineStr">
        <is>
          <t>Medium</t>
        </is>
      </c>
      <c r="S79" s="11" t="inlineStr">
        <is>
          <t>YES</t>
        </is>
      </c>
    </row>
    <row r="80" ht="52" customHeight="1">
      <c r="A80" s="11" t="inlineStr">
        <is>
          <t>S3-RT-014</t>
        </is>
      </c>
      <c r="B80" s="11" t="inlineStr">
        <is>
          <t>S3</t>
        </is>
      </c>
      <c r="C80" s="11" t="inlineStr">
        <is>
          <t>Mass disclosure of User Database contents</t>
        </is>
      </c>
      <c r="D80" s="11" t="inlineStr">
        <is>
          <t>Information Disclosure</t>
        </is>
      </c>
      <c r="E80" s="11" t="inlineStr">
        <is>
          <t>Data Security</t>
        </is>
      </c>
      <c r="F80" s="12" t="inlineStr">
        <is>
          <t>DS1 User Database</t>
        </is>
      </c>
      <c r="G80" s="12" t="inlineStr">
        <is>
          <t>DF3, DF4, DF9</t>
        </is>
      </c>
      <c r="H80" s="12" t="inlineStr">
        <is>
          <t>TB2; TB3</t>
        </is>
      </c>
      <c r="I80" s="12" t="inlineStr">
        <is>
          <t>User account information; profile information; recovery information; identity verification data</t>
        </is>
      </c>
      <c r="J80" s="12" t="inlineStr">
        <is>
          <t>Unauthorised bulk read of DS1's contents at the store layer: an actor compromising the store, or gaining access to the store side of the flows that terminate in it, reads the account, profile, recovery and identity-verification records of the whole user population, bypassing the service-level controls of P2 and P3 entirely; the architecture specifies no element protecting the store's contents directly.</t>
        </is>
      </c>
      <c r="K80" s="12" t="inlineStr">
        <is>
          <t>An actor reaches the store side of the DF3, DF4 and DF9 terminations — through store compromise or unauthorised store-level access whose protection the architecture does not specify — and extracts records for the whole user population in bulk, with no service-level check ever consulted.</t>
        </is>
      </c>
      <c r="L80" s="12" t="inlineStr">
        <is>
          <t>Bulk disclosure of account, profile, recovery and identity verification data, enabling targeted recovery attacks through S3-RT-002, identity fraud outside the system, and irreversible exposure of the verification factors on which every account's recovery depends.</t>
        </is>
      </c>
      <c r="M80" s="12" t="inlineStr">
        <is>
          <t>DS1 concentrates all four sensitive data classes named in the asset list behind two service boundaries, and STRIDE-per-element mandates an information-disclosure entry for the central data store; the architecture draws TB2 and TB3 around DS1 precisely because recovery decisions depend on sensitive verification information and profile updates modify stored account information, so the store is acknowledged as the system's principal information repository, and no drawn element protects its contents directly.</t>
        </is>
      </c>
      <c r="N80" s="12" t="inlineStr">
        <is>
          <t>Catalogue entry T-14, retained and restated at the store layer in this review: the mechanism is the unauthorised bulk read of persisted store contents, and the request-path entries S3-RT-011, S3-RT-012 and S3-RT-009 are separate threats with their own mechanisms, alternate roads to the same asset; this entry carries the store-level failure and the asset-level consequence and detection strategy, which are properties of the store, so that a candidate model identifying only the injection paths is not credited with having covered the direct compromise routes. Primary STRIDE is Information Disclosure.</t>
        </is>
      </c>
      <c r="O80" s="11" t="inlineStr">
        <is>
          <t>Critical</t>
        </is>
      </c>
      <c r="P80" s="11" t="inlineStr">
        <is>
          <t>Medium</t>
        </is>
      </c>
      <c r="Q80" s="11" t="inlineStr">
        <is>
          <t>No</t>
        </is>
      </c>
      <c r="R80" s="11" t="inlineStr">
        <is>
          <t>High</t>
        </is>
      </c>
      <c r="S80" s="11" t="inlineStr">
        <is>
          <t>YES</t>
        </is>
      </c>
    </row>
    <row r="81" ht="52" customHeight="1">
      <c r="A81" s="11" t="inlineStr">
        <is>
          <t>S3-RT-015</t>
        </is>
      </c>
      <c r="B81" s="11" t="inlineStr">
        <is>
          <t>S3</t>
        </is>
      </c>
      <c r="C81" s="11" t="inlineStr">
        <is>
          <t>Account enumeration and verbose error disclosure across recovery and assistant responses</t>
        </is>
      </c>
      <c r="D81" s="11" t="inlineStr">
        <is>
          <t>Information Disclosure</t>
        </is>
      </c>
      <c r="E81" s="11" t="inlineStr">
        <is>
          <t>Data Security</t>
        </is>
      </c>
      <c r="F81" s="12" t="inlineStr">
        <is>
          <t>P2 Account Recovery Service; P1 Web Frontend</t>
        </is>
      </c>
      <c r="G81" s="12" t="inlineStr">
        <is>
          <t>DF7, DF15</t>
        </is>
      </c>
      <c r="H81" s="12" t="inlineStr">
        <is>
          <t>TB1</t>
        </is>
      </c>
      <c r="I81" s="12" t="inlineStr">
        <is>
          <t>User account information; recovery information</t>
        </is>
      </c>
      <c r="J81" s="12" t="inlineStr">
        <is>
          <t>The attacker submits recovery requests for candidate account identifiers and observes differentiating responses on DF7 — such as account existence, which verification factor failed, or token state — or receives verbose internal errors relayed by P1, including provider-side errors surfaced through the assistant chain on DF15.</t>
        </is>
      </c>
      <c r="K81" s="12" t="inlineStr">
        <is>
          <t>An attacker probes the recovery path with candidate identifiers and records which produce found-versus-not-found responses and which error content carries internal detail; over many requests this yields a validated map of account identifiers and their states, plus internal detail that refines further attacks.</t>
        </is>
      </c>
      <c r="L81" s="12" t="inlineStr">
        <is>
          <t>Account enumeration for targeted attacks through S3-RT-001 and S3-RT-002, and disclosure of internal implementation details that refine injection and bypass attempts, at low cost and without any failed-exploit signature.</t>
        </is>
      </c>
      <c r="M81" s="12" t="inlineStr">
        <is>
          <t>OWASP application security guidance on error handling requires uniform, minimal responses precisely because differentiating messages leak existence and state across the least trusted boundary, and the architecture specifies no such uniformity for DF7 or DF15. Severity is Medium because the entry is an enabler: it yields no direct compromise but materially lowers the cost and raises the precision of the takeover family S3-RT-001 through S3-RT-006.</t>
        </is>
      </c>
      <c r="N81" s="12" t="inlineStr">
        <is>
          <t>Catalogue entry T-15, retained. An enabler rather than a direct compromise, retained because a candidate model listing only bulk disclosure is not credited with covering the externally observable oracle. Retained separately from S3-RT-014, which is the bulk disclosure of stored data itself, because enumeration discloses metadata about records rather than record contents and is controlled at the response construction layer rather than the data layer. Primary STRIDE is Information Disclosure.</t>
        </is>
      </c>
      <c r="O81" s="11" t="inlineStr">
        <is>
          <t>Medium</t>
        </is>
      </c>
      <c r="P81" s="11" t="inlineStr">
        <is>
          <t>High</t>
        </is>
      </c>
      <c r="Q81" s="11" t="inlineStr">
        <is>
          <t>No</t>
        </is>
      </c>
      <c r="R81" s="11" t="inlineStr">
        <is>
          <t>High</t>
        </is>
      </c>
      <c r="S81" s="11" t="inlineStr">
        <is>
          <t>YES</t>
        </is>
      </c>
    </row>
    <row r="82" ht="52" customHeight="1">
      <c r="A82" s="11" t="inlineStr">
        <is>
          <t>S3-RT-016</t>
        </is>
      </c>
      <c r="B82" s="11" t="inlineStr">
        <is>
          <t>S3</t>
        </is>
      </c>
      <c r="C82" s="11" t="inlineStr">
        <is>
          <t>Interception of sensitive data crossing trust boundaries</t>
        </is>
      </c>
      <c r="D82" s="11" t="inlineStr">
        <is>
          <t>Information Disclosure</t>
        </is>
      </c>
      <c r="E82" s="11" t="inlineStr">
        <is>
          <t>Data Security</t>
        </is>
      </c>
      <c r="F82" s="12" t="inlineStr">
        <is>
          <t>P1 Web Frontend; P5 LLM Integration Service</t>
        </is>
      </c>
      <c r="G82" s="12" t="inlineStr">
        <is>
          <t>DF1, DF7, DF12</t>
        </is>
      </c>
      <c r="H82" s="12" t="inlineStr">
        <is>
          <t>TB1; TB5</t>
        </is>
      </c>
      <c r="I82" s="12" t="inlineStr">
        <is>
          <t>Identity verification data; recovery tokens; context information sent to the LLM; user AI questions</t>
        </is>
      </c>
      <c r="J82" s="12" t="inlineStr">
        <is>
          <t>High-value data is in motion across drawn boundaries — verification answers and recovery requests on DF1, issued recovery tokens on DF7, and account-related context together with user questions on DF12 towards the external provider — and transport protection is not specified by the architecture, so an actor positioned on any boundary-crossing leg reads the content in transit; persistence of flow content in intermediary components, which the architecture does not specify, would extend the same exposure and is treated as conditional.</t>
        </is>
      </c>
      <c r="K82" s="12" t="inlineStr">
        <is>
          <t>An actor positioned on the leg between the client and P1 reads verification answers and issued tokens on DF1 and DF7, and an actor positioned on the application-to-provider legs or compromising the integration component reads account-related context and user questions on DF12; no drawn control protects either leg.</t>
        </is>
      </c>
      <c r="L82" s="12" t="inlineStr">
        <is>
          <t>Credential and verification data compromise feeding directly into the account takeover paths S3-RT-003 and S3-RT-004, and disclosure of account context and user questions outside the application boundary in advance of the provider-side exposure analysed in S3-RT-021.</t>
        </is>
      </c>
      <c r="M82" s="12" t="inlineStr">
        <is>
          <t>STRIDE assigns information disclosure to sensitive data in transit across trust boundaries, and the architecture marks TB1 and TB5 as the boundaries where user-controlled input and contextual information respectively cross; bearer tokens and verification answers on these legs are the highest-value interception targets the model offers. OWASP guidance under Top 10 A02 and A09 supplies the control classes, transport protection and log hygiene, neither being represented.</t>
        </is>
      </c>
      <c r="N82" s="12" t="inlineStr">
        <is>
          <t>Catalogue entry T-16, retained with an architecture-only rewrite and renamed from interception-and-logging to interception: transport-mechanism and logging-infrastructure terminology was replaced by the unspecified-protection phrasing, with persistence of flow content stated conditionally. Retained separately from S3-RT-003, which is the theft of the recovery token as a credential with its client-side delivery as the focus, because this entry is the systematic transit exposure of all boundary-crossing sensitive data, of which the token is one instance. Primary STRIDE is Information Disclosure.</t>
        </is>
      </c>
      <c r="O82" s="11" t="inlineStr">
        <is>
          <t>High</t>
        </is>
      </c>
      <c r="P82" s="11" t="inlineStr">
        <is>
          <t>High</t>
        </is>
      </c>
      <c r="Q82" s="11" t="inlineStr">
        <is>
          <t>No</t>
        </is>
      </c>
      <c r="R82" s="11" t="inlineStr">
        <is>
          <t>Medium</t>
        </is>
      </c>
      <c r="S82" s="11" t="inlineStr">
        <is>
          <t>YES</t>
        </is>
      </c>
    </row>
    <row r="83" ht="52" customHeight="1">
      <c r="A83" s="11" t="inlineStr">
        <is>
          <t>S3-RT-017</t>
        </is>
      </c>
      <c r="B83" s="11" t="inlineStr">
        <is>
          <t>S3</t>
        </is>
      </c>
      <c r="C83" s="11" t="inlineStr">
        <is>
          <t>Exposure of the external provider credential</t>
        </is>
      </c>
      <c r="D83" s="11" t="inlineStr">
        <is>
          <t>Information Disclosure</t>
        </is>
      </c>
      <c r="E83" s="11" t="inlineStr">
        <is>
          <t>Data Security</t>
        </is>
      </c>
      <c r="F83" s="12" t="inlineStr">
        <is>
          <t>P5 LLM Integration Service</t>
        </is>
      </c>
      <c r="G83" s="12" t="inlineStr">
        <is>
          <t>DF12</t>
        </is>
      </c>
      <c r="H83" s="12" t="inlineStr">
        <is>
          <t>TB5</t>
        </is>
      </c>
      <c r="I83" s="12" t="inlineStr">
        <is>
          <t>Provider credential: the authentication material for the DF12 crossing</t>
        </is>
      </c>
      <c r="J83" s="12" t="inlineStr">
        <is>
          <t>The provider authentication material that P5 must hold to perform the DF12 crossing is exposed: its form, storage and handling are not specified by the architecture, and any exposure yields a secret that authenticates the application to EE2.</t>
        </is>
      </c>
      <c r="K83" s="12" t="inlineStr">
        <is>
          <t>The credential material held at P5 is exposed through an implementation artefact whose nature the architecture does not specify; the attacker recovers it and submits prompts under the application's provider identity, consuming quota and impersonating the application towards the provider.</t>
        </is>
      </c>
      <c r="L83" s="12" t="inlineStr">
        <is>
          <t>Unauthorised use of the application's provider identity: chargeable consumption, exhaustion of usage quotas that degrades the assistant alongside S3-RT-032, and impersonation of the application towards the provider, including submission of prompts that appear to originate from the system.</t>
        </is>
      </c>
      <c r="M83" s="12" t="inlineStr">
        <is>
          <t>P5 is the single component that must authenticate the application to the external provider for the DF12 crossing, so the credential is a boundary-attached secret at exactly one location; the specification's prohibition on sending secrets to EE2 confirms that credential material is a recognised system asset. OWASP guidance under Top 10 A02 applies to boundary-attached secrets.</t>
        </is>
      </c>
      <c r="N83" s="12" t="inlineStr">
        <is>
          <t>Catalogue entry T-17, retained with re-anchoring and a technology-neutral rewrite: implementation-specific credential forms and exposure channels were replaced by the unspecified authentication material whose form, storage and handling the architecture does not specify. Retained separately from S3-RT-029, in which the provider is the compromised party, because here the application's own credential material is the lost asset and the provider remains trustworthy; the mitigations, secrets hygiene and rotation, differ accordingly.</t>
        </is>
      </c>
      <c r="O83" s="11" t="inlineStr">
        <is>
          <t>High</t>
        </is>
      </c>
      <c r="P83" s="11" t="inlineStr">
        <is>
          <t>Medium</t>
        </is>
      </c>
      <c r="Q83" s="11" t="inlineStr">
        <is>
          <t>No</t>
        </is>
      </c>
      <c r="R83" s="11" t="inlineStr">
        <is>
          <t>High</t>
        </is>
      </c>
      <c r="S83" s="11" t="inlineStr">
        <is>
          <t>YES</t>
        </is>
      </c>
    </row>
    <row r="84" ht="52" customHeight="1">
      <c r="A84" s="11" t="inlineStr">
        <is>
          <t>S3-RT-018</t>
        </is>
      </c>
      <c r="B84" s="11" t="inlineStr">
        <is>
          <t>S3</t>
        </is>
      </c>
      <c r="C84" s="11" t="inlineStr">
        <is>
          <t>Insufficient audit logging of recovery, token and profile operations</t>
        </is>
      </c>
      <c r="D84" s="11" t="inlineStr">
        <is>
          <t>Repudiation</t>
        </is>
      </c>
      <c r="E84" s="11" t="inlineStr">
        <is>
          <t>Data Security</t>
        </is>
      </c>
      <c r="F84" s="12" t="inlineStr">
        <is>
          <t>P2 Account Recovery Service; P3 Profile Management Service</t>
        </is>
      </c>
      <c r="G84" s="12" t="inlineStr">
        <is>
          <t>DF2, DF5, DF8</t>
        </is>
      </c>
      <c r="H84" s="12" t="inlineStr">
        <is>
          <t>TB2</t>
        </is>
      </c>
      <c r="I84" s="12" t="inlineStr">
        <is>
          <t>Recovery information; session/account recovery state; user account information</t>
        </is>
      </c>
      <c r="J84" s="12" t="inlineStr">
        <is>
          <t>Security-relevant events — recovery requests and their verification outcomes on DF2 through DF4, token issuance on DF5, and profile modifications on DF8 and DF9 — are not recorded in any tamper-evident audit trail, because the architecture contains no audit data store or logging component for any flow; attackers operate without trace and disputes cannot be resolved after the fact.</t>
        </is>
      </c>
      <c r="K84" s="12" t="inlineStr">
        <is>
          <t>An attacker completes a takeover through the S3-RT-001 family and follows with profile modifications through S3-RT-007; no record ties either action to an actor, the victim's dispute cannot be resolved against any evidence, and the attacker repudiates every account-changing action.</t>
        </is>
      </c>
      <c r="L84" s="12" t="inlineStr">
        <is>
          <t>Undetected progression of the takeover and manipulation families S3-RT-001 through S3-RT-009, no forensic basis for attributing account-changing actions, and repudiation of recovery and profile operations by legitimate users and attackers alike.</t>
        </is>
      </c>
      <c r="M84" s="12" t="inlineStr">
        <is>
          <t>STRIDE assigns repudiation to actions that cannot be traced to an actor, and OWASP Top 10 A09 identifies missing logging and monitoring as the enabling condition for prolonged compromise; the architecture defines no audit store anywhere, which is an absence a reference model must record rather than assume away, and recovery token issuance and profile modification are exactly the actions for which after-the-fact evidence is required. The boundary is TB2 because the verification and token operations whose traceability matters most cross it, with the profile operations at TB3 noted in the mechanism.</t>
        </is>
      </c>
      <c r="N84" s="12" t="inlineStr">
        <is>
          <t>Catalogue entry T-18, retained. The absence is a property of the drawn model — no audit store or logging component exists for any flow — which the reference model records rather than assumes away. Severity is Medium as an enabler whose harm materialises through the entries it conceals. Primary STRIDE is Repudiation.</t>
        </is>
      </c>
      <c r="O84" s="11" t="inlineStr">
        <is>
          <t>Medium</t>
        </is>
      </c>
      <c r="P84" s="11" t="inlineStr">
        <is>
          <t>High</t>
        </is>
      </c>
      <c r="Q84" s="11" t="inlineStr">
        <is>
          <t>No</t>
        </is>
      </c>
      <c r="R84" s="11" t="inlineStr">
        <is>
          <t>High</t>
        </is>
      </c>
      <c r="S84" s="11" t="inlineStr">
        <is>
          <t>YES</t>
        </is>
      </c>
    </row>
    <row r="85" ht="52" customHeight="1">
      <c r="A85" s="11" t="inlineStr">
        <is>
          <t>S3-RT-019</t>
        </is>
      </c>
      <c r="B85" s="11" t="inlineStr">
        <is>
          <t>S3</t>
        </is>
      </c>
      <c r="C85" s="11" t="inlineStr">
        <is>
          <t>Direct prompt injection through user questions to the assistant</t>
        </is>
      </c>
      <c r="D85" s="11" t="inlineStr">
        <is>
          <t>Tampering</t>
        </is>
      </c>
      <c r="E85" s="11" t="inlineStr">
        <is>
          <t>LLM-Specific</t>
        </is>
      </c>
      <c r="F85" s="12" t="inlineStr">
        <is>
          <t>P4 AI Account Support Assistant</t>
        </is>
      </c>
      <c r="G85" s="12" t="inlineStr">
        <is>
          <t>DF10, DF11</t>
        </is>
      </c>
      <c r="H85" s="12" t="inlineStr">
        <is>
          <t>TB1</t>
        </is>
      </c>
      <c r="I85" s="12" t="inlineStr">
        <is>
          <t>User AI questions; generated AI responses</t>
        </is>
      </c>
      <c r="J85" s="12" t="inlineStr">
        <is>
          <t>The attacker embeds instructions inside their question on DF10 — overrides of the assistant's instructions, demands to ignore constraints, or crafted role play — so that the prompt constructed on DF11 and the provider generates from on DF12 and DF13 deviates from intended behaviour and returns attacker-influenced content on DF15.</t>
        </is>
      </c>
      <c r="K85" s="12" t="inlineStr">
        <is>
          <t>An attacker asks the assistant a question whose text carries instructions to disregard its operating constraints; the constructed prompt crosses TB5, the generated response incorporates the injected direction, and DF15 delivers manipulated content that the interface presents as an ordinary answer.</t>
        </is>
      </c>
      <c r="L85" s="12" t="inlineStr">
        <is>
          <t>Manipulated or unrestricted assistant responses, extraction of the assistant's instructions and configuration through S3-RT-024, and generation of content that supports the social engineering patterns of S3-RT-026; the direct technical impact is bounded by the stated limitations, since the assistant generates no tokens, modifies no accounts and makes no authorisation decisions.</t>
        </is>
      </c>
      <c r="M85" s="12" t="inlineStr">
        <is>
          <t>OWASP LLM01 identifies prompt injection as the top-ranked LLM application risk, and MITRE ATLAS AML.T0051.000 records the direct form of LLM prompt injection: user questions are externally controlled input entering at TB1, exactly the crossing that boundary is drawn for, and are incorporated into prompts with no trusted instruction channel separating directives from data. The architecture's assistant limitations bound what injection can achieve, which a reference model must state rather than inflate, but response manipulation, instruction extraction and harmful content generation remain fully feasible.</t>
        </is>
      </c>
      <c r="N85" s="12" t="inlineStr">
        <is>
          <t>Catalogue entry T-19, retained. The review's authority assessment is recorded here: attempts to make the assistant act as a recovery authority — to authenticate, authorise, generate or validate tokens — are bounded structurally by the stated limitations and by A3 and A4, so such attempts manifest as this injection entry, and the realisable harm is manipulated guidance and output-handling compromise, not an actual recovery bypass, which only the P2-path entries can deliver; the mandated distinction between incorrect AI guidance and recovery-authority bypass is thereby preserved. Retained separately from S3-RT-020, in which the payload arrives through data rather than through the attacker's own question, because the mitigations differ: input structuring and instruction hardening here versus context sanitisation and source control there.</t>
        </is>
      </c>
      <c r="O85" s="11" t="inlineStr">
        <is>
          <t>High</t>
        </is>
      </c>
      <c r="P85" s="11" t="inlineStr">
        <is>
          <t>High</t>
        </is>
      </c>
      <c r="Q85" s="11" t="inlineStr">
        <is>
          <t>Yes</t>
        </is>
      </c>
      <c r="R85" s="11" t="inlineStr">
        <is>
          <t>High</t>
        </is>
      </c>
      <c r="S85" s="11" t="inlineStr">
        <is>
          <t>YES</t>
        </is>
      </c>
    </row>
    <row r="86" ht="52" customHeight="1">
      <c r="A86" s="11" t="inlineStr">
        <is>
          <t>S3-RT-020</t>
        </is>
      </c>
      <c r="B86" s="11" t="inlineStr">
        <is>
          <t>S3</t>
        </is>
      </c>
      <c r="C86" s="11" t="inlineStr">
        <is>
          <t>Indirect prompt injection through account-related context</t>
        </is>
      </c>
      <c r="D86" s="11" t="inlineStr">
        <is>
          <t>Tampering</t>
        </is>
      </c>
      <c r="E86" s="11" t="inlineStr">
        <is>
          <t>LLM-Specific</t>
        </is>
      </c>
      <c r="F86" s="12" t="inlineStr">
        <is>
          <t>P4 AI Account Support Assistant</t>
        </is>
      </c>
      <c r="G86" s="12" t="inlineStr">
        <is>
          <t>DF11 (context-acquisition path not represented in the model)</t>
        </is>
      </c>
      <c r="H86" s="12" t="inlineStr">
        <is>
          <t>TB5</t>
        </is>
      </c>
      <c r="I86" s="12" t="inlineStr">
        <is>
          <t>Context information sent to the LLM; profile information</t>
        </is>
      </c>
      <c r="J86" s="12" t="inlineStr">
        <is>
          <t>Injection payloads planted in account-related data — most plausibly attacker-controlled profile fields modified through the profile path of S3-RT-008 and S3-RT-012 — are ingested as approved contextual information when the assistant assembles its prompt on DF11 and execute as instructions during generation, without the attacker ever interacting with the victim's assistant conversation.</t>
        </is>
      </c>
      <c r="K86" s="12" t="inlineStr">
        <is>
          <t>An attacker writes instruction-bearing content into profile fields they can influence; when a victim later asks the assistant an account-related question, the stored content is assembled into the prompt as context, the generated response follows the embedded instructions, and DF15 delivers manipulated guidance in the victim's conversation.</t>
        </is>
      </c>
      <c r="L86" s="12" t="inlineStr">
        <is>
          <t>Manipulation of the responses delivered in the victim's conversation on DF15: misleading recovery guidance of the S3-RT-025 and S3-RT-026 forms, disclosure of whatever context the assistant can assemble, and instruction extraction; exfiltration of live account data is bounded by the assistant's lack of account access, which the model states as a limitation.</t>
        </is>
      </c>
      <c r="M86" s="12" t="inlineStr">
        <is>
          <t>OWASP LLM01 covers indirect prompt injection and MITRE ATLAS AML.T0051.001 records the indirect form: the defining property is that the payload travels in data the prompt assembles rather than in the user's own words. This threat is justified by an absence in the architecture rather than by a drawn element: no flow shows where the approved account-related context of DF11 originates, and profile information is the only user-modifiable data in the model that plausibly feeds account-related context, which makes this the architecture's latent indirect-injection path.</t>
        </is>
      </c>
      <c r="N86" s="12" t="inlineStr">
        <is>
          <t>Catalogue entry T-20, retained with its conditional grounding stated explicitly: realisation requires the unmodelled context path both to draw on user-modifiable data and to pass it unfiltered, a compound design risk rather than a drawn flaw, which is why severity is High rather than Critical and confidence is Medium. Retained separately from S3-RT-019 per the direct-versus-indirect carrier distinction.</t>
        </is>
      </c>
      <c r="O86" s="11" t="inlineStr">
        <is>
          <t>High</t>
        </is>
      </c>
      <c r="P86" s="11" t="inlineStr">
        <is>
          <t>Medium</t>
        </is>
      </c>
      <c r="Q86" s="11" t="inlineStr">
        <is>
          <t>Yes</t>
        </is>
      </c>
      <c r="R86" s="11" t="inlineStr">
        <is>
          <t>Medium</t>
        </is>
      </c>
      <c r="S86" s="11" t="inlineStr">
        <is>
          <t>YES</t>
        </is>
      </c>
    </row>
    <row r="87" ht="52" customHeight="1">
      <c r="A87" s="11" t="inlineStr">
        <is>
          <t>S3-RT-021</t>
        </is>
      </c>
      <c r="B87" s="11" t="inlineStr">
        <is>
          <t>S3</t>
        </is>
      </c>
      <c r="C87" s="11" t="inlineStr">
        <is>
          <t>Sensitive account information disclosure to the external LLM provider</t>
        </is>
      </c>
      <c r="D87" s="11" t="inlineStr">
        <is>
          <t>Information Disclosure</t>
        </is>
      </c>
      <c r="E87" s="11" t="inlineStr">
        <is>
          <t>LLM-Specific</t>
        </is>
      </c>
      <c r="F87" s="12" t="inlineStr">
        <is>
          <t>P5 LLM Integration Service; EE2 External LLM Provider</t>
        </is>
      </c>
      <c r="G87" s="12" t="inlineStr">
        <is>
          <t>DF12</t>
        </is>
      </c>
      <c r="H87" s="12" t="inlineStr">
        <is>
          <t>TB5</t>
        </is>
      </c>
      <c r="I87" s="12" t="inlineStr">
        <is>
          <t>Context information sent to the LLM; user AI questions; identity-verification data; recovery tokens (prohibited egress classes)</t>
        </is>
      </c>
      <c r="J87" s="12" t="inlineStr">
        <is>
          <t>Prompt and contextual information forwarded on DF12 includes account-related content beyond what the question requires, potentially reaching the classes the specification explicitly prohibits from crossing TB5: recovery tokens, identity-verification secrets, and private account data outside approved context; no minimisation, redaction or classification gate is represented between the assistant's context assembly and the egress flow.</t>
        </is>
      </c>
      <c r="K87" s="12" t="inlineStr">
        <is>
          <t>A user asks an ordinary account question; the context assembled behind it over-includes verification-adjacent and recovery-related data, the content leaves the application trust boundary on DF12, and it is processed in the provider's environment with no application-side control over scope.</t>
        </is>
      </c>
      <c r="L87" s="12" t="inlineStr">
        <is>
          <t>Exposure of account, recovery and potentially verification-adjacent information — and of the explicitly prohibited classes, recovery tokens and identity-verification secrets, if scope control fails — to an external party without the user's direct awareness, with regulatory and data protection consequences, and with the data then subject to the provider-side persistence analysed in S3-RT-022.</t>
        </is>
      </c>
      <c r="M87" s="12" t="inlineStr">
        <is>
          <t>TB5 is drawn in this architecture precisely because prompts and contextual information leave the application trust boundary, and the specification states explicitly that the external LLM must never receive recovery tokens, identity-verification secrets or private account data outside approved context, which makes the egress scope a stated security property with no represented enforcement gate. OWASP LLM02 applies and MITRE ATLAS AML.T0024 records exfiltration through the external inference interface; the distinguishing property is that the flow is by design, so the threat is a scope-of-delivery problem rather than an attacker-initiated breach, and it is the only confidentiality loss in the model with no application-side remedy after the fact.</t>
        </is>
      </c>
      <c r="N87" s="12" t="inlineStr">
        <is>
          <t>Catalogue entry T-21, retained and extended to test the specification's explicit egress prohibitions: recovery tokens, identity-verification secrets and private account data outside approved context must never reach EE2, and this entry is the failure mode in which prompt and context assembly lets exactly those classes cross TB5. Retained separately from S3-RT-016, which is interception of the leg, and from S3-RT-022, which is provider-side persistence, because the disclosure here is the intended delivery itself, unchecked in scope. Primary STRIDE is Information Disclosure.</t>
        </is>
      </c>
      <c r="O87" s="11" t="inlineStr">
        <is>
          <t>High</t>
        </is>
      </c>
      <c r="P87" s="11" t="inlineStr">
        <is>
          <t>High</t>
        </is>
      </c>
      <c r="Q87" s="11" t="inlineStr">
        <is>
          <t>Yes</t>
        </is>
      </c>
      <c r="R87" s="11" t="inlineStr">
        <is>
          <t>High</t>
        </is>
      </c>
      <c r="S87" s="11" t="inlineStr">
        <is>
          <t>YES</t>
        </is>
      </c>
    </row>
    <row r="88" ht="52" customHeight="1">
      <c r="A88" s="11" t="inlineStr">
        <is>
          <t>S3-RT-022</t>
        </is>
      </c>
      <c r="B88" s="11" t="inlineStr">
        <is>
          <t>S3</t>
        </is>
      </c>
      <c r="C88" s="11" t="inlineStr">
        <is>
          <t>Provider-side retention, logging and reuse of account data</t>
        </is>
      </c>
      <c r="D88" s="11" t="inlineStr">
        <is>
          <t>Information Disclosure</t>
        </is>
      </c>
      <c r="E88" s="11" t="inlineStr">
        <is>
          <t>LLM-Specific</t>
        </is>
      </c>
      <c r="F88" s="12" t="inlineStr">
        <is>
          <t>EE2 External LLM Provider</t>
        </is>
      </c>
      <c r="G88" s="12" t="inlineStr">
        <is>
          <t>DF12, DF13</t>
        </is>
      </c>
      <c r="H88" s="12" t="inlineStr">
        <is>
          <t>TB5</t>
        </is>
      </c>
      <c r="I88" s="12" t="inlineStr">
        <is>
          <t>Context information sent to the LLM; user AI questions</t>
        </is>
      </c>
      <c r="J88" s="12" t="inlineStr">
        <is>
          <t>Conditional provider-side risk: if the external provider retains, logs or reuses for its own purposes the data transmitted on DF12 — practices outside the application's technical control and not specified by the architecture — that content later surfaces through provider incidents, disclosures or lawful access, without any attacker action inside the application.</t>
        </is>
      </c>
      <c r="K88" s="12" t="inlineStr">
        <is>
          <t>Data transmitted on DF12 is retained or reused by the provider under practices the application neither sees nor controls; a later provider incident or disclosure exposes the account-related questions and context of the application's users, with no application-side containment possible once the data is in the provider's custody.</t>
        </is>
      </c>
      <c r="L88" s="12" t="inlineStr">
        <is>
          <t>Long-horizon disclosure of account-related questions and context, and loss of control over recovery-related user data after it has crossed TB5, with exposure that cannot be bounded by any application-side containment once the data is in the provider's custody.</t>
        </is>
      </c>
      <c r="M88" s="12" t="inlineStr">
        <is>
          <t>OWASP LLM02 extends to the provider's data handling, and the architecture models EE2 as a bare external entity outside application security control with no contractual, technical or retention controls represented; the threat materialises through ordinary provider behaviour rather than through compromise, which distinguishes it from S3-RT-029. Severity is Medium because direct harm requires a secondary event, but the entry is retained because the application's recovery-domain data makes the exposure consequential when it occurs, and because no drawn control addresses it.</t>
        </is>
      </c>
      <c r="N88" s="12" t="inlineStr">
        <is>
          <t>Catalogue entry T-22, retained with conditional scoping: provider-side retention, logging and reuse are practices outside the application's technical control and not specified by the architecture, so the entry is stated conditionally on the provider engaging in them. Retained separately from S3-RT-029, in which the provider is compromised, because here the provider behaves legitimately and the exposure is a custody property. Primary STRIDE is Information Disclosure.</t>
        </is>
      </c>
      <c r="O88" s="11" t="inlineStr">
        <is>
          <t>Medium</t>
        </is>
      </c>
      <c r="P88" s="11" t="inlineStr">
        <is>
          <t>Medium</t>
        </is>
      </c>
      <c r="Q88" s="11" t="inlineStr">
        <is>
          <t>Yes</t>
        </is>
      </c>
      <c r="R88" s="11" t="inlineStr">
        <is>
          <t>Medium</t>
        </is>
      </c>
      <c r="S88" s="11" t="inlineStr">
        <is>
          <t>YES</t>
        </is>
      </c>
    </row>
    <row r="89" ht="52" customHeight="1">
      <c r="A89" s="11" t="inlineStr">
        <is>
          <t>S3-RT-023</t>
        </is>
      </c>
      <c r="B89" s="11" t="inlineStr">
        <is>
          <t>S3</t>
        </is>
      </c>
      <c r="C89" s="11" t="inlineStr">
        <is>
          <t>Cross-user account information leakage through assistant context assembly</t>
        </is>
      </c>
      <c r="D89" s="11" t="inlineStr">
        <is>
          <t>Information Disclosure</t>
        </is>
      </c>
      <c r="E89" s="11" t="inlineStr">
        <is>
          <t>LLM-Specific</t>
        </is>
      </c>
      <c r="F89" s="12" t="inlineStr">
        <is>
          <t>P4 AI Account Support Assistant</t>
        </is>
      </c>
      <c r="G89" s="12" t="inlineStr">
        <is>
          <t>DF11, DF14, DF15</t>
        </is>
      </c>
      <c r="H89" s="12" t="inlineStr">
        <is>
          <t>TB5</t>
        </is>
      </c>
      <c r="I89" s="12" t="inlineStr">
        <is>
          <t>User account information; context information sent to the LLM; generated AI responses</t>
        </is>
      </c>
      <c r="J89" s="12" t="inlineStr">
        <is>
          <t>If the assembly of the approved contextual information for DF11 over-includes or mis-scopes account data — context belonging to other accounts, or data the requesting user is not authorised to see — the provider's response on DF13 and DF14 faithfully incorporates that context and DF15 delivers it to the wrong user; the architecture draws no authorisation element or context-acquisition flow for the assembly step.</t>
        </is>
      </c>
      <c r="K89" s="12" t="inlineStr">
        <is>
          <t>Two users question the assistant; the context assembled for one user's prompt includes account data belonging to another, the generated response incorporates it, and DF15 delivers other users' account and recovery-related information to the requester with the interface's authority.</t>
        </is>
      </c>
      <c r="L89" s="12" t="inlineStr">
        <is>
          <t>Unauthorised disclosure of other users' account and recovery-related information through the assistant interface, in a recovery system potentially including verification-adjacent data that sharpens the targeted takeover attacks S3-RT-001 and S3-RT-002.</t>
        </is>
      </c>
      <c r="M89" s="12" t="inlineStr">
        <is>
          <t>The qualifier approved in the description of DF11 implies an authorisation decision inside the context assembly step, yet no authorisation component and no flow for context acquisition is modelled, so the decision has no represented enforcement point; the gap is exactly where cross-user leakage arises, and the entry is absence-justified in the same manner as S3-RT-020, which shares the unmodelled path. Research on LLM-integrated applications records cross-session and cross-user context bleed as a recurring leakage class, and OWASP Top 10 A01 covers the underlying broken object-level authorisation failure.</t>
        </is>
      </c>
      <c r="N89" s="12" t="inlineStr">
        <is>
          <t>Catalogue entry T-23, retained with conditional framing on the unmodelled context-assembly step, absence-justified in the same manner as S3-RT-020. Retained separately from S3-RT-021, in which legitimately scoped context is disclosed to the provider, because here the disclosure is to the wrong user and the control is context authorisation rather than egress minimisation. Primary STRIDE is Information Disclosure.</t>
        </is>
      </c>
      <c r="O89" s="11" t="inlineStr">
        <is>
          <t>High</t>
        </is>
      </c>
      <c r="P89" s="11" t="inlineStr">
        <is>
          <t>Medium</t>
        </is>
      </c>
      <c r="Q89" s="11" t="inlineStr">
        <is>
          <t>Yes</t>
        </is>
      </c>
      <c r="R89" s="11" t="inlineStr">
        <is>
          <t>Medium</t>
        </is>
      </c>
      <c r="S89" s="11" t="inlineStr">
        <is>
          <t>YES</t>
        </is>
      </c>
    </row>
    <row r="90" ht="52" customHeight="1">
      <c r="A90" s="11" t="inlineStr">
        <is>
          <t>S3-RT-024</t>
        </is>
      </c>
      <c r="B90" s="11" t="inlineStr">
        <is>
          <t>S3</t>
        </is>
      </c>
      <c r="C90" s="11" t="inlineStr">
        <is>
          <t>Extraction of privileged assistant instructions and prompt content</t>
        </is>
      </c>
      <c r="D90" s="11" t="inlineStr">
        <is>
          <t>Information Disclosure</t>
        </is>
      </c>
      <c r="E90" s="11" t="inlineStr">
        <is>
          <t>LLM-Specific</t>
        </is>
      </c>
      <c r="F90" s="12" t="inlineStr">
        <is>
          <t>P4 AI Account Support Assistant</t>
        </is>
      </c>
      <c r="G90" s="12" t="inlineStr">
        <is>
          <t>DF10, DF15</t>
        </is>
      </c>
      <c r="H90" s="12" t="inlineStr">
        <is>
          <t>TB1</t>
        </is>
      </c>
      <c r="I90" s="12" t="inlineStr">
        <is>
          <t>Privileged assistant instructions; prompt content; context-handling rules</t>
        </is>
      </c>
      <c r="J90" s="12" t="inlineStr">
        <is>
          <t>If the prompt constructed for the DF11 and DF12 crossings carries privileged instructions or fixed configuration — operating procedures, context-handling rules, workflow detail — crafted questions, direct extraction requests, multi-turn priming or induced rule recitation can cause that content to be reproduced in responses on DF15.</t>
        </is>
      </c>
      <c r="K90" s="12" t="inlineStr">
        <is>
          <t>Over several turns an attacker requests verbatim repetition, summaries and rephrasing variants until privileged prompt content and any fixed context appear in a response on DF15, revealing the assistant's instructions and any configuration embedded in them.</t>
        </is>
      </c>
      <c r="L90" s="12" t="inlineStr">
        <is>
          <t>Disclosure of internal design and procedural detail that sharpens the recovery attacks S3-RT-001 and S3-RT-002, enables more convincing social engineering through S3-RT-026, and assists further prompt injection crafting against S3-RT-019 and S3-RT-020.</t>
        </is>
      </c>
      <c r="M90" s="12" t="inlineStr">
        <is>
          <t>MITRE ATLAS AML.T0056 records extraction of LLM prompt content as a distinct technique, and OWASP LLM07 covers prompt leakage; the architecture represents prompt construction at P5 but no distinct instruction element, so the presence of privileged prompt content is conditional on the implementation embedding it, and extraction requires conversation only, no component compromise. Severity is Medium because the loss is informational and primarily enables other entries.</t>
        </is>
      </c>
      <c r="N90" s="12" t="inlineStr">
        <is>
          <t>Catalogue entry T-24, retained and reframed in this review: the supplied architecture represents prompt construction at P5 but no distinct instruction element, so the entry is restated as extraction of privileged assistant instructions and prompt content, conditional on such content being embedded in the constructed prompt. Retained separately from S3-RT-019, the injection that often carries it, because a perfectly injection-resistant assistant can still be induced to reveal configuration through ordinary conversational means, and the mitigations, content policies versus keeping security-relevant logic out of prompts, differ. Primary STRIDE is Information Disclosure.</t>
        </is>
      </c>
      <c r="O90" s="11" t="inlineStr">
        <is>
          <t>Medium</t>
        </is>
      </c>
      <c r="P90" s="11" t="inlineStr">
        <is>
          <t>High</t>
        </is>
      </c>
      <c r="Q90" s="11" t="inlineStr">
        <is>
          <t>Yes</t>
        </is>
      </c>
      <c r="R90" s="11" t="inlineStr">
        <is>
          <t>High</t>
        </is>
      </c>
      <c r="S90" s="11" t="inlineStr">
        <is>
          <t>YES</t>
        </is>
      </c>
    </row>
    <row r="91" ht="52" customHeight="1">
      <c r="A91" s="11" t="inlineStr">
        <is>
          <t>S3-RT-025</t>
        </is>
      </c>
      <c r="B91" s="11" t="inlineStr">
        <is>
          <t>S3</t>
        </is>
      </c>
      <c r="C91" s="11" t="inlineStr">
        <is>
          <t>Hallucinated account recovery guidance</t>
        </is>
      </c>
      <c r="D91" s="11" t="inlineStr">
        <is>
          <t>Tampering</t>
        </is>
      </c>
      <c r="E91" s="11" t="inlineStr">
        <is>
          <t>LLM-Specific</t>
        </is>
      </c>
      <c r="F91" s="12" t="inlineStr">
        <is>
          <t>P4 AI Account Support Assistant</t>
        </is>
      </c>
      <c r="G91" s="12" t="inlineStr">
        <is>
          <t>DF13, DF14, DF15</t>
        </is>
      </c>
      <c r="H91" s="12" t="inlineStr">
        <is>
          <t>TB5</t>
        </is>
      </c>
      <c r="I91" s="12" t="inlineStr">
        <is>
          <t>Generated AI responses</t>
        </is>
      </c>
      <c r="J91" s="12" t="inlineStr">
        <is>
          <t>The external provider generates plausible but false recovery guidance on DF13 — non-existent steps, wrong verification channels, fabricated contact routes or incorrect procedural detail — which the assistant relays on DF14 and P1 displays on DF15 with the interface's apparent authority and no factual validation step in between.</t>
        </is>
      </c>
      <c r="K91" s="12" t="inlineStr">
        <is>
          <t>A locked-out user asks how to recover their account; the generated guidance confidently describes a procedure that does not exist or directs verification answers to a wrong channel, the response is displayed as an ordinary answer, and the user follows it.</t>
        </is>
      </c>
      <c r="L91" s="12" t="inlineStr">
        <is>
          <t>Users following incorrect recovery procedures: failed recoveries, disclosure of verification data to wrong channels, and priming for phishing that impersonates the fabricated procedures, in the workflow where users are least able to judge correctness because they are locked out and dependent on guidance.</t>
        </is>
      </c>
      <c r="M91" s="12" t="inlineStr">
        <is>
          <t>OWASP LLM09 identifies misinformation, and the 2023 edition's LLM09 overreliance framing already tied generation errors to user harm; hallucination is an intrinsic generation failure mode that no component in this architecture validates, since DF14 and DF15 carry the response to display without any accuracy control. Account recovery is the highest-stakes guidance context this system offers, which is what elevates an otherwise generic LLM weakness into an architecture-relevant entry.</t>
        </is>
      </c>
      <c r="N91" s="12" t="inlineStr">
        <is>
          <t>Catalogue entry T-25, retained. The entry absorbs the user-trust amplification formerly carried by the excluded excessive-trust entry: users mid-recovery are locked out and dependent on guidance and cannot easily validate what they are told, which amplifies this entry's impact but is not a distinct mechanism. Retained separately from S3-RT-026 because hallucination is factual error produced without attacker intent, whereas unsafe advice is content harmful if followed regardless of its origin, and only the latter is mitigated by content policy; both can co-occur in one response. Per the review's mandated distinction, incorrect guidance here is not a recovery-authority bypass. Primary STRIDE is Tampering under an explicitly extended interpretation, loss of integrity of generated information.</t>
        </is>
      </c>
      <c r="O91" s="11" t="inlineStr">
        <is>
          <t>Medium</t>
        </is>
      </c>
      <c r="P91" s="11" t="inlineStr">
        <is>
          <t>High</t>
        </is>
      </c>
      <c r="Q91" s="11" t="inlineStr">
        <is>
          <t>Yes</t>
        </is>
      </c>
      <c r="R91" s="11" t="inlineStr">
        <is>
          <t>High</t>
        </is>
      </c>
      <c r="S91" s="11" t="inlineStr">
        <is>
          <t>YES</t>
        </is>
      </c>
    </row>
    <row r="92" ht="52" customHeight="1">
      <c r="A92" s="11" t="inlineStr">
        <is>
          <t>S3-RT-026</t>
        </is>
      </c>
      <c r="B92" s="11" t="inlineStr">
        <is>
          <t>S3</t>
        </is>
      </c>
      <c r="C92" s="11" t="inlineStr">
        <is>
          <t>Unsafe AI-generated advice undermining account security</t>
        </is>
      </c>
      <c r="D92" s="11" t="inlineStr">
        <is>
          <t>Tampering</t>
        </is>
      </c>
      <c r="E92" s="11" t="inlineStr">
        <is>
          <t>LLM-Specific</t>
        </is>
      </c>
      <c r="F92" s="12" t="inlineStr">
        <is>
          <t>P4 AI Account Support Assistant</t>
        </is>
      </c>
      <c r="G92" s="12" t="inlineStr">
        <is>
          <t>DF15</t>
        </is>
      </c>
      <c r="H92" s="12" t="inlineStr">
        <is>
          <t>TB5</t>
        </is>
      </c>
      <c r="I92" s="12" t="inlineStr">
        <is>
          <t>Generated AI responses</t>
        </is>
      </c>
      <c r="J92" s="12" t="inlineStr">
        <is>
          <t>Generated responses displayed on DF15 contain advice that actively undermines security — encouraging users to share verification answers through the chat, describing workaround steps around recovery controls, or directing users to external channels and contact points — whether the content originates in hallucination through S3-RT-025, injection through S3-RT-019 and S3-RT-020, or provider compromise through S3-RT-029.</t>
        </is>
      </c>
      <c r="K92" s="12" t="inlineStr">
        <is>
          <t>A user mid-recovery asks the assistant for help; the displayed answer advises sharing verification answers in the conversation or following an external contact route, the user complies because the instruction arrives inside the trusted application in direct response to their own question, and the account is compromised with the user's own participation.</t>
        </is>
      </c>
      <c r="L92" s="12" t="inlineStr">
        <is>
          <t>Users persuaded into self-compromising actions during the most sensitive account workflow: verification data disclosed to attacker-influenced channels, recovery controls circumvented by cooperative victims, and account takeover completed with the user's own participation.</t>
        </is>
      </c>
      <c r="M92" s="12" t="inlineStr">
        <is>
          <t>Research on LLM-integrated applications records unsafe advice in safety-relevant contexts as a failure class distinct from factual error: the content is actionable, authoritative in presentation, and harmful when followed, and the assistant is this system's user-facing guidance channel with no human-authored content control represented between generation on DF13 and display on DF15. The stated assistant limitations bound what the advice can directly execute, but they do not bound what the advice can persuade a user to do, which is why severity is High.</t>
        </is>
      </c>
      <c r="N92" s="12" t="inlineStr">
        <is>
          <t>Catalogue entry T-26, retained. The entry likewise absorbs the user-trust amplification formerly carried by the excluded excessive-trust entry, the recovery context making cooperative victims the norm rather than the exception. Retained separately from S3-RT-025 per the mechanism distinction stated there. Per the review's mandated distinction, unsafe guidance here is not a recovery-authority bypass; only the P2-path entries deliver that. Primary STRIDE is Tampering.</t>
        </is>
      </c>
      <c r="O92" s="11" t="inlineStr">
        <is>
          <t>High</t>
        </is>
      </c>
      <c r="P92" s="11" t="inlineStr">
        <is>
          <t>Medium</t>
        </is>
      </c>
      <c r="Q92" s="11" t="inlineStr">
        <is>
          <t>Yes</t>
        </is>
      </c>
      <c r="R92" s="11" t="inlineStr">
        <is>
          <t>High</t>
        </is>
      </c>
      <c r="S92" s="11" t="inlineStr">
        <is>
          <t>YES</t>
        </is>
      </c>
    </row>
    <row r="93" ht="52" customHeight="1">
      <c r="A93" s="11" t="inlineStr">
        <is>
          <t>S3-RT-027</t>
        </is>
      </c>
      <c r="B93" s="11" t="inlineStr">
        <is>
          <t>S3</t>
        </is>
      </c>
      <c r="C93" s="11" t="inlineStr">
        <is>
          <t>Insecure output handling: active content in assistant responses</t>
        </is>
      </c>
      <c r="D93" s="11" t="inlineStr">
        <is>
          <t>Tampering</t>
        </is>
      </c>
      <c r="E93" s="11" t="inlineStr">
        <is>
          <t>LLM-Specific</t>
        </is>
      </c>
      <c r="F93" s="12" t="inlineStr">
        <is>
          <t>P1 Web Frontend</t>
        </is>
      </c>
      <c r="G93" s="12" t="inlineStr">
        <is>
          <t>DF14, DF15</t>
        </is>
      </c>
      <c r="H93" s="12" t="inlineStr">
        <is>
          <t>TB1</t>
        </is>
      </c>
      <c r="I93" s="12" t="inlineStr">
        <is>
          <t>Generated AI responses; recovery tokens</t>
        </is>
      </c>
      <c r="J93" s="12" t="inlineStr">
        <is>
          <t>Generated content arriving on DF14 and displayed on DF15 contains active content that P1 presents without content separation or handling safeguards — none is specified on the display path — and that executes in the user's client context; an attacker seeds the content through injection S3-RT-019 or S3-RT-020, or through provider compromise S3-RT-029, none of which the rendering path can distinguish.</t>
        </is>
      </c>
      <c r="K93" s="12" t="inlineStr">
        <is>
          <t>Through injection or provider compromise the attacker induces the model to emit active content in its answer; P1 displays the response as content with execution capability, it runs in the user's client context, captures session state and any recovery token handled in the same context, and hands off to S3-RT-003 for account takeover.</t>
        </is>
      </c>
      <c r="L93" s="12" t="inlineStr">
        <is>
          <t>Client-side compromise inside the application context: theft of session state and of any recovery token handled in the same client context, handing off to S3-RT-003 for account takeover, and execution of actions in the victim's name.</t>
        </is>
      </c>
      <c r="M93" s="12" t="inlineStr">
        <is>
          <t>OWASP LLM05 requires treating model output as untrusted input, and A5 of the supplied assumptions declares it so; the architecture carries generated content from beyond TB5 through DF13 and DF14 straight to display at P1 with no content-handling element specified, and the display context is the recovery workflow itself, where valid tokens can be present in the same client context, which is what makes the chain to account takeover direct rather than theoretical.</t>
        </is>
      </c>
      <c r="N93" s="12" t="inlineStr">
        <is>
          <t>Catalogue entry T-27, retained with an architecture-only rewrite: rendering and encoding mechanisms were generalised to content separation and handling safeguards on the display path, none being specified. This entry is the practical realisation of unintended AI authority in this architecture: generated content becomes executable in the client context, which is how the excessive-authority concern manifests when the assistant itself is structurally unprivileged under A3 and A4. Retained separately from S3-RT-013, whose content originates in stored profile and recovery data, because the source here is the LLM chain and the control must sit on the DF14 to DF15 display path specifically. Primary STRIDE is Tampering.</t>
        </is>
      </c>
      <c r="O93" s="11" t="inlineStr">
        <is>
          <t>Critical</t>
        </is>
      </c>
      <c r="P93" s="11" t="inlineStr">
        <is>
          <t>Medium</t>
        </is>
      </c>
      <c r="Q93" s="11" t="inlineStr">
        <is>
          <t>Yes</t>
        </is>
      </c>
      <c r="R93" s="11" t="inlineStr">
        <is>
          <t>High</t>
        </is>
      </c>
      <c r="S93" s="11" t="inlineStr">
        <is>
          <t>YES</t>
        </is>
      </c>
    </row>
    <row r="94" ht="52" customHeight="1">
      <c r="A94" s="11" t="inlineStr">
        <is>
          <t>S3-RT-029</t>
        </is>
      </c>
      <c r="B94" s="11" t="inlineStr">
        <is>
          <t>S3</t>
        </is>
      </c>
      <c r="C94" s="11" t="inlineStr">
        <is>
          <t>Compromise or substitution of the external LLM provider</t>
        </is>
      </c>
      <c r="D94" s="11" t="inlineStr">
        <is>
          <t>Spoofing</t>
        </is>
      </c>
      <c r="E94" s="11" t="inlineStr">
        <is>
          <t>LLM-Specific</t>
        </is>
      </c>
      <c r="F94" s="12" t="inlineStr">
        <is>
          <t>EE2 External LLM Provider; P5 LLM Integration Service</t>
        </is>
      </c>
      <c r="G94" s="12" t="inlineStr">
        <is>
          <t>DF12, DF13</t>
        </is>
      </c>
      <c r="H94" s="12" t="inlineStr">
        <is>
          <t>TB5</t>
        </is>
      </c>
      <c r="I94" s="12" t="inlineStr">
        <is>
          <t>Generated AI responses; context information sent to the LLM</t>
        </is>
      </c>
      <c r="J94" s="12" t="inlineStr">
        <is>
          <t>The DF12/DF13 exchange depends on the identity and integrity of the responder beyond TB5, and no mechanism verifying that the responder is the intended external provider is specified by the architecture; if EE2 is substituted or compromised, prompts and account-related context are harvested and every response is attacker-controlled.</t>
        </is>
      </c>
      <c r="K94" s="12" t="inlineStr">
        <is>
          <t>The communication that P5 sends on DF12 is answered by an attacker-controlled replacement of the intended provider, the substitution path lying outside the drawn architecture; every question and account-related context submission is harvested, and every DF13 response is attacker-authored, weaponising the guidance entries S3-RT-025 and S3-RT-026 and the output-handling entry S3-RT-027 for all users.</t>
        </is>
      </c>
      <c r="L94" s="12" t="inlineStr">
        <is>
          <t>Interception of every prompt and account-related context submission crossing TB5 together with control of every response returned on DF13, converting the assistant into an attacker-controlled channel for all users.</t>
        </is>
      </c>
      <c r="M94" s="12" t="inlineStr">
        <is>
          <t>P5 is the only element that performs the TB5 crossing, so any verification of the external provider's identity and integrity must concentrate at that single component, and no such verification is specified; EE2 is not merely a service the application calls but the source of content the application displays to users on DF15. OWASP LLM03 applies, and MITRE ATLAS frames the substitution angle as ML supply chain compromise.</t>
        </is>
      </c>
      <c r="N94" s="12" t="inlineStr">
        <is>
          <t>Catalogue entry T-29, retained with a STRIDE collapse and a trust-boundary-level rewrite: primary Spoofing, the trusted external entity impersonated or substituted, with control of the responses (tampering) and harvesting of submissions (information disclosure) noted as consequences; infrastructure-specific substitution mechanisms were removed per the architecture-only scope. Retained separately from S3-RT-022, in which the provider behaves legitimately but retains data, and from S3-RT-017, in which the application's own credential is lost, because here the provider itself is the compromised party and the mitigation class is provider assurance and response validation rather than secrets hygiene.</t>
        </is>
      </c>
      <c r="O94" s="11" t="inlineStr">
        <is>
          <t>High</t>
        </is>
      </c>
      <c r="P94" s="11" t="inlineStr">
        <is>
          <t>Low</t>
        </is>
      </c>
      <c r="Q94" s="11" t="inlineStr">
        <is>
          <t>Yes</t>
        </is>
      </c>
      <c r="R94" s="11" t="inlineStr">
        <is>
          <t>High</t>
        </is>
      </c>
      <c r="S94" s="11" t="inlineStr">
        <is>
          <t>YES</t>
        </is>
      </c>
    </row>
    <row r="95" ht="52" customHeight="1">
      <c r="A95" s="11" t="inlineStr">
        <is>
          <t>S3-RT-030</t>
        </is>
      </c>
      <c r="B95" s="11" t="inlineStr">
        <is>
          <t>S3</t>
        </is>
      </c>
      <c r="C95" s="11" t="inlineStr">
        <is>
          <t>Denial of service on the Account Recovery Service</t>
        </is>
      </c>
      <c r="D95" s="11" t="inlineStr">
        <is>
          <t>Denial of Service</t>
        </is>
      </c>
      <c r="E95" s="11" t="inlineStr">
        <is>
          <t>Availability</t>
        </is>
      </c>
      <c r="F95" s="12" t="inlineStr">
        <is>
          <t>P2 Account Recovery Service</t>
        </is>
      </c>
      <c r="G95" s="12" t="inlineStr">
        <is>
          <t>DF1, DF2</t>
        </is>
      </c>
      <c r="H95" s="12" t="inlineStr">
        <is>
          <t>TB1</t>
        </is>
      </c>
      <c r="I95" s="12" t="inlineStr">
        <is>
          <t>Session/account recovery state; user account information</t>
        </is>
      </c>
      <c r="J95" s="12" t="inlineStr">
        <is>
          <t>An attacker floods the recovery interface on DF1 and DF2 with automated requests; each request triggers verification lookups on DF3 and DF4 and potentially token operations on DF5 and DF6, saturating the service and its database capacity so that legitimate locked-out users cannot complete recovery.</t>
        </is>
      </c>
      <c r="K95" s="12" t="inlineStr">
        <is>
          <t>An attacker submits recovery requests at high volume; every request costs verification lookups and potential token operations, the service's capacity is consumed, and legitimate locked-out users cannot complete recovery for the duration.</t>
        </is>
      </c>
      <c r="L95" s="12" t="inlineStr">
        <is>
          <t>Recovery denied to legitimate users at the moment of highest need, a lockout condition that also functions as extortion pressure, degrades trust in the platform, and masks concurrent targeted attacks from S3-RT-001 through S3-RT-006 in the resulting noise.</t>
        </is>
      </c>
      <c r="M95" s="12" t="inlineStr">
        <is>
          <t>STRIDE assigns denial of service to boundary-exposed processing, and the recovery workflow is inherently reachable by unauthenticated users because its purpose is to serve users who have lost credentials, so it cannot simply be gated behind authentication; the architecture models no rate limiting, queueing or load isolation for DF2. High severity reflects that the service's entire purpose is availability of access restoration: denying it locks affected users out of their accounts as surely as a takeover, without needing to defeat any control.</t>
        </is>
      </c>
      <c r="N95" s="12" t="inlineStr">
        <is>
          <t>Catalogue entry T-30, retained. The recovery workflow is inherently unauthenticated by purpose, and no throttling or load isolation is drawn. Retained separately from S3-RT-031, which targets the token store's state volume rather than service capacity. Primary STRIDE is Denial of Service.</t>
        </is>
      </c>
      <c r="O95" s="11" t="inlineStr">
        <is>
          <t>High</t>
        </is>
      </c>
      <c r="P95" s="11" t="inlineStr">
        <is>
          <t>High</t>
        </is>
      </c>
      <c r="Q95" s="11" t="inlineStr">
        <is>
          <t>No</t>
        </is>
      </c>
      <c r="R95" s="11" t="inlineStr">
        <is>
          <t>High</t>
        </is>
      </c>
      <c r="S95" s="11" t="inlineStr">
        <is>
          <t>YES</t>
        </is>
      </c>
    </row>
    <row r="96" ht="52" customHeight="1">
      <c r="A96" s="11" t="inlineStr">
        <is>
          <t>S3-RT-031</t>
        </is>
      </c>
      <c r="B96" s="11" t="inlineStr">
        <is>
          <t>S3</t>
        </is>
      </c>
      <c r="C96" s="11" t="inlineStr">
        <is>
          <t>Recovery token generation abuse and token store exhaustion</t>
        </is>
      </c>
      <c r="D96" s="11" t="inlineStr">
        <is>
          <t>Denial of Service</t>
        </is>
      </c>
      <c r="E96" s="11" t="inlineStr">
        <is>
          <t>Availability</t>
        </is>
      </c>
      <c r="F96" s="12" t="inlineStr">
        <is>
          <t>DS2 Recovery Token Storage; P2 Account Recovery Service</t>
        </is>
      </c>
      <c r="G96" s="12" t="inlineStr">
        <is>
          <t>DF5, DF6</t>
        </is>
      </c>
      <c r="H96" s="12" t="inlineStr">
        <is>
          <t>TB4</t>
        </is>
      </c>
      <c r="I96" s="12" t="inlineStr">
        <is>
          <t>Recovery tokens; session/account recovery state</t>
        </is>
      </c>
      <c r="J96" s="12" t="inlineStr">
        <is>
          <t>The attacker drives mass token generation through high-volume recovery requests that pass or bypass preliminary checks, so that active tokens and status records accumulate in DS2 through DF5 without any modelled quota, expiry sweep or lifecycle management, inflating the store and increasing contention on the validation lookups of DF6.</t>
        </is>
      </c>
      <c r="K96" s="12" t="inlineStr">
        <is>
          <t>An attacker triggers token issuance at scale; active tokens and status records accumulate in DS2 with no drawn quota or lifecycle management, storage grows, and validation lookups on DF6 contend with the accumulated state, degrading or denying token validation for legitimate recoveries.</t>
        </is>
      </c>
      <c r="L96" s="12" t="inlineStr">
        <is>
          <t>Degraded or denied token validation for legitimate recoveries, storage exhaustion on DS2, and operational cost, converting the recovery state store into a resource exhaustion vector distinct from the service flooding of S3-RT-030.</t>
        </is>
      </c>
      <c r="M96" s="12" t="inlineStr">
        <is>
          <t>Architecture-specific analysis of the token lifecycle the model draws: DF5 shows unbounded generation into DS2 and DF6 shows validation reads against it, with no quota, sweep or lifecycle management represented, and TB4 exists because that state is sensitive authentication state; abuse at the token layer therefore attacks the store and the validation path rather than the service's request capacity. Severity is Medium because the effect is degradation that grows over time and because the natural mitigations, per-account and per-issuer throttling, also serve S3-RT-002 and S3-RT-030.</t>
        </is>
      </c>
      <c r="N96" s="12" t="inlineStr">
        <is>
          <t>Catalogue entry T-31, retained with a technology-neutral rewording of the lifecycle examples. Retained separately from S3-RT-030, whose vector and target are the request handling capacity of P2 itself. Primary STRIDE is Denial of Service.</t>
        </is>
      </c>
      <c r="O96" s="11" t="inlineStr">
        <is>
          <t>Medium</t>
        </is>
      </c>
      <c r="P96" s="11" t="inlineStr">
        <is>
          <t>Medium</t>
        </is>
      </c>
      <c r="Q96" s="11" t="inlineStr">
        <is>
          <t>No</t>
        </is>
      </c>
      <c r="R96" s="11" t="inlineStr">
        <is>
          <t>Medium</t>
        </is>
      </c>
      <c r="S96" s="11" t="inlineStr">
        <is>
          <t>YES</t>
        </is>
      </c>
    </row>
    <row r="97" ht="52" customHeight="1">
      <c r="A97" s="11" t="inlineStr">
        <is>
          <t>S3-RT-032</t>
        </is>
      </c>
      <c r="B97" s="11" t="inlineStr">
        <is>
          <t>S3</t>
        </is>
      </c>
      <c r="C97" s="11" t="inlineStr">
        <is>
          <t>External LLM provider unavailability</t>
        </is>
      </c>
      <c r="D97" s="11" t="inlineStr">
        <is>
          <t>Denial of Service</t>
        </is>
      </c>
      <c r="E97" s="11" t="inlineStr">
        <is>
          <t>Availability</t>
        </is>
      </c>
      <c r="F97" s="12" t="inlineStr">
        <is>
          <t>P5 LLM Integration Service; EE2 External LLM Provider</t>
        </is>
      </c>
      <c r="G97" s="12" t="inlineStr">
        <is>
          <t>DF13</t>
        </is>
      </c>
      <c r="H97" s="12" t="inlineStr">
        <is>
          <t>TB5</t>
        </is>
      </c>
      <c r="I97" s="12" t="inlineStr">
        <is>
          <t>Generated AI responses</t>
        </is>
      </c>
      <c r="J97" s="12" t="inlineStr">
        <is>
          <t>The external provider suffers outage, rate limiting or degraded service, so that DF13 returns errors or nothing, P5 cannot produce processed responses on DF14, and the assistant delivers no answers on DF15 for any user of the application.</t>
        </is>
      </c>
      <c r="K97" s="12" t="inlineStr">
        <is>
          <t>The external provider suffers an extended outage; DF13 responses never arrive, and the assistant returns errors or nothing to every user, while core recovery and profile flows continue unaffected.</t>
        </is>
      </c>
      <c r="L97" s="12" t="inlineStr">
        <is>
          <t>AI assistant functionality lost application-wide, removing the system's guidance channel precisely for users mid-recovery; core recovery and profile flows on DF1 through DF9 continue unaffected, which bounds the blast radius to the assistant's auxiliary role.</t>
        </is>
      </c>
      <c r="M97" s="12" t="inlineStr">
        <is>
          <t>Architecture-specific dependency analysis: all assistant functionality routes through a single external entity beyond TB5 with no modelled fallback, degradation strategy or second provider, so the availability of a user-facing feature is ceded to a third party, and the entry is AI-specific because the dependency is an LLM service. The explicit bounding of impact is part of the analysis: unlike S3-RT-030, which denies the recovery service itself, this entry denies the auxiliary channel, which is why severity is Medium.</t>
        </is>
      </c>
      <c r="N97" s="12" t="inlineStr">
        <is>
          <t>Catalogue entry T-32, retained. The bounded blast radius is part of the architectural analysis and is why severity is Medium. Retained separately from S3-RT-033, in which the attacker deliberately consumes the provider relationship. Primary STRIDE is Denial of Service.</t>
        </is>
      </c>
      <c r="O97" s="11" t="inlineStr">
        <is>
          <t>Medium</t>
        </is>
      </c>
      <c r="P97" s="11" t="inlineStr">
        <is>
          <t>Medium</t>
        </is>
      </c>
      <c r="Q97" s="11" t="inlineStr">
        <is>
          <t>Yes</t>
        </is>
      </c>
      <c r="R97" s="11" t="inlineStr">
        <is>
          <t>Medium</t>
        </is>
      </c>
      <c r="S97" s="11" t="inlineStr">
        <is>
          <t>YES</t>
        </is>
      </c>
    </row>
    <row r="98" ht="52" customHeight="1">
      <c r="A98" s="11" t="inlineStr">
        <is>
          <t>S3-RT-033</t>
        </is>
      </c>
      <c r="B98" s="11" t="inlineStr">
        <is>
          <t>S3</t>
        </is>
      </c>
      <c r="C98" s="11" t="inlineStr">
        <is>
          <t>Unbounded LLM consumption through automated assistant abuse</t>
        </is>
      </c>
      <c r="D98" s="11" t="inlineStr">
        <is>
          <t>Denial of Service</t>
        </is>
      </c>
      <c r="E98" s="11" t="inlineStr">
        <is>
          <t>Availability</t>
        </is>
      </c>
      <c r="F98" s="12" t="inlineStr">
        <is>
          <t>P5 LLM Integration Service</t>
        </is>
      </c>
      <c r="G98" s="12" t="inlineStr">
        <is>
          <t>DF10, DF12</t>
        </is>
      </c>
      <c r="H98" s="12" t="inlineStr">
        <is>
          <t>TB5</t>
        </is>
      </c>
      <c r="I98" s="12" t="inlineStr">
        <is>
          <t>User AI questions; context information sent to the LLM</t>
        </is>
      </c>
      <c r="J98" s="12" t="inlineStr">
        <is>
          <t>An attacker automates question submission on DF10, which requires no identity verification per S3-RT-010, driving unbounded provider calls on DF12 with maximal context attached, and exhausting usage quotas, budgets and possibly the provider relationship itself.</t>
        </is>
      </c>
      <c r="K98" s="12" t="inlineStr">
        <is>
          <t>An attacker automates the submission of context-heavy questions at high frequency on DF10; each question drives a DF12 crossing whose cost scales with the question and the attached context, the provider quota and budget exhaust, and the assistant is denied to legitimate users through billing rather than capacity.</t>
        </is>
      </c>
      <c r="L98" s="12" t="inlineStr">
        <is>
          <t>Financial exhaustion of the provider arrangement, rate limit starvation that denies the assistant to legitimate users and compounds S3-RT-032, and potential contractual suspension of the external service on which all assistant functionality depends.</t>
        </is>
      </c>
      <c r="M98" s="12" t="inlineStr">
        <is>
          <t>OWASP LLM10 identifies unbounded consumption as a top ten LLM application risk: the architecture models no metering, quota or cost control anywhere on the DF10 to DF12 chain, and the unauthenticated entry point established by S3-RT-010 removes even attribution for abuse, so neither prevention nor accounting is represented. The entry is AI-specific because the cost driver is usage-scaled model inference, growing with question and context volume, a property of LLM services with no analogue in the classical flows of this architecture.</t>
        </is>
      </c>
      <c r="N98" s="12" t="inlineStr">
        <is>
          <t>Catalogue entry T-33, retained with a technology-neutral rewording of the cost driver. Retained separately from S3-RT-032, in which the provider fails on its own, and from S3-RT-030, in which the target is the application's own service, because here the attacker deliberately spends a third-party resource the application has undertaken to pay for. Primary STRIDE is Denial of Service.</t>
        </is>
      </c>
      <c r="O98" s="11" t="inlineStr">
        <is>
          <t>Medium</t>
        </is>
      </c>
      <c r="P98" s="11" t="inlineStr">
        <is>
          <t>High</t>
        </is>
      </c>
      <c r="Q98" s="11" t="inlineStr">
        <is>
          <t>Yes</t>
        </is>
      </c>
      <c r="R98" s="11" t="inlineStr">
        <is>
          <t>High</t>
        </is>
      </c>
      <c r="S98" s="11" t="inlineStr">
        <is>
          <t>YES</t>
        </is>
      </c>
    </row>
    <row r="99" ht="52" customHeight="1">
      <c r="A99" s="11" t="inlineStr">
        <is>
          <t>S3-RT-034</t>
        </is>
      </c>
      <c r="B99" s="11" t="inlineStr">
        <is>
          <t>S3</t>
        </is>
      </c>
      <c r="C99" s="11" t="inlineStr">
        <is>
          <t>Profile updates performed without valid recovery authorisation</t>
        </is>
      </c>
      <c r="D99" s="11" t="inlineStr">
        <is>
          <t>Elevation of Privilege</t>
        </is>
      </c>
      <c r="E99" s="11" t="inlineStr">
        <is>
          <t>Authorization</t>
        </is>
      </c>
      <c r="F99" s="12" t="inlineStr">
        <is>
          <t>P3 Profile Management Service; P2 Account Recovery Service</t>
        </is>
      </c>
      <c r="G99" s="12" t="inlineStr">
        <is>
          <t>DF8, DF9 (the authorisation precondition's enforcement point is not represented in the model)</t>
        </is>
      </c>
      <c r="H99" s="12" t="inlineStr">
        <is>
          <t>TB3</t>
        </is>
      </c>
      <c r="I99" s="12" t="inlineStr">
        <is>
          <t>Profile information; user account information; integrity of the recovery-authorisation precondition</t>
        </is>
      </c>
      <c r="J99" s="12" t="inlineStr">
        <is>
          <t>The architecture states that P3 performs updates only after authorised recovery approval, but no flow or element shows how P3 establishes that approval: no P2-to-P3 authorisation flow is drawn, and no consultation of DS2's token state by P3 is represented. If the implementation accepts update requests on DF8 without verifiable proof of a valid recovery authorisation, profile modification is available without the recovery the precondition exists to enforce.</t>
        </is>
      </c>
      <c r="K99" s="12" t="inlineStr">
        <is>
          <t>An attacker submits a profile update request on DF8 with no completed recovery behind it — the authorisation precondition absent, forged, or merely asserted in the request; P3 persists the change to DS1 on DF9, and the modification stands although no recovery was ever authorised for the account.</t>
        </is>
      </c>
      <c r="L99" s="12" t="inlineStr">
        <is>
          <t>Unauthorised profile modification that bypasses the recovery-authorisation gate entirely, collapsing the stated ordering — recovery first, update after — and arming the downstream paths that manipulated profile data enables, including S3-RT-013 and the recovery arming of S3-RT-008.</t>
        </is>
      </c>
      <c r="M99" s="12" t="inlineStr">
        <is>
          <t>A1 makes P2 the only recovery authorisation authority, and the supplied architecture makes authorised recovery approval the stated precondition of every P3 update, yet the model draws neither a flow conveying that approval to P3 nor any P3-side check of it; a stated security property without a represented enforcement point is an architecture-level gap the reference model must record, in the same manner as the token-redemption binding gap of S3-RT-006.</t>
        </is>
      </c>
      <c r="N99" s="12" t="inlineStr">
        <is>
          <t>NEW ENTRY added in this review. Reason: the profile-management checklist requires coverage of modification without valid recovery authorisation, and the catalogue's existing profile entries attack record selection (S3-RT-007), field scope (S3-RT-008) and store access (S3-RT-009) but not the precondition itself; the mechanism here is the missing enforcement of the recovery-authorisation gate at P3, which is distinct from all three and admits a distinct mitigation, verifiable authorisation proof bound to the update request. Absence-justified rather than drawn-flow-justified, hence Confidence Medium. Primary STRIDE is Elevation of Privilege: a protected capability is exercised without entitlement. Severity High; Likelihood Medium. Not LLM-specific.</t>
        </is>
      </c>
      <c r="O99" s="11" t="inlineStr">
        <is>
          <t>High</t>
        </is>
      </c>
      <c r="P99" s="11" t="inlineStr">
        <is>
          <t>Medium</t>
        </is>
      </c>
      <c r="Q99" s="11" t="inlineStr">
        <is>
          <t>No</t>
        </is>
      </c>
      <c r="R99" s="11" t="inlineStr">
        <is>
          <t>Medium</t>
        </is>
      </c>
      <c r="S99" s="11"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26"/>
  <sheetViews>
    <sheetView workbookViewId="0">
      <pane ySplit="4" topLeftCell="A5" activePane="bottomLeft" state="frozen"/>
      <selection pane="bottomLeft" activeCell="A1" sqref="A1"/>
    </sheetView>
  </sheetViews>
  <sheetFormatPr baseColWidth="8" defaultRowHeight="15" outlineLevelCol="0"/>
  <cols>
    <col width="20" customWidth="1" min="1" max="1"/>
    <col width="11" customWidth="1" min="2" max="2"/>
    <col width="10" customWidth="1" min="3" max="3"/>
    <col width="26" customWidth="1" min="4" max="4"/>
    <col width="46" customWidth="1" min="5" max="5"/>
    <col width="32" customWidth="1" min="6" max="6"/>
    <col width="20" customWidth="1" min="7" max="7"/>
    <col width="20" customWidth="1" min="8" max="8"/>
  </cols>
  <sheetData>
    <row r="1">
      <c r="A1" s="1" t="inlineStr">
        <is>
          <t>Raw Generated Findings (1,025, verbatim)</t>
        </is>
      </c>
    </row>
    <row r="2" ht="16" customHeight="1">
      <c r="A2" s="15" t="inlineStr">
        <is>
          <t>OWASP-S1-F001</t>
        </is>
      </c>
      <c r="B2" s="16" t="inlineStr">
        <is>
          <t>OWASP</t>
        </is>
      </c>
      <c r="C2" s="16" t="inlineStr">
        <is>
          <t>S1</t>
        </is>
      </c>
      <c r="D2" s="16" t="inlineStr">
        <is>
          <t>captcha</t>
        </is>
      </c>
      <c r="E2" s="17" t="inlineStr">
        <is>
          <t>CAPTCHA defeat</t>
        </is>
      </c>
      <c r="F2" s="16" t="inlineStr">
        <is>
          <t>EE1 End User</t>
        </is>
      </c>
      <c r="G2" s="16" t="inlineStr"/>
      <c r="H2" s="16" t="inlineStr">
        <is>
          <t>OWASP/S1</t>
        </is>
      </c>
    </row>
    <row r="3" ht="16" customHeight="1">
      <c r="A3" s="16" t="inlineStr">
        <is>
          <t>OWASP-S1-F002</t>
        </is>
      </c>
      <c r="B3" s="16" t="inlineStr">
        <is>
          <t>OWASP</t>
        </is>
      </c>
      <c r="C3" s="16" t="inlineStr">
        <is>
          <t>S1</t>
        </is>
      </c>
      <c r="D3" s="16" t="inlineStr">
        <is>
          <t>credential_stuffing</t>
        </is>
      </c>
      <c r="E3" s="17" t="inlineStr">
        <is>
          <t>Credential stuffing</t>
        </is>
      </c>
      <c r="F3" s="16" t="inlineStr">
        <is>
          <t>EE1 End User</t>
        </is>
      </c>
      <c r="G3" s="16" t="inlineStr"/>
      <c r="H3" s="16" t="inlineStr">
        <is>
          <t>OWASP/S1</t>
        </is>
      </c>
    </row>
    <row r="4" ht="16" customHeight="1">
      <c r="A4" s="18" t="inlineStr">
        <is>
          <t>OWASP-S1-F003</t>
        </is>
      </c>
      <c r="B4" s="18" t="inlineStr">
        <is>
          <t>OWASP</t>
        </is>
      </c>
      <c r="C4" s="18" t="inlineStr">
        <is>
          <t>S1</t>
        </is>
      </c>
      <c r="D4" s="18" t="inlineStr">
        <is>
          <t>excessive_db_scope</t>
        </is>
      </c>
      <c r="E4" s="19" t="inlineStr">
        <is>
          <t>Least privilege</t>
        </is>
      </c>
      <c r="F4" s="18" t="inlineStr">
        <is>
          <t>P1 Web Frontend Interface</t>
        </is>
      </c>
      <c r="G4" s="18" t="inlineStr"/>
      <c r="H4" s="18" t="inlineStr">
        <is>
          <t>OWASP/S1</t>
        </is>
      </c>
    </row>
    <row r="5" ht="16" customHeight="1">
      <c r="A5" s="16" t="inlineStr">
        <is>
          <t>OWASP-S1-F004</t>
        </is>
      </c>
      <c r="B5" s="16" t="inlineStr">
        <is>
          <t>OWASP</t>
        </is>
      </c>
      <c r="C5" s="16" t="inlineStr">
        <is>
          <t>S1</t>
        </is>
      </c>
      <c r="D5" s="16" t="inlineStr">
        <is>
          <t>expedition</t>
        </is>
      </c>
      <c r="E5" s="17" t="inlineStr">
        <is>
          <t>Expedition</t>
        </is>
      </c>
      <c r="F5" s="16" t="inlineStr">
        <is>
          <t>P1 Web Frontend Interface</t>
        </is>
      </c>
      <c r="G5" s="16" t="inlineStr"/>
      <c r="H5" s="16" t="inlineStr">
        <is>
          <t>OWASP/S1</t>
        </is>
      </c>
    </row>
    <row r="6" ht="16" customHeight="1">
      <c r="A6" s="16" t="inlineStr">
        <is>
          <t>OWASP-S1-F005</t>
        </is>
      </c>
      <c r="B6" s="16" t="inlineStr">
        <is>
          <t>OWASP</t>
        </is>
      </c>
      <c r="C6" s="16" t="inlineStr">
        <is>
          <t>S1</t>
        </is>
      </c>
      <c r="D6" s="16" t="inlineStr">
        <is>
          <t>recon</t>
        </is>
      </c>
      <c r="E6" s="17" t="inlineStr">
        <is>
          <t>Vulnerability scanning</t>
        </is>
      </c>
      <c r="F6" s="16" t="inlineStr">
        <is>
          <t>P1 Web Frontend Interface</t>
        </is>
      </c>
      <c r="G6" s="16" t="inlineStr"/>
      <c r="H6" s="16" t="inlineStr">
        <is>
          <t>OWASP/S1</t>
        </is>
      </c>
    </row>
    <row r="7" ht="16" customHeight="1">
      <c r="A7" s="16" t="inlineStr">
        <is>
          <t>OWASP-S1-F006</t>
        </is>
      </c>
      <c r="B7" s="16" t="inlineStr">
        <is>
          <t>OWASP</t>
        </is>
      </c>
      <c r="C7" s="16" t="inlineStr">
        <is>
          <t>S1</t>
        </is>
      </c>
      <c r="D7" s="16" t="inlineStr">
        <is>
          <t>dos_service</t>
        </is>
      </c>
      <c r="E7" s="17" t="inlineStr">
        <is>
          <t>Denial of Service</t>
        </is>
      </c>
      <c r="F7" s="16" t="inlineStr">
        <is>
          <t>P1 Web Frontend Interface</t>
        </is>
      </c>
      <c r="G7" s="16" t="inlineStr"/>
      <c r="H7" s="16" t="inlineStr">
        <is>
          <t>OWASP/S1</t>
        </is>
      </c>
    </row>
    <row r="8" ht="16" customHeight="1">
      <c r="A8" s="16" t="inlineStr">
        <is>
          <t>OWASP-S1-F007</t>
        </is>
      </c>
      <c r="B8" s="16" t="inlineStr">
        <is>
          <t>OWASP</t>
        </is>
      </c>
      <c r="C8" s="16" t="inlineStr">
        <is>
          <t>S1</t>
        </is>
      </c>
      <c r="D8" s="16" t="inlineStr">
        <is>
          <t>recon</t>
        </is>
      </c>
      <c r="E8" s="17" t="inlineStr">
        <is>
          <t>Footprinting</t>
        </is>
      </c>
      <c r="F8" s="16" t="inlineStr">
        <is>
          <t>P1 Web Frontend Interface</t>
        </is>
      </c>
      <c r="G8" s="16" t="inlineStr"/>
      <c r="H8" s="16" t="inlineStr">
        <is>
          <t>OWASP/S1</t>
        </is>
      </c>
    </row>
    <row r="9" ht="16" customHeight="1">
      <c r="A9" s="16" t="inlineStr">
        <is>
          <t>OWASP-S1-F008</t>
        </is>
      </c>
      <c r="B9" s="16" t="inlineStr">
        <is>
          <t>OWASP</t>
        </is>
      </c>
      <c r="C9" s="16" t="inlineStr">
        <is>
          <t>S1</t>
        </is>
      </c>
      <c r="D9" s="16" t="inlineStr">
        <is>
          <t>excessive_db_scope</t>
        </is>
      </c>
      <c r="E9" s="17" t="inlineStr">
        <is>
          <t>Least privilege</t>
        </is>
      </c>
      <c r="F9" s="16" t="inlineStr">
        <is>
          <t>P2 Authentication Service</t>
        </is>
      </c>
      <c r="G9" s="16" t="inlineStr"/>
      <c r="H9" s="16" t="inlineStr">
        <is>
          <t>OWASP/S1</t>
        </is>
      </c>
    </row>
    <row r="10" ht="16" customHeight="1">
      <c r="A10" s="16" t="inlineStr">
        <is>
          <t>OWASP-S1-F009</t>
        </is>
      </c>
      <c r="B10" s="16" t="inlineStr">
        <is>
          <t>OWASP</t>
        </is>
      </c>
      <c r="C10" s="16" t="inlineStr">
        <is>
          <t>S1</t>
        </is>
      </c>
      <c r="D10" s="16" t="inlineStr">
        <is>
          <t>expedition</t>
        </is>
      </c>
      <c r="E10" s="17" t="inlineStr">
        <is>
          <t>Expedition</t>
        </is>
      </c>
      <c r="F10" s="16" t="inlineStr">
        <is>
          <t>P2 Authentication Service</t>
        </is>
      </c>
      <c r="G10" s="16" t="inlineStr"/>
      <c r="H10" s="16" t="inlineStr">
        <is>
          <t>OWASP/S1</t>
        </is>
      </c>
    </row>
    <row r="11" ht="16" customHeight="1">
      <c r="A11" s="16" t="inlineStr">
        <is>
          <t>OWASP-S1-F010</t>
        </is>
      </c>
      <c r="B11" s="16" t="inlineStr">
        <is>
          <t>OWASP</t>
        </is>
      </c>
      <c r="C11" s="16" t="inlineStr">
        <is>
          <t>S1</t>
        </is>
      </c>
      <c r="D11" s="16" t="inlineStr">
        <is>
          <t>recon</t>
        </is>
      </c>
      <c r="E11" s="17" t="inlineStr">
        <is>
          <t>Vulnerability scanning</t>
        </is>
      </c>
      <c r="F11" s="16" t="inlineStr">
        <is>
          <t>P2 Authentication Service</t>
        </is>
      </c>
      <c r="G11" s="16" t="inlineStr"/>
      <c r="H11" s="16" t="inlineStr">
        <is>
          <t>OWASP/S1</t>
        </is>
      </c>
    </row>
    <row r="12" ht="16" customHeight="1">
      <c r="A12" s="16" t="inlineStr">
        <is>
          <t>OWASP-S1-F011</t>
        </is>
      </c>
      <c r="B12" s="16" t="inlineStr">
        <is>
          <t>OWASP</t>
        </is>
      </c>
      <c r="C12" s="16" t="inlineStr">
        <is>
          <t>S1</t>
        </is>
      </c>
      <c r="D12" s="16" t="inlineStr">
        <is>
          <t>dos_service</t>
        </is>
      </c>
      <c r="E12" s="17" t="inlineStr">
        <is>
          <t>Denial of Service</t>
        </is>
      </c>
      <c r="F12" s="16" t="inlineStr">
        <is>
          <t>P2 Authentication Service</t>
        </is>
      </c>
      <c r="G12" s="16" t="inlineStr"/>
      <c r="H12" s="16" t="inlineStr">
        <is>
          <t>OWASP/S1</t>
        </is>
      </c>
    </row>
    <row r="13" ht="16" customHeight="1">
      <c r="A13" s="16" t="inlineStr">
        <is>
          <t>OWASP-S1-F012</t>
        </is>
      </c>
      <c r="B13" s="16" t="inlineStr">
        <is>
          <t>OWASP</t>
        </is>
      </c>
      <c r="C13" s="16" t="inlineStr">
        <is>
          <t>S1</t>
        </is>
      </c>
      <c r="D13" s="16" t="inlineStr">
        <is>
          <t>recon</t>
        </is>
      </c>
      <c r="E13" s="17" t="inlineStr">
        <is>
          <t>Footprinting</t>
        </is>
      </c>
      <c r="F13" s="16" t="inlineStr">
        <is>
          <t>P2 Authentication Service</t>
        </is>
      </c>
      <c r="G13" s="16" t="inlineStr"/>
      <c r="H13" s="16" t="inlineStr">
        <is>
          <t>OWASP/S1</t>
        </is>
      </c>
    </row>
    <row r="14" ht="16" customHeight="1">
      <c r="A14" s="16" t="inlineStr">
        <is>
          <t>OWASP-S1-F013</t>
        </is>
      </c>
      <c r="B14" s="16" t="inlineStr">
        <is>
          <t>OWASP</t>
        </is>
      </c>
      <c r="C14" s="16" t="inlineStr">
        <is>
          <t>S1</t>
        </is>
      </c>
      <c r="D14" s="16" t="inlineStr">
        <is>
          <t>excessive_db_scope</t>
        </is>
      </c>
      <c r="E14" s="17" t="inlineStr">
        <is>
          <t>Least privilege</t>
        </is>
      </c>
      <c r="F14" s="16" t="inlineStr">
        <is>
          <t>P3 Session Management Module</t>
        </is>
      </c>
      <c r="G14" s="16" t="inlineStr"/>
      <c r="H14" s="16" t="inlineStr">
        <is>
          <t>OWASP/S1</t>
        </is>
      </c>
    </row>
    <row r="15" ht="16" customHeight="1">
      <c r="A15" s="16" t="inlineStr">
        <is>
          <t>OWASP-S1-F014</t>
        </is>
      </c>
      <c r="B15" s="16" t="inlineStr">
        <is>
          <t>OWASP</t>
        </is>
      </c>
      <c r="C15" s="16" t="inlineStr">
        <is>
          <t>S1</t>
        </is>
      </c>
      <c r="D15" s="16" t="inlineStr">
        <is>
          <t>expedition</t>
        </is>
      </c>
      <c r="E15" s="17" t="inlineStr">
        <is>
          <t>Expedition</t>
        </is>
      </c>
      <c r="F15" s="16" t="inlineStr">
        <is>
          <t>P3 Session Management Module</t>
        </is>
      </c>
      <c r="G15" s="16" t="inlineStr"/>
      <c r="H15" s="16" t="inlineStr">
        <is>
          <t>OWASP/S1</t>
        </is>
      </c>
    </row>
    <row r="16" ht="16" customHeight="1">
      <c r="A16" s="16" t="inlineStr">
        <is>
          <t>OWASP-S1-F015</t>
        </is>
      </c>
      <c r="B16" s="16" t="inlineStr">
        <is>
          <t>OWASP</t>
        </is>
      </c>
      <c r="C16" s="16" t="inlineStr">
        <is>
          <t>S1</t>
        </is>
      </c>
      <c r="D16" s="16" t="inlineStr">
        <is>
          <t>recon</t>
        </is>
      </c>
      <c r="E16" s="17" t="inlineStr">
        <is>
          <t>Vulnerability scanning</t>
        </is>
      </c>
      <c r="F16" s="16" t="inlineStr">
        <is>
          <t>P3 Session Management Module</t>
        </is>
      </c>
      <c r="G16" s="16" t="inlineStr"/>
      <c r="H16" s="16" t="inlineStr">
        <is>
          <t>OWASP/S1</t>
        </is>
      </c>
    </row>
    <row r="17" ht="16" customHeight="1">
      <c r="A17" s="16" t="inlineStr">
        <is>
          <t>OWASP-S1-F016</t>
        </is>
      </c>
      <c r="B17" s="16" t="inlineStr">
        <is>
          <t>OWASP</t>
        </is>
      </c>
      <c r="C17" s="16" t="inlineStr">
        <is>
          <t>S1</t>
        </is>
      </c>
      <c r="D17" s="16" t="inlineStr">
        <is>
          <t>dos_service</t>
        </is>
      </c>
      <c r="E17" s="17" t="inlineStr">
        <is>
          <t>Denial of Service</t>
        </is>
      </c>
      <c r="F17" s="16" t="inlineStr">
        <is>
          <t>P3 Session Management Module</t>
        </is>
      </c>
      <c r="G17" s="16" t="inlineStr"/>
      <c r="H17" s="16" t="inlineStr">
        <is>
          <t>OWASP/S1</t>
        </is>
      </c>
    </row>
    <row r="18" ht="16" customHeight="1">
      <c r="A18" s="16" t="inlineStr">
        <is>
          <t>OWASP-S1-F017</t>
        </is>
      </c>
      <c r="B18" s="16" t="inlineStr">
        <is>
          <t>OWASP</t>
        </is>
      </c>
      <c r="C18" s="16" t="inlineStr">
        <is>
          <t>S1</t>
        </is>
      </c>
      <c r="D18" s="16" t="inlineStr">
        <is>
          <t>recon</t>
        </is>
      </c>
      <c r="E18" s="17" t="inlineStr">
        <is>
          <t>Footprinting</t>
        </is>
      </c>
      <c r="F18" s="16" t="inlineStr">
        <is>
          <t>P3 Session Management Module</t>
        </is>
      </c>
      <c r="G18" s="16" t="inlineStr"/>
      <c r="H18" s="16" t="inlineStr">
        <is>
          <t>OWASP/S1</t>
        </is>
      </c>
    </row>
    <row r="19" ht="16" customHeight="1">
      <c r="A19" s="16" t="inlineStr">
        <is>
          <t>OWASP-S1-F018</t>
        </is>
      </c>
      <c r="B19" s="16" t="inlineStr">
        <is>
          <t>OWASP</t>
        </is>
      </c>
      <c r="C19" s="16" t="inlineStr">
        <is>
          <t>S1</t>
        </is>
      </c>
      <c r="D19" s="16" t="inlineStr">
        <is>
          <t>transit_token</t>
        </is>
      </c>
      <c r="E19" s="17" t="inlineStr">
        <is>
          <t>Vulnerable transport protocol</t>
        </is>
      </c>
      <c r="F19" s="16" t="inlineStr">
        <is>
          <t>P3 Session Management Module</t>
        </is>
      </c>
      <c r="G19" s="16" t="inlineStr"/>
      <c r="H19" s="16" t="inlineStr">
        <is>
          <t>OWASP/S1</t>
        </is>
      </c>
    </row>
    <row r="20" ht="16" customHeight="1">
      <c r="A20" s="16" t="inlineStr">
        <is>
          <t>OWASP-S1-F019</t>
        </is>
      </c>
      <c r="B20" s="16" t="inlineStr">
        <is>
          <t>OWASP</t>
        </is>
      </c>
      <c r="C20" s="16" t="inlineStr">
        <is>
          <t>S1</t>
        </is>
      </c>
      <c r="D20" s="16" t="inlineStr">
        <is>
          <t>recon</t>
        </is>
      </c>
      <c r="E20" s="17" t="inlineStr">
        <is>
          <t>Fingerprinting</t>
        </is>
      </c>
      <c r="F20" s="16" t="inlineStr">
        <is>
          <t>P3 Session Management Module</t>
        </is>
      </c>
      <c r="G20" s="16" t="inlineStr"/>
      <c r="H20" s="16" t="inlineStr">
        <is>
          <t>OWASP/S1</t>
        </is>
      </c>
    </row>
    <row r="21" ht="16" customHeight="1">
      <c r="A21" s="16" t="inlineStr">
        <is>
          <t>OWASP-S1-F020</t>
        </is>
      </c>
      <c r="B21" s="16" t="inlineStr">
        <is>
          <t>OWASP</t>
        </is>
      </c>
      <c r="C21" s="16" t="inlineStr">
        <is>
          <t>S1</t>
        </is>
      </c>
      <c r="D21" s="16" t="inlineStr">
        <is>
          <t>transit_token</t>
        </is>
      </c>
      <c r="E21" s="17" t="inlineStr">
        <is>
          <t>Vulnerable transport protocol</t>
        </is>
      </c>
      <c r="F21" s="16" t="inlineStr">
        <is>
          <t>P3 Session Management Module</t>
        </is>
      </c>
      <c r="G21" s="16" t="inlineStr"/>
      <c r="H21" s="16" t="inlineStr">
        <is>
          <t>OWASP/S1</t>
        </is>
      </c>
    </row>
    <row r="22" ht="16" customHeight="1">
      <c r="A22" s="16" t="inlineStr">
        <is>
          <t>OWASP-S1-F021</t>
        </is>
      </c>
      <c r="B22" s="16" t="inlineStr">
        <is>
          <t>OWASP</t>
        </is>
      </c>
      <c r="C22" s="16" t="inlineStr">
        <is>
          <t>S1</t>
        </is>
      </c>
      <c r="D22" s="16" t="inlineStr">
        <is>
          <t>transit_token</t>
        </is>
      </c>
      <c r="E22" s="17" t="inlineStr">
        <is>
          <t>Vulnerable transport protocol</t>
        </is>
      </c>
      <c r="F22" s="16" t="inlineStr">
        <is>
          <t>P3 Session Management Module</t>
        </is>
      </c>
      <c r="G22" s="16" t="inlineStr"/>
      <c r="H22" s="16" t="inlineStr">
        <is>
          <t>OWASP/S1</t>
        </is>
      </c>
    </row>
    <row r="23" ht="16" customHeight="1">
      <c r="A23" s="16" t="inlineStr">
        <is>
          <t>OWASP-S1-F022</t>
        </is>
      </c>
      <c r="B23" s="16" t="inlineStr">
        <is>
          <t>OWASP</t>
        </is>
      </c>
      <c r="C23" s="16" t="inlineStr">
        <is>
          <t>S1</t>
        </is>
      </c>
      <c r="D23" s="16" t="inlineStr">
        <is>
          <t>transit_token</t>
        </is>
      </c>
      <c r="E23" s="17" t="inlineStr">
        <is>
          <t>Vulnerable transport protocol</t>
        </is>
      </c>
      <c r="F23" s="16" t="inlineStr">
        <is>
          <t>P3 Session Management Module</t>
        </is>
      </c>
      <c r="G23" s="16" t="inlineStr"/>
      <c r="H23" s="16" t="inlineStr">
        <is>
          <t>OWASP/S1</t>
        </is>
      </c>
    </row>
    <row r="24" ht="16" customHeight="1">
      <c r="A24" s="16" t="inlineStr">
        <is>
          <t>OWASP-S1-F023</t>
        </is>
      </c>
      <c r="B24" s="16" t="inlineStr">
        <is>
          <t>OWASP</t>
        </is>
      </c>
      <c r="C24" s="16" t="inlineStr">
        <is>
          <t>S1</t>
        </is>
      </c>
      <c r="D24" s="16" t="inlineStr">
        <is>
          <t>recon</t>
        </is>
      </c>
      <c r="E24" s="17" t="inlineStr">
        <is>
          <t>Fingerprinting</t>
        </is>
      </c>
      <c r="F24" s="16" t="inlineStr">
        <is>
          <t>P3 Session Management Module</t>
        </is>
      </c>
      <c r="G24" s="16" t="inlineStr"/>
      <c r="H24" s="16" t="inlineStr">
        <is>
          <t>OWASP/S1</t>
        </is>
      </c>
    </row>
    <row r="25" ht="16" customHeight="1">
      <c r="A25" s="16" t="inlineStr">
        <is>
          <t>OWASP-S1-F024</t>
        </is>
      </c>
      <c r="B25" s="16" t="inlineStr">
        <is>
          <t>OWASP</t>
        </is>
      </c>
      <c r="C25" s="16" t="inlineStr">
        <is>
          <t>S1</t>
        </is>
      </c>
      <c r="D25" s="16" t="inlineStr">
        <is>
          <t>expedition</t>
        </is>
      </c>
      <c r="E25" s="17" t="inlineStr">
        <is>
          <t>Expedition</t>
        </is>
      </c>
      <c r="F25" s="16" t="inlineStr">
        <is>
          <t>P4 AI chatbot Component</t>
        </is>
      </c>
      <c r="G25" s="16" t="inlineStr"/>
      <c r="H25" s="16" t="inlineStr">
        <is>
          <t>OWASP/S1</t>
        </is>
      </c>
    </row>
    <row r="26" ht="16" customHeight="1">
      <c r="A26" s="16" t="inlineStr">
        <is>
          <t>OWASP-S1-F025</t>
        </is>
      </c>
      <c r="B26" s="16" t="inlineStr">
        <is>
          <t>OWASP</t>
        </is>
      </c>
      <c r="C26" s="16" t="inlineStr">
        <is>
          <t>S1</t>
        </is>
      </c>
      <c r="D26" s="16" t="inlineStr">
        <is>
          <t>recon</t>
        </is>
      </c>
      <c r="E26" s="17" t="inlineStr">
        <is>
          <t>Vulnerability scanning</t>
        </is>
      </c>
      <c r="F26" s="16" t="inlineStr">
        <is>
          <t>P4 AI chatbot Component</t>
        </is>
      </c>
      <c r="G26" s="16" t="inlineStr"/>
      <c r="H26" s="16" t="inlineStr">
        <is>
          <t>OWASP/S1</t>
        </is>
      </c>
    </row>
    <row r="27" ht="16" customHeight="1">
      <c r="A27" s="16" t="inlineStr">
        <is>
          <t>OWASP-S1-F026</t>
        </is>
      </c>
      <c r="B27" s="16" t="inlineStr">
        <is>
          <t>OWASP</t>
        </is>
      </c>
      <c r="C27" s="16" t="inlineStr">
        <is>
          <t>S1</t>
        </is>
      </c>
      <c r="D27" s="16" t="inlineStr">
        <is>
          <t>llm_consumption</t>
        </is>
      </c>
      <c r="E27" s="17" t="inlineStr">
        <is>
          <t>Denial of Service</t>
        </is>
      </c>
      <c r="F27" s="16" t="inlineStr">
        <is>
          <t>P4 AI chatbot Component</t>
        </is>
      </c>
      <c r="G27" s="16" t="inlineStr"/>
      <c r="H27" s="16" t="inlineStr">
        <is>
          <t>OWASP/S1</t>
        </is>
      </c>
    </row>
    <row r="28" ht="16" customHeight="1">
      <c r="A28" s="16" t="inlineStr">
        <is>
          <t>OWASP-S1-F027</t>
        </is>
      </c>
      <c r="B28" s="16" t="inlineStr">
        <is>
          <t>OWASP</t>
        </is>
      </c>
      <c r="C28" s="16" t="inlineStr">
        <is>
          <t>S1</t>
        </is>
      </c>
      <c r="D28" s="16" t="inlineStr">
        <is>
          <t>expedition</t>
        </is>
      </c>
      <c r="E28" s="17" t="inlineStr">
        <is>
          <t>Expedition</t>
        </is>
      </c>
      <c r="F28" s="16" t="inlineStr">
        <is>
          <t>P5 LLM Integration Service</t>
        </is>
      </c>
      <c r="G28" s="16" t="inlineStr"/>
      <c r="H28" s="16" t="inlineStr">
        <is>
          <t>OWASP/S1</t>
        </is>
      </c>
    </row>
    <row r="29" ht="16" customHeight="1">
      <c r="A29" s="16" t="inlineStr">
        <is>
          <t>OWASP-S1-F028</t>
        </is>
      </c>
      <c r="B29" s="16" t="inlineStr">
        <is>
          <t>OWASP</t>
        </is>
      </c>
      <c r="C29" s="16" t="inlineStr">
        <is>
          <t>S1</t>
        </is>
      </c>
      <c r="D29" s="16" t="inlineStr">
        <is>
          <t>recon</t>
        </is>
      </c>
      <c r="E29" s="17" t="inlineStr">
        <is>
          <t>Vulnerability scanning</t>
        </is>
      </c>
      <c r="F29" s="16" t="inlineStr">
        <is>
          <t>P5 LLM Integration Service</t>
        </is>
      </c>
      <c r="G29" s="16" t="inlineStr"/>
      <c r="H29" s="16" t="inlineStr">
        <is>
          <t>OWASP/S1</t>
        </is>
      </c>
    </row>
    <row r="30" ht="16" customHeight="1">
      <c r="A30" s="16" t="inlineStr">
        <is>
          <t>OWASP-S1-F029</t>
        </is>
      </c>
      <c r="B30" s="16" t="inlineStr">
        <is>
          <t>OWASP</t>
        </is>
      </c>
      <c r="C30" s="16" t="inlineStr">
        <is>
          <t>S1</t>
        </is>
      </c>
      <c r="D30" s="16" t="inlineStr">
        <is>
          <t>llm_consumption</t>
        </is>
      </c>
      <c r="E30" s="17" t="inlineStr">
        <is>
          <t>Denial of Service</t>
        </is>
      </c>
      <c r="F30" s="16" t="inlineStr">
        <is>
          <t>P5 LLM Integration Service</t>
        </is>
      </c>
      <c r="G30" s="16" t="inlineStr"/>
      <c r="H30" s="16" t="inlineStr">
        <is>
          <t>OWASP/S1</t>
        </is>
      </c>
    </row>
    <row r="31" ht="16" customHeight="1">
      <c r="A31" s="16" t="inlineStr">
        <is>
          <t>OWASP-S1-F030</t>
        </is>
      </c>
      <c r="B31" s="16" t="inlineStr">
        <is>
          <t>OWASP</t>
        </is>
      </c>
      <c r="C31" s="16" t="inlineStr">
        <is>
          <t>S1</t>
        </is>
      </c>
      <c r="D31" s="16" t="inlineStr">
        <is>
          <t>mass_disclosure</t>
        </is>
      </c>
      <c r="E31" s="17" t="inlineStr">
        <is>
          <t>Scraping</t>
        </is>
      </c>
      <c r="F31" s="16" t="inlineStr">
        <is>
          <t>DS1 User Database</t>
        </is>
      </c>
      <c r="G31" s="16" t="inlineStr"/>
      <c r="H31" s="16" t="inlineStr">
        <is>
          <t>OWASP/S1</t>
        </is>
      </c>
    </row>
    <row r="32" ht="16" customHeight="1">
      <c r="A32" s="16" t="inlineStr">
        <is>
          <t>OWASP-S1-F031</t>
        </is>
      </c>
      <c r="B32" s="16" t="inlineStr">
        <is>
          <t>OWASP</t>
        </is>
      </c>
      <c r="C32" s="16" t="inlineStr">
        <is>
          <t>S1</t>
        </is>
      </c>
      <c r="D32" s="16" t="inlineStr">
        <is>
          <t>skew_spam</t>
        </is>
      </c>
      <c r="E32" s="17" t="inlineStr">
        <is>
          <t>Skewing</t>
        </is>
      </c>
      <c r="F32" s="16" t="inlineStr">
        <is>
          <t>DS1 User Database</t>
        </is>
      </c>
      <c r="G32" s="16" t="inlineStr"/>
      <c r="H32" s="16" t="inlineStr">
        <is>
          <t>OWASP/S1</t>
        </is>
      </c>
    </row>
    <row r="33" ht="16" customHeight="1">
      <c r="A33" s="16" t="inlineStr">
        <is>
          <t>OWASP-S1-F032</t>
        </is>
      </c>
      <c r="B33" s="16" t="inlineStr">
        <is>
          <t>OWASP</t>
        </is>
      </c>
      <c r="C33" s="16" t="inlineStr">
        <is>
          <t>S1</t>
        </is>
      </c>
      <c r="D33" s="16" t="inlineStr">
        <is>
          <t>skew_spam</t>
        </is>
      </c>
      <c r="E33" s="17" t="inlineStr">
        <is>
          <t>Spamming</t>
        </is>
      </c>
      <c r="F33" s="16" t="inlineStr">
        <is>
          <t>DS1 User Database</t>
        </is>
      </c>
      <c r="G33" s="16" t="inlineStr"/>
      <c r="H33" s="16" t="inlineStr">
        <is>
          <t>OWASP/S1</t>
        </is>
      </c>
    </row>
    <row r="34" ht="16" customHeight="1">
      <c r="A34" s="16" t="inlineStr">
        <is>
          <t>OWASP-S1-F033</t>
        </is>
      </c>
      <c r="B34" s="16" t="inlineStr">
        <is>
          <t>OWASP</t>
        </is>
      </c>
      <c r="C34" s="16" t="inlineStr">
        <is>
          <t>S1</t>
        </is>
      </c>
      <c r="D34" s="16" t="inlineStr">
        <is>
          <t>mass_disclosure</t>
        </is>
      </c>
      <c r="E34" s="17" t="inlineStr">
        <is>
          <t>Scraping</t>
        </is>
      </c>
      <c r="F34" s="16" t="inlineStr">
        <is>
          <t>DS2 Session Storage</t>
        </is>
      </c>
      <c r="G34" s="16" t="inlineStr"/>
      <c r="H34" s="16" t="inlineStr">
        <is>
          <t>OWASP/S1</t>
        </is>
      </c>
    </row>
    <row r="35" ht="16" customHeight="1">
      <c r="A35" s="16" t="inlineStr">
        <is>
          <t>OWASP-S1-F034</t>
        </is>
      </c>
      <c r="B35" s="16" t="inlineStr">
        <is>
          <t>OWASP</t>
        </is>
      </c>
      <c r="C35" s="16" t="inlineStr">
        <is>
          <t>S1</t>
        </is>
      </c>
      <c r="D35" s="16" t="inlineStr">
        <is>
          <t>skew_spam</t>
        </is>
      </c>
      <c r="E35" s="17" t="inlineStr">
        <is>
          <t>Skewing</t>
        </is>
      </c>
      <c r="F35" s="16" t="inlineStr">
        <is>
          <t>DS2 Session Storage</t>
        </is>
      </c>
      <c r="G35" s="16" t="inlineStr"/>
      <c r="H35" s="16" t="inlineStr">
        <is>
          <t>OWASP/S1</t>
        </is>
      </c>
    </row>
    <row r="36" ht="16" customHeight="1">
      <c r="A36" s="16" t="inlineStr">
        <is>
          <t>OWASP-S1-F035</t>
        </is>
      </c>
      <c r="B36" s="16" t="inlineStr">
        <is>
          <t>OWASP</t>
        </is>
      </c>
      <c r="C36" s="16" t="inlineStr">
        <is>
          <t>S1</t>
        </is>
      </c>
      <c r="D36" s="16" t="inlineStr">
        <is>
          <t>skew_spam</t>
        </is>
      </c>
      <c r="E36" s="17" t="inlineStr">
        <is>
          <t>Spamming</t>
        </is>
      </c>
      <c r="F36" s="16" t="inlineStr">
        <is>
          <t>DS2 Session Storage</t>
        </is>
      </c>
      <c r="G36" s="16" t="inlineStr"/>
      <c r="H36" s="16" t="inlineStr">
        <is>
          <t>OWASP/S1</t>
        </is>
      </c>
    </row>
    <row r="37" ht="16" customHeight="1">
      <c r="A37" s="16" t="inlineStr">
        <is>
          <t>OWASP-S1-F036</t>
        </is>
      </c>
      <c r="B37" s="16" t="inlineStr">
        <is>
          <t>OWASP</t>
        </is>
      </c>
      <c r="C37" s="16" t="inlineStr">
        <is>
          <t>S1</t>
        </is>
      </c>
      <c r="D37" s="16" t="inlineStr">
        <is>
          <t>mass_disclosure</t>
        </is>
      </c>
      <c r="E37" s="17" t="inlineStr">
        <is>
          <t>Scraping</t>
        </is>
      </c>
      <c r="F37" s="16" t="inlineStr">
        <is>
          <t>DS3 Knowledge Base</t>
        </is>
      </c>
      <c r="G37" s="16" t="inlineStr"/>
      <c r="H37" s="16" t="inlineStr">
        <is>
          <t>OWASP/S1</t>
        </is>
      </c>
    </row>
    <row r="38" ht="16" customHeight="1">
      <c r="A38" s="16" t="inlineStr">
        <is>
          <t>OWASP-S1-F037</t>
        </is>
      </c>
      <c r="B38" s="16" t="inlineStr">
        <is>
          <t>OWASP</t>
        </is>
      </c>
      <c r="C38" s="16" t="inlineStr">
        <is>
          <t>S1</t>
        </is>
      </c>
      <c r="D38" s="16" t="inlineStr">
        <is>
          <t>skew_spam</t>
        </is>
      </c>
      <c r="E38" s="17" t="inlineStr">
        <is>
          <t>Skewing</t>
        </is>
      </c>
      <c r="F38" s="16" t="inlineStr">
        <is>
          <t>DS3 Knowledge Base</t>
        </is>
      </c>
      <c r="G38" s="16" t="inlineStr"/>
      <c r="H38" s="16" t="inlineStr">
        <is>
          <t>OWASP/S1</t>
        </is>
      </c>
    </row>
    <row r="39" ht="16" customHeight="1">
      <c r="A39" s="16" t="inlineStr">
        <is>
          <t>OWASP-S1-F038</t>
        </is>
      </c>
      <c r="B39" s="16" t="inlineStr">
        <is>
          <t>OWASP</t>
        </is>
      </c>
      <c r="C39" s="16" t="inlineStr">
        <is>
          <t>S1</t>
        </is>
      </c>
      <c r="D39" s="16" t="inlineStr">
        <is>
          <t>stored_prompt_injection</t>
        </is>
      </c>
      <c r="E39" s="17" t="inlineStr">
        <is>
          <t>Spamming</t>
        </is>
      </c>
      <c r="F39" s="16" t="inlineStr">
        <is>
          <t>DS3 Knowledge Base</t>
        </is>
      </c>
      <c r="G39" s="16" t="inlineStr"/>
      <c r="H39" s="16" t="inlineStr">
        <is>
          <t>OWASP/S1</t>
        </is>
      </c>
    </row>
    <row r="40" ht="16" customHeight="1">
      <c r="A40" s="16" t="inlineStr">
        <is>
          <t>TMT-S1-F001</t>
        </is>
      </c>
      <c r="B40" s="16" t="inlineStr">
        <is>
          <t>TMT</t>
        </is>
      </c>
      <c r="C40" s="16" t="inlineStr">
        <is>
          <t>S1</t>
        </is>
      </c>
      <c r="D40" s="16" t="inlineStr"/>
      <c r="E40" s="17" t="inlineStr">
        <is>
          <t>EE1 End User (Browser) Process Memory Tampered</t>
        </is>
      </c>
      <c r="F40" s="16" t="inlineStr">
        <is>
          <t>Diagram 1</t>
        </is>
      </c>
      <c r="G40" s="16" t="inlineStr">
        <is>
          <t>Registration/Login Credentials</t>
        </is>
      </c>
      <c r="H40" s="16" t="inlineStr">
        <is>
          <t>TMT/S1</t>
        </is>
      </c>
    </row>
    <row r="41" ht="16" customHeight="1">
      <c r="A41" s="16" t="inlineStr">
        <is>
          <t>TMT-S1-F002</t>
        </is>
      </c>
      <c r="B41" s="16" t="inlineStr">
        <is>
          <t>TMT</t>
        </is>
      </c>
      <c r="C41" s="16" t="inlineStr">
        <is>
          <t>S1</t>
        </is>
      </c>
      <c r="D41" s="16" t="inlineStr"/>
      <c r="E41" s="17" t="inlineStr">
        <is>
          <t>Cross Site Scripting</t>
        </is>
      </c>
      <c r="F41" s="16" t="inlineStr">
        <is>
          <t>Diagram 1</t>
        </is>
      </c>
      <c r="G41" s="16" t="inlineStr">
        <is>
          <t>Registration/Login Credentials</t>
        </is>
      </c>
      <c r="H41" s="16" t="inlineStr">
        <is>
          <t>TMT/S1</t>
        </is>
      </c>
    </row>
    <row r="42" ht="16" customHeight="1">
      <c r="A42" s="16" t="inlineStr">
        <is>
          <t>TMT-S1-F003</t>
        </is>
      </c>
      <c r="B42" s="16" t="inlineStr">
        <is>
          <t>TMT</t>
        </is>
      </c>
      <c r="C42" s="16" t="inlineStr">
        <is>
          <t>S1</t>
        </is>
      </c>
      <c r="D42" s="16" t="inlineStr"/>
      <c r="E42" s="17" t="inlineStr">
        <is>
          <t>Elevation Using Impersonation</t>
        </is>
      </c>
      <c r="F42" s="16" t="inlineStr">
        <is>
          <t>Diagram 1</t>
        </is>
      </c>
      <c r="G42" s="16" t="inlineStr">
        <is>
          <t>Registration/Login Credentials</t>
        </is>
      </c>
      <c r="H42" s="16" t="inlineStr">
        <is>
          <t>TMT/S1</t>
        </is>
      </c>
    </row>
    <row r="43" ht="16" customHeight="1">
      <c r="A43" s="16" t="inlineStr">
        <is>
          <t>TMT-S1-F004</t>
        </is>
      </c>
      <c r="B43" s="16" t="inlineStr">
        <is>
          <t>TMT</t>
        </is>
      </c>
      <c r="C43" s="16" t="inlineStr">
        <is>
          <t>S1</t>
        </is>
      </c>
      <c r="D43" s="16" t="inlineStr"/>
      <c r="E43" s="17" t="inlineStr">
        <is>
          <t>P1 Web Frontend Interface Process Memory Tampered</t>
        </is>
      </c>
      <c r="F43" s="16" t="inlineStr">
        <is>
          <t>Diagram 1</t>
        </is>
      </c>
      <c r="G43" s="16" t="inlineStr">
        <is>
          <t>Credential Submission</t>
        </is>
      </c>
      <c r="H43" s="16" t="inlineStr">
        <is>
          <t>TMT/S1</t>
        </is>
      </c>
    </row>
    <row r="44" ht="16" customHeight="1">
      <c r="A44" s="16" t="inlineStr">
        <is>
          <t>TMT-S1-F005</t>
        </is>
      </c>
      <c r="B44" s="16" t="inlineStr">
        <is>
          <t>TMT</t>
        </is>
      </c>
      <c r="C44" s="16" t="inlineStr">
        <is>
          <t>S1</t>
        </is>
      </c>
      <c r="D44" s="16" t="inlineStr"/>
      <c r="E44" s="17" t="inlineStr">
        <is>
          <t>Elevation Using Impersonation</t>
        </is>
      </c>
      <c r="F44" s="16" t="inlineStr">
        <is>
          <t>Diagram 1</t>
        </is>
      </c>
      <c r="G44" s="16" t="inlineStr">
        <is>
          <t>Credential Submission</t>
        </is>
      </c>
      <c r="H44" s="16" t="inlineStr">
        <is>
          <t>TMT/S1</t>
        </is>
      </c>
    </row>
    <row r="45" ht="16" customHeight="1">
      <c r="A45" s="16" t="inlineStr">
        <is>
          <t>TMT-S1-F006</t>
        </is>
      </c>
      <c r="B45" s="16" t="inlineStr">
        <is>
          <t>TMT</t>
        </is>
      </c>
      <c r="C45" s="16" t="inlineStr">
        <is>
          <t>S1</t>
        </is>
      </c>
      <c r="D45" s="16" t="inlineStr"/>
      <c r="E45" s="17" t="inlineStr">
        <is>
          <t>Spoofing of Destination Data Store DS1 Backend User Database</t>
        </is>
      </c>
      <c r="F45" s="16" t="inlineStr">
        <is>
          <t>Diagram 1</t>
        </is>
      </c>
      <c r="G45" s="16" t="inlineStr">
        <is>
          <t>Credential Verification Request</t>
        </is>
      </c>
      <c r="H45" s="16" t="inlineStr">
        <is>
          <t>TMT/S1</t>
        </is>
      </c>
    </row>
    <row r="46" ht="16" customHeight="1">
      <c r="A46" s="16" t="inlineStr">
        <is>
          <t>TMT-S1-F007</t>
        </is>
      </c>
      <c r="B46" s="16" t="inlineStr">
        <is>
          <t>TMT</t>
        </is>
      </c>
      <c r="C46" s="16" t="inlineStr">
        <is>
          <t>S1</t>
        </is>
      </c>
      <c r="D46" s="16" t="inlineStr">
        <is>
          <t>injection_verification</t>
        </is>
      </c>
      <c r="E46" s="17" t="inlineStr">
        <is>
          <t>Potential SQL Injection Vulnerability for DS1 Backend User Database</t>
        </is>
      </c>
      <c r="F46" s="16" t="inlineStr">
        <is>
          <t>Diagram 1</t>
        </is>
      </c>
      <c r="G46" s="16" t="inlineStr">
        <is>
          <t>Credential Verification Request</t>
        </is>
      </c>
      <c r="H46" s="16" t="inlineStr">
        <is>
          <t>TMT/S1</t>
        </is>
      </c>
    </row>
    <row r="47" ht="16" customHeight="1">
      <c r="A47" s="16" t="inlineStr">
        <is>
          <t>TMT-S1-F008</t>
        </is>
      </c>
      <c r="B47" s="16" t="inlineStr">
        <is>
          <t>TMT</t>
        </is>
      </c>
      <c r="C47" s="16" t="inlineStr">
        <is>
          <t>S1</t>
        </is>
      </c>
      <c r="D47" s="16" t="inlineStr">
        <is>
          <t>dos_service</t>
        </is>
      </c>
      <c r="E47" s="17" t="inlineStr">
        <is>
          <t>Potential Excessive Resource Consumption for P2 Authentication Server or DS1 Backend User Database</t>
        </is>
      </c>
      <c r="F47" s="16" t="inlineStr">
        <is>
          <t>Diagram 1</t>
        </is>
      </c>
      <c r="G47" s="16" t="inlineStr">
        <is>
          <t>Credential Verification Request</t>
        </is>
      </c>
      <c r="H47" s="16" t="inlineStr">
        <is>
          <t>TMT/S1</t>
        </is>
      </c>
    </row>
    <row r="48" ht="16" customHeight="1">
      <c r="A48" s="16" t="inlineStr">
        <is>
          <t>TMT-S1-F009</t>
        </is>
      </c>
      <c r="B48" s="16" t="inlineStr">
        <is>
          <t>TMT</t>
        </is>
      </c>
      <c r="C48" s="16" t="inlineStr">
        <is>
          <t>S1</t>
        </is>
      </c>
      <c r="D48" s="16" t="inlineStr"/>
      <c r="E48" s="17" t="inlineStr">
        <is>
          <t>P2 Authentication Server Process Memory Tampered</t>
        </is>
      </c>
      <c r="F48" s="16" t="inlineStr">
        <is>
          <t>Diagram 1</t>
        </is>
      </c>
      <c r="G48" s="16" t="inlineStr">
        <is>
          <t>Session Token Generation</t>
        </is>
      </c>
      <c r="H48" s="16" t="inlineStr">
        <is>
          <t>TMT/S1</t>
        </is>
      </c>
    </row>
    <row r="49" ht="16" customHeight="1">
      <c r="A49" s="16" t="inlineStr">
        <is>
          <t>TMT-S1-F010</t>
        </is>
      </c>
      <c r="B49" s="16" t="inlineStr">
        <is>
          <t>TMT</t>
        </is>
      </c>
      <c r="C49" s="16" t="inlineStr">
        <is>
          <t>S1</t>
        </is>
      </c>
      <c r="D49" s="16" t="inlineStr"/>
      <c r="E49" s="17" t="inlineStr">
        <is>
          <t>Elevation Using Impersonation</t>
        </is>
      </c>
      <c r="F49" s="16" t="inlineStr">
        <is>
          <t>Diagram 1</t>
        </is>
      </c>
      <c r="G49" s="16" t="inlineStr">
        <is>
          <t>Session Token Generation</t>
        </is>
      </c>
      <c r="H49" s="16" t="inlineStr">
        <is>
          <t>TMT/S1</t>
        </is>
      </c>
    </row>
    <row r="50" ht="16" customHeight="1">
      <c r="A50" s="16" t="inlineStr">
        <is>
          <t>TMT-S1-F011</t>
        </is>
      </c>
      <c r="B50" s="16" t="inlineStr">
        <is>
          <t>TMT</t>
        </is>
      </c>
      <c r="C50" s="16" t="inlineStr">
        <is>
          <t>S1</t>
        </is>
      </c>
      <c r="D50" s="16" t="inlineStr"/>
      <c r="E50" s="17" t="inlineStr">
        <is>
          <t>P2 Authentication Server Process Memory Tampered</t>
        </is>
      </c>
      <c r="F50" s="16" t="inlineStr">
        <is>
          <t>Diagram 1</t>
        </is>
      </c>
      <c r="G50" s="16" t="inlineStr">
        <is>
          <t>Authentication Result</t>
        </is>
      </c>
      <c r="H50" s="16" t="inlineStr">
        <is>
          <t>TMT/S1</t>
        </is>
      </c>
    </row>
    <row r="51" ht="16" customHeight="1">
      <c r="A51" s="16" t="inlineStr">
        <is>
          <t>TMT-S1-F012</t>
        </is>
      </c>
      <c r="B51" s="16" t="inlineStr">
        <is>
          <t>TMT</t>
        </is>
      </c>
      <c r="C51" s="16" t="inlineStr">
        <is>
          <t>S1</t>
        </is>
      </c>
      <c r="D51" s="16" t="inlineStr"/>
      <c r="E51" s="17" t="inlineStr">
        <is>
          <t>Cross Site Scripting</t>
        </is>
      </c>
      <c r="F51" s="16" t="inlineStr">
        <is>
          <t>Diagram 1</t>
        </is>
      </c>
      <c r="G51" s="16" t="inlineStr">
        <is>
          <t>Authentication Result</t>
        </is>
      </c>
      <c r="H51" s="16" t="inlineStr">
        <is>
          <t>TMT/S1</t>
        </is>
      </c>
    </row>
    <row r="52" ht="16" customHeight="1">
      <c r="A52" s="16" t="inlineStr">
        <is>
          <t>TMT-S1-F013</t>
        </is>
      </c>
      <c r="B52" s="16" t="inlineStr">
        <is>
          <t>TMT</t>
        </is>
      </c>
      <c r="C52" s="16" t="inlineStr">
        <is>
          <t>S1</t>
        </is>
      </c>
      <c r="D52" s="16" t="inlineStr"/>
      <c r="E52" s="17" t="inlineStr">
        <is>
          <t>Elevation Using Impersonation</t>
        </is>
      </c>
      <c r="F52" s="16" t="inlineStr">
        <is>
          <t>Diagram 1</t>
        </is>
      </c>
      <c r="G52" s="16" t="inlineStr">
        <is>
          <t>Authentication Result</t>
        </is>
      </c>
      <c r="H52" s="16" t="inlineStr">
        <is>
          <t>TMT/S1</t>
        </is>
      </c>
    </row>
    <row r="53" ht="16" customHeight="1">
      <c r="A53" s="16" t="inlineStr">
        <is>
          <t>TMT-S1-F014</t>
        </is>
      </c>
      <c r="B53" s="16" t="inlineStr">
        <is>
          <t>TMT</t>
        </is>
      </c>
      <c r="C53" s="16" t="inlineStr">
        <is>
          <t>S1</t>
        </is>
      </c>
      <c r="D53" s="16" t="inlineStr"/>
      <c r="E53" s="17" t="inlineStr">
        <is>
          <t>Spoofing of Source Data Store DS1 Backend User Database</t>
        </is>
      </c>
      <c r="F53" s="16" t="inlineStr">
        <is>
          <t>Diagram 1</t>
        </is>
      </c>
      <c r="G53" s="16" t="inlineStr">
        <is>
          <t>Credential Verification Result</t>
        </is>
      </c>
      <c r="H53" s="16" t="inlineStr">
        <is>
          <t>TMT/S1</t>
        </is>
      </c>
    </row>
    <row r="54" ht="16" customHeight="1">
      <c r="A54" s="16" t="inlineStr">
        <is>
          <t>TMT-S1-F015</t>
        </is>
      </c>
      <c r="B54" s="16" t="inlineStr">
        <is>
          <t>TMT</t>
        </is>
      </c>
      <c r="C54" s="16" t="inlineStr">
        <is>
          <t>S1</t>
        </is>
      </c>
      <c r="D54" s="16" t="inlineStr">
        <is>
          <t>mass_disclosure</t>
        </is>
      </c>
      <c r="E54" s="17" t="inlineStr">
        <is>
          <t>Weak Access Control for a Resource</t>
        </is>
      </c>
      <c r="F54" s="16" t="inlineStr">
        <is>
          <t>Diagram 1</t>
        </is>
      </c>
      <c r="G54" s="16" t="inlineStr">
        <is>
          <t>Credential Verification Result</t>
        </is>
      </c>
      <c r="H54" s="16" t="inlineStr">
        <is>
          <t>TMT/S1</t>
        </is>
      </c>
    </row>
    <row r="55" ht="16" customHeight="1">
      <c r="A55" s="16" t="inlineStr">
        <is>
          <t>TMT-S1-F016</t>
        </is>
      </c>
      <c r="B55" s="16" t="inlineStr">
        <is>
          <t>TMT</t>
        </is>
      </c>
      <c r="C55" s="16" t="inlineStr">
        <is>
          <t>S1</t>
        </is>
      </c>
      <c r="D55" s="16" t="inlineStr"/>
      <c r="E55" s="17" t="inlineStr">
        <is>
          <t>P3 Session Management Module Process Memory Tampered</t>
        </is>
      </c>
      <c r="F55" s="16" t="inlineStr">
        <is>
          <t>Diagram 1</t>
        </is>
      </c>
      <c r="G55" s="16" t="inlineStr">
        <is>
          <t>Session Token</t>
        </is>
      </c>
      <c r="H55" s="16" t="inlineStr">
        <is>
          <t>TMT/S1</t>
        </is>
      </c>
    </row>
    <row r="56" ht="16" customHeight="1">
      <c r="A56" s="16" t="inlineStr">
        <is>
          <t>TMT-S1-F017</t>
        </is>
      </c>
      <c r="B56" s="16" t="inlineStr">
        <is>
          <t>TMT</t>
        </is>
      </c>
      <c r="C56" s="16" t="inlineStr">
        <is>
          <t>S1</t>
        </is>
      </c>
      <c r="D56" s="16" t="inlineStr">
        <is>
          <t>transit_token</t>
        </is>
      </c>
      <c r="E56" s="17" t="inlineStr">
        <is>
          <t>Cross Site Scripting</t>
        </is>
      </c>
      <c r="F56" s="16" t="inlineStr">
        <is>
          <t>Diagram 1</t>
        </is>
      </c>
      <c r="G56" s="16" t="inlineStr">
        <is>
          <t>Session Token</t>
        </is>
      </c>
      <c r="H56" s="16" t="inlineStr">
        <is>
          <t>TMT/S1</t>
        </is>
      </c>
    </row>
    <row r="57" ht="16" customHeight="1">
      <c r="A57" s="16" t="inlineStr">
        <is>
          <t>TMT-S1-F018</t>
        </is>
      </c>
      <c r="B57" s="16" t="inlineStr">
        <is>
          <t>TMT</t>
        </is>
      </c>
      <c r="C57" s="16" t="inlineStr">
        <is>
          <t>S1</t>
        </is>
      </c>
      <c r="D57" s="16" t="inlineStr"/>
      <c r="E57" s="17" t="inlineStr">
        <is>
          <t>Elevation Using Impersonation</t>
        </is>
      </c>
      <c r="F57" s="16" t="inlineStr">
        <is>
          <t>Diagram 1</t>
        </is>
      </c>
      <c r="G57" s="16" t="inlineStr">
        <is>
          <t>Session Token</t>
        </is>
      </c>
      <c r="H57" s="16" t="inlineStr">
        <is>
          <t>TMT/S1</t>
        </is>
      </c>
    </row>
    <row r="58" ht="16" customHeight="1">
      <c r="A58" s="16" t="inlineStr">
        <is>
          <t>TMT-S1-F019</t>
        </is>
      </c>
      <c r="B58" s="16" t="inlineStr">
        <is>
          <t>TMT</t>
        </is>
      </c>
      <c r="C58" s="16" t="inlineStr">
        <is>
          <t>S1</t>
        </is>
      </c>
      <c r="D58" s="16" t="inlineStr"/>
      <c r="E58" s="17" t="inlineStr">
        <is>
          <t>P1 Web Frontend Interface Process Memory Tampered</t>
        </is>
      </c>
      <c r="F58" s="16" t="inlineStr">
        <is>
          <t>Diagram 1</t>
        </is>
      </c>
      <c r="G58" s="16" t="inlineStr">
        <is>
          <t>Authenticated Session Response</t>
        </is>
      </c>
      <c r="H58" s="16" t="inlineStr">
        <is>
          <t>TMT/S1</t>
        </is>
      </c>
    </row>
    <row r="59" ht="16" customHeight="1">
      <c r="A59" s="16" t="inlineStr">
        <is>
          <t>TMT-S1-F020</t>
        </is>
      </c>
      <c r="B59" s="16" t="inlineStr">
        <is>
          <t>TMT</t>
        </is>
      </c>
      <c r="C59" s="16" t="inlineStr">
        <is>
          <t>S1</t>
        </is>
      </c>
      <c r="D59" s="16" t="inlineStr"/>
      <c r="E59" s="17" t="inlineStr">
        <is>
          <t>Elevation Using Impersonation</t>
        </is>
      </c>
      <c r="F59" s="16" t="inlineStr">
        <is>
          <t>Diagram 1</t>
        </is>
      </c>
      <c r="G59" s="16" t="inlineStr">
        <is>
          <t>Authenticated Session Response</t>
        </is>
      </c>
      <c r="H59" s="16" t="inlineStr">
        <is>
          <t>TMT/S1</t>
        </is>
      </c>
    </row>
    <row r="60" ht="16" customHeight="1">
      <c r="A60" s="16" t="inlineStr">
        <is>
          <t>TMT-S1-F021</t>
        </is>
      </c>
      <c r="B60" s="16" t="inlineStr">
        <is>
          <t>TMT</t>
        </is>
      </c>
      <c r="C60" s="16" t="inlineStr">
        <is>
          <t>S1</t>
        </is>
      </c>
      <c r="D60" s="16" t="inlineStr"/>
      <c r="E60" s="17" t="inlineStr">
        <is>
          <t>Elevation Using Impersonation</t>
        </is>
      </c>
      <c r="F60" s="16" t="inlineStr">
        <is>
          <t>Diagram 1</t>
        </is>
      </c>
      <c r="G60" s="16" t="inlineStr">
        <is>
          <t>Chatbot Question</t>
        </is>
      </c>
      <c r="H60" s="16" t="inlineStr">
        <is>
          <t>TMT/S1</t>
        </is>
      </c>
    </row>
    <row r="61" ht="16" customHeight="1">
      <c r="A61" s="16" t="inlineStr">
        <is>
          <t>TMT-S1-F022</t>
        </is>
      </c>
      <c r="B61" s="16" t="inlineStr">
        <is>
          <t>TMT</t>
        </is>
      </c>
      <c r="C61" s="16" t="inlineStr">
        <is>
          <t>S1</t>
        </is>
      </c>
      <c r="D61" s="16" t="inlineStr"/>
      <c r="E61" s="17" t="inlineStr">
        <is>
          <t>EE1 End User (Browser) Process Memory Tampered</t>
        </is>
      </c>
      <c r="F61" s="16" t="inlineStr">
        <is>
          <t>Diagram 1</t>
        </is>
      </c>
      <c r="G61" s="16" t="inlineStr">
        <is>
          <t>Chatbot Question</t>
        </is>
      </c>
      <c r="H61" s="16" t="inlineStr">
        <is>
          <t>TMT/S1</t>
        </is>
      </c>
    </row>
    <row r="62" ht="16" customHeight="1">
      <c r="A62" s="16" t="inlineStr">
        <is>
          <t>TMT-S1-F023</t>
        </is>
      </c>
      <c r="B62" s="16" t="inlineStr">
        <is>
          <t>TMT</t>
        </is>
      </c>
      <c r="C62" s="16" t="inlineStr">
        <is>
          <t>S1</t>
        </is>
      </c>
      <c r="D62" s="16" t="inlineStr"/>
      <c r="E62" s="17" t="inlineStr">
        <is>
          <t>Potential Process Crash or Stop for EE1 End User (Browser)</t>
        </is>
      </c>
      <c r="F62" s="16" t="inlineStr">
        <is>
          <t>Diagram 1</t>
        </is>
      </c>
      <c r="G62" s="16" t="inlineStr">
        <is>
          <t>Chatbot Answer</t>
        </is>
      </c>
      <c r="H62" s="16" t="inlineStr">
        <is>
          <t>TMT/S1</t>
        </is>
      </c>
    </row>
    <row r="63" ht="16" customHeight="1">
      <c r="A63" s="16" t="inlineStr">
        <is>
          <t>TMT-S1-F024</t>
        </is>
      </c>
      <c r="B63" s="16" t="inlineStr">
        <is>
          <t>TMT</t>
        </is>
      </c>
      <c r="C63" s="16" t="inlineStr">
        <is>
          <t>S1</t>
        </is>
      </c>
      <c r="D63" s="16" t="inlineStr"/>
      <c r="E63" s="17" t="inlineStr">
        <is>
          <t>Data Flow Sniffing</t>
        </is>
      </c>
      <c r="F63" s="16" t="inlineStr">
        <is>
          <t>Diagram 1</t>
        </is>
      </c>
      <c r="G63" s="16" t="inlineStr">
        <is>
          <t>Chatbot Answer</t>
        </is>
      </c>
      <c r="H63" s="16" t="inlineStr">
        <is>
          <t>TMT/S1</t>
        </is>
      </c>
    </row>
    <row r="64" ht="16" customHeight="1">
      <c r="A64" s="16" t="inlineStr">
        <is>
          <t>TMT-S1-F025</t>
        </is>
      </c>
      <c r="B64" s="16" t="inlineStr">
        <is>
          <t>TMT</t>
        </is>
      </c>
      <c r="C64" s="16" t="inlineStr">
        <is>
          <t>S1</t>
        </is>
      </c>
      <c r="D64" s="16" t="inlineStr">
        <is>
          <t>repudiation</t>
        </is>
      </c>
      <c r="E64" s="17" t="inlineStr">
        <is>
          <t>Potential Data Repudiation by EE1 End User (Browser)</t>
        </is>
      </c>
      <c r="F64" s="16" t="inlineStr">
        <is>
          <t>Diagram 1</t>
        </is>
      </c>
      <c r="G64" s="16" t="inlineStr">
        <is>
          <t>Chatbot Answer</t>
        </is>
      </c>
      <c r="H64" s="16" t="inlineStr">
        <is>
          <t>TMT/S1</t>
        </is>
      </c>
    </row>
    <row r="65" ht="16" customHeight="1">
      <c r="A65" s="16" t="inlineStr">
        <is>
          <t>TMT-S1-F026</t>
        </is>
      </c>
      <c r="B65" s="16" t="inlineStr">
        <is>
          <t>TMT</t>
        </is>
      </c>
      <c r="C65" s="16" t="inlineStr">
        <is>
          <t>S1</t>
        </is>
      </c>
      <c r="D65" s="16" t="inlineStr"/>
      <c r="E65" s="17" t="inlineStr">
        <is>
          <t>P4 AI Authentication Assistant Process Memory Tampered</t>
        </is>
      </c>
      <c r="F65" s="16" t="inlineStr">
        <is>
          <t>Diagram 1</t>
        </is>
      </c>
      <c r="G65" s="16" t="inlineStr">
        <is>
          <t>Chatbot Answer</t>
        </is>
      </c>
      <c r="H65" s="16" t="inlineStr">
        <is>
          <t>TMT/S1</t>
        </is>
      </c>
    </row>
    <row r="66" ht="16" customHeight="1">
      <c r="A66" s="16" t="inlineStr">
        <is>
          <t>TMT-S1-F027</t>
        </is>
      </c>
      <c r="B66" s="16" t="inlineStr">
        <is>
          <t>TMT</t>
        </is>
      </c>
      <c r="C66" s="16" t="inlineStr">
        <is>
          <t>S1</t>
        </is>
      </c>
      <c r="D66" s="16" t="inlineStr"/>
      <c r="E66" s="17" t="inlineStr">
        <is>
          <t>Potential Lack of Input Validation for EE1 End User (Browser)</t>
        </is>
      </c>
      <c r="F66" s="16" t="inlineStr">
        <is>
          <t>Diagram 1</t>
        </is>
      </c>
      <c r="G66" s="16" t="inlineStr">
        <is>
          <t>Chatbot Answer</t>
        </is>
      </c>
      <c r="H66" s="16" t="inlineStr">
        <is>
          <t>TMT/S1</t>
        </is>
      </c>
    </row>
    <row r="67" ht="16" customHeight="1">
      <c r="A67" s="16" t="inlineStr">
        <is>
          <t>TMT-S1-F028</t>
        </is>
      </c>
      <c r="B67" s="16" t="inlineStr">
        <is>
          <t>TMT</t>
        </is>
      </c>
      <c r="C67" s="16" t="inlineStr">
        <is>
          <t>S1</t>
        </is>
      </c>
      <c r="D67" s="16" t="inlineStr"/>
      <c r="E67" s="17" t="inlineStr">
        <is>
          <t>Spoofing the EE1 End User (Browser) Process</t>
        </is>
      </c>
      <c r="F67" s="16" t="inlineStr">
        <is>
          <t>Diagram 1</t>
        </is>
      </c>
      <c r="G67" s="16" t="inlineStr">
        <is>
          <t>Chatbot Answer</t>
        </is>
      </c>
      <c r="H67" s="16" t="inlineStr">
        <is>
          <t>TMT/S1</t>
        </is>
      </c>
    </row>
    <row r="68" ht="16" customHeight="1">
      <c r="A68" s="16" t="inlineStr">
        <is>
          <t>TMT-S1-F029</t>
        </is>
      </c>
      <c r="B68" s="16" t="inlineStr">
        <is>
          <t>TMT</t>
        </is>
      </c>
      <c r="C68" s="16" t="inlineStr">
        <is>
          <t>S1</t>
        </is>
      </c>
      <c r="D68" s="16" t="inlineStr"/>
      <c r="E68" s="17" t="inlineStr">
        <is>
          <t>Spoofing the P4 AI Authentication Assistant Process</t>
        </is>
      </c>
      <c r="F68" s="16" t="inlineStr">
        <is>
          <t>Diagram 1</t>
        </is>
      </c>
      <c r="G68" s="16" t="inlineStr">
        <is>
          <t>Chatbot Answer</t>
        </is>
      </c>
      <c r="H68" s="16" t="inlineStr">
        <is>
          <t>TMT/S1</t>
        </is>
      </c>
    </row>
    <row r="69" ht="16" customHeight="1">
      <c r="A69" s="16" t="inlineStr">
        <is>
          <t>TMT-S1-F030</t>
        </is>
      </c>
      <c r="B69" s="16" t="inlineStr">
        <is>
          <t>TMT</t>
        </is>
      </c>
      <c r="C69" s="16" t="inlineStr">
        <is>
          <t>S1</t>
        </is>
      </c>
      <c r="D69" s="16" t="inlineStr"/>
      <c r="E69" s="17" t="inlineStr">
        <is>
          <t>Data Flow Chatbot Answer Is Potentially Interrupted</t>
        </is>
      </c>
      <c r="F69" s="16" t="inlineStr">
        <is>
          <t>Diagram 1</t>
        </is>
      </c>
      <c r="G69" s="16" t="inlineStr">
        <is>
          <t>Chatbot Answer</t>
        </is>
      </c>
      <c r="H69" s="16" t="inlineStr">
        <is>
          <t>TMT/S1</t>
        </is>
      </c>
    </row>
    <row r="70" ht="16" customHeight="1">
      <c r="A70" s="16" t="inlineStr">
        <is>
          <t>TMT-S1-F031</t>
        </is>
      </c>
      <c r="B70" s="16" t="inlineStr">
        <is>
          <t>TMT</t>
        </is>
      </c>
      <c r="C70" s="16" t="inlineStr">
        <is>
          <t>S1</t>
        </is>
      </c>
      <c r="D70" s="16" t="inlineStr"/>
      <c r="E70" s="17" t="inlineStr">
        <is>
          <t>Elevation Using Impersonation</t>
        </is>
      </c>
      <c r="F70" s="16" t="inlineStr">
        <is>
          <t>Diagram 1</t>
        </is>
      </c>
      <c r="G70" s="16" t="inlineStr">
        <is>
          <t>Chatbot Answer</t>
        </is>
      </c>
      <c r="H70" s="16" t="inlineStr">
        <is>
          <t>TMT/S1</t>
        </is>
      </c>
    </row>
    <row r="71" ht="16" customHeight="1">
      <c r="A71" s="16" t="inlineStr">
        <is>
          <t>TMT-S1-F032</t>
        </is>
      </c>
      <c r="B71" s="16" t="inlineStr">
        <is>
          <t>TMT</t>
        </is>
      </c>
      <c r="C71" s="16" t="inlineStr">
        <is>
          <t>S1</t>
        </is>
      </c>
      <c r="D71" s="16" t="inlineStr"/>
      <c r="E71" s="17" t="inlineStr">
        <is>
          <t>EE1 End User (Browser) May be Subject to Elevation of Privilege Using Remote Code Execution</t>
        </is>
      </c>
      <c r="F71" s="16" t="inlineStr">
        <is>
          <t>Diagram 1</t>
        </is>
      </c>
      <c r="G71" s="16" t="inlineStr">
        <is>
          <t>Chatbot Answer</t>
        </is>
      </c>
      <c r="H71" s="16" t="inlineStr">
        <is>
          <t>TMT/S1</t>
        </is>
      </c>
    </row>
    <row r="72" ht="16" customHeight="1">
      <c r="A72" s="16" t="inlineStr">
        <is>
          <t>TMT-S1-F033</t>
        </is>
      </c>
      <c r="B72" s="16" t="inlineStr">
        <is>
          <t>TMT</t>
        </is>
      </c>
      <c r="C72" s="16" t="inlineStr">
        <is>
          <t>S1</t>
        </is>
      </c>
      <c r="D72" s="16" t="inlineStr"/>
      <c r="E72" s="17" t="inlineStr">
        <is>
          <t>Elevation by Changing the Execution Flow in EE1 End User (Browser)</t>
        </is>
      </c>
      <c r="F72" s="16" t="inlineStr">
        <is>
          <t>Diagram 1</t>
        </is>
      </c>
      <c r="G72" s="16" t="inlineStr">
        <is>
          <t>Chatbot Answer</t>
        </is>
      </c>
      <c r="H72" s="16" t="inlineStr">
        <is>
          <t>TMT/S1</t>
        </is>
      </c>
    </row>
    <row r="73" ht="16" customHeight="1">
      <c r="A73" s="16" t="inlineStr">
        <is>
          <t>TMT-S1-F034</t>
        </is>
      </c>
      <c r="B73" s="16" t="inlineStr">
        <is>
          <t>TMT</t>
        </is>
      </c>
      <c r="C73" s="16" t="inlineStr">
        <is>
          <t>S1</t>
        </is>
      </c>
      <c r="D73" s="16" t="inlineStr"/>
      <c r="E73" s="17" t="inlineStr">
        <is>
          <t>P4 AI Authentication Assistant Process Memory Tampered</t>
        </is>
      </c>
      <c r="F73" s="16" t="inlineStr">
        <is>
          <t>Diagram 1</t>
        </is>
      </c>
      <c r="G73" s="16" t="inlineStr">
        <is>
          <t>Prompt Request</t>
        </is>
      </c>
      <c r="H73" s="16" t="inlineStr">
        <is>
          <t>TMT/S1</t>
        </is>
      </c>
    </row>
    <row r="74" ht="16" customHeight="1">
      <c r="A74" s="16" t="inlineStr">
        <is>
          <t>TMT-S1-F035</t>
        </is>
      </c>
      <c r="B74" s="16" t="inlineStr">
        <is>
          <t>TMT</t>
        </is>
      </c>
      <c r="C74" s="16" t="inlineStr">
        <is>
          <t>S1</t>
        </is>
      </c>
      <c r="D74" s="16" t="inlineStr"/>
      <c r="E74" s="17" t="inlineStr">
        <is>
          <t>Elevation Using Impersonation</t>
        </is>
      </c>
      <c r="F74" s="16" t="inlineStr">
        <is>
          <t>Diagram 1</t>
        </is>
      </c>
      <c r="G74" s="16" t="inlineStr">
        <is>
          <t>Prompt Request</t>
        </is>
      </c>
      <c r="H74" s="16" t="inlineStr">
        <is>
          <t>TMT/S1</t>
        </is>
      </c>
    </row>
    <row r="75" ht="16" customHeight="1">
      <c r="A75" s="16" t="inlineStr">
        <is>
          <t>TMT-S1-F036</t>
        </is>
      </c>
      <c r="B75" s="16" t="inlineStr">
        <is>
          <t>TMT</t>
        </is>
      </c>
      <c r="C75" s="16" t="inlineStr">
        <is>
          <t>S1</t>
        </is>
      </c>
      <c r="D75" s="16" t="inlineStr"/>
      <c r="E75" s="17" t="inlineStr">
        <is>
          <t>P5 LLM Integration Service Process Memory Tampered</t>
        </is>
      </c>
      <c r="F75" s="16" t="inlineStr">
        <is>
          <t>Diagram 1</t>
        </is>
      </c>
      <c r="G75" s="16" t="inlineStr">
        <is>
          <t>Processed AI Response</t>
        </is>
      </c>
      <c r="H75" s="16" t="inlineStr">
        <is>
          <t>TMT/S1</t>
        </is>
      </c>
    </row>
    <row r="76" ht="16" customHeight="1">
      <c r="A76" s="16" t="inlineStr">
        <is>
          <t>TMT-S1-F037</t>
        </is>
      </c>
      <c r="B76" s="16" t="inlineStr">
        <is>
          <t>TMT</t>
        </is>
      </c>
      <c r="C76" s="16" t="inlineStr">
        <is>
          <t>S1</t>
        </is>
      </c>
      <c r="D76" s="16" t="inlineStr"/>
      <c r="E76" s="17" t="inlineStr">
        <is>
          <t>Elevation Using Impersonation</t>
        </is>
      </c>
      <c r="F76" s="16" t="inlineStr">
        <is>
          <t>Diagram 1</t>
        </is>
      </c>
      <c r="G76" s="16" t="inlineStr">
        <is>
          <t>Processed AI Response</t>
        </is>
      </c>
      <c r="H76" s="16" t="inlineStr">
        <is>
          <t>TMT/S1</t>
        </is>
      </c>
    </row>
    <row r="77" ht="16" customHeight="1">
      <c r="A77" s="16" t="inlineStr">
        <is>
          <t>TMT-S1-F038</t>
        </is>
      </c>
      <c r="B77" s="16" t="inlineStr">
        <is>
          <t>TMT</t>
        </is>
      </c>
      <c r="C77" s="16" t="inlineStr">
        <is>
          <t>S1</t>
        </is>
      </c>
      <c r="D77" s="16" t="inlineStr">
        <is>
          <t>model_substitution</t>
        </is>
      </c>
      <c r="E77" s="17" t="inlineStr">
        <is>
          <t>Spoofing the EE2 External LLM Provider External Entity</t>
        </is>
      </c>
      <c r="F77" s="16" t="inlineStr">
        <is>
          <t>Diagram 1</t>
        </is>
      </c>
      <c r="G77" s="16" t="inlineStr">
        <is>
          <t>Generated LLM Response</t>
        </is>
      </c>
      <c r="H77" s="16" t="inlineStr">
        <is>
          <t>TMT/S1</t>
        </is>
      </c>
    </row>
    <row r="78" ht="16" customHeight="1">
      <c r="A78" s="16" t="inlineStr">
        <is>
          <t>TMT-S1-F039</t>
        </is>
      </c>
      <c r="B78" s="16" t="inlineStr">
        <is>
          <t>TMT</t>
        </is>
      </c>
      <c r="C78" s="16" t="inlineStr">
        <is>
          <t>S1</t>
        </is>
      </c>
      <c r="D78" s="16" t="inlineStr"/>
      <c r="E78" s="17" t="inlineStr">
        <is>
          <t>Elevation Using Impersonation</t>
        </is>
      </c>
      <c r="F78" s="16" t="inlineStr">
        <is>
          <t>Diagram 1</t>
        </is>
      </c>
      <c r="G78" s="16" t="inlineStr">
        <is>
          <t>Generated LLM Response</t>
        </is>
      </c>
      <c r="H78" s="16" t="inlineStr">
        <is>
          <t>TMT/S1</t>
        </is>
      </c>
    </row>
    <row r="79" ht="16" customHeight="1">
      <c r="A79" s="16" t="inlineStr">
        <is>
          <t>TMT-S1-F040</t>
        </is>
      </c>
      <c r="B79" s="16" t="inlineStr">
        <is>
          <t>TMT</t>
        </is>
      </c>
      <c r="C79" s="16" t="inlineStr">
        <is>
          <t>S1</t>
        </is>
      </c>
      <c r="D79" s="16" t="inlineStr"/>
      <c r="E79" s="17" t="inlineStr">
        <is>
          <t>Spoofing the EE1 End User (Browser) Process</t>
        </is>
      </c>
      <c r="F79" s="16" t="inlineStr">
        <is>
          <t>Diagram 1</t>
        </is>
      </c>
      <c r="G79" s="16" t="inlineStr">
        <is>
          <t>Chatbot Question</t>
        </is>
      </c>
      <c r="H79" s="16" t="inlineStr">
        <is>
          <t>TMT/S1</t>
        </is>
      </c>
    </row>
    <row r="80" ht="16" customHeight="1">
      <c r="A80" s="16" t="inlineStr">
        <is>
          <t>TMT-S1-F041</t>
        </is>
      </c>
      <c r="B80" s="16" t="inlineStr">
        <is>
          <t>TMT</t>
        </is>
      </c>
      <c r="C80" s="16" t="inlineStr">
        <is>
          <t>S1</t>
        </is>
      </c>
      <c r="D80" s="16" t="inlineStr"/>
      <c r="E80" s="17" t="inlineStr">
        <is>
          <t>Spoofing the P4 AI Authentication Assistant Process</t>
        </is>
      </c>
      <c r="F80" s="16" t="inlineStr">
        <is>
          <t>Diagram 1</t>
        </is>
      </c>
      <c r="G80" s="16" t="inlineStr">
        <is>
          <t>Chatbot Question</t>
        </is>
      </c>
      <c r="H80" s="16" t="inlineStr">
        <is>
          <t>TMT/S1</t>
        </is>
      </c>
    </row>
    <row r="81" ht="16" customHeight="1">
      <c r="A81" s="16" t="inlineStr">
        <is>
          <t>TMT-S1-F042</t>
        </is>
      </c>
      <c r="B81" s="16" t="inlineStr">
        <is>
          <t>TMT</t>
        </is>
      </c>
      <c r="C81" s="16" t="inlineStr">
        <is>
          <t>S1</t>
        </is>
      </c>
      <c r="D81" s="16" t="inlineStr">
        <is>
          <t>prompt_injection_direct</t>
        </is>
      </c>
      <c r="E81" s="17" t="inlineStr">
        <is>
          <t>Potential Lack of Input Validation for P4 AI Authentication Assistant</t>
        </is>
      </c>
      <c r="F81" s="16" t="inlineStr">
        <is>
          <t>Diagram 1</t>
        </is>
      </c>
      <c r="G81" s="16" t="inlineStr">
        <is>
          <t>Chatbot Question</t>
        </is>
      </c>
      <c r="H81" s="16" t="inlineStr">
        <is>
          <t>TMT/S1</t>
        </is>
      </c>
    </row>
    <row r="82" ht="16" customHeight="1">
      <c r="A82" s="16" t="inlineStr">
        <is>
          <t>TMT-S1-F043</t>
        </is>
      </c>
      <c r="B82" s="16" t="inlineStr">
        <is>
          <t>TMT</t>
        </is>
      </c>
      <c r="C82" s="16" t="inlineStr">
        <is>
          <t>S1</t>
        </is>
      </c>
      <c r="D82" s="16" t="inlineStr">
        <is>
          <t>repudiation</t>
        </is>
      </c>
      <c r="E82" s="17" t="inlineStr">
        <is>
          <t>Potential Data Repudiation by P4 AI Authentication Assistant</t>
        </is>
      </c>
      <c r="F82" s="16" t="inlineStr">
        <is>
          <t>Diagram 1</t>
        </is>
      </c>
      <c r="G82" s="16" t="inlineStr">
        <is>
          <t>Chatbot Question</t>
        </is>
      </c>
      <c r="H82" s="16" t="inlineStr">
        <is>
          <t>TMT/S1</t>
        </is>
      </c>
    </row>
    <row r="83" ht="16" customHeight="1">
      <c r="A83" s="16" t="inlineStr">
        <is>
          <t>TMT-S1-F044</t>
        </is>
      </c>
      <c r="B83" s="16" t="inlineStr">
        <is>
          <t>TMT</t>
        </is>
      </c>
      <c r="C83" s="16" t="inlineStr">
        <is>
          <t>S1</t>
        </is>
      </c>
      <c r="D83" s="16" t="inlineStr"/>
      <c r="E83" s="17" t="inlineStr">
        <is>
          <t>Data Flow Sniffing</t>
        </is>
      </c>
      <c r="F83" s="16" t="inlineStr">
        <is>
          <t>Diagram 1</t>
        </is>
      </c>
      <c r="G83" s="16" t="inlineStr">
        <is>
          <t>Chatbot Question</t>
        </is>
      </c>
      <c r="H83" s="16" t="inlineStr">
        <is>
          <t>TMT/S1</t>
        </is>
      </c>
    </row>
    <row r="84" ht="16" customHeight="1">
      <c r="A84" s="16" t="inlineStr">
        <is>
          <t>TMT-S1-F045</t>
        </is>
      </c>
      <c r="B84" s="16" t="inlineStr">
        <is>
          <t>TMT</t>
        </is>
      </c>
      <c r="C84" s="16" t="inlineStr">
        <is>
          <t>S1</t>
        </is>
      </c>
      <c r="D84" s="16" t="inlineStr"/>
      <c r="E84" s="17" t="inlineStr">
        <is>
          <t>Potential Process Crash or Stop for P4 AI Authentication Assistant</t>
        </is>
      </c>
      <c r="F84" s="16" t="inlineStr">
        <is>
          <t>Diagram 1</t>
        </is>
      </c>
      <c r="G84" s="16" t="inlineStr">
        <is>
          <t>Chatbot Question</t>
        </is>
      </c>
      <c r="H84" s="16" t="inlineStr">
        <is>
          <t>TMT/S1</t>
        </is>
      </c>
    </row>
    <row r="85" ht="16" customHeight="1">
      <c r="A85" s="16" t="inlineStr">
        <is>
          <t>TMT-S1-F046</t>
        </is>
      </c>
      <c r="B85" s="16" t="inlineStr">
        <is>
          <t>TMT</t>
        </is>
      </c>
      <c r="C85" s="16" t="inlineStr">
        <is>
          <t>S1</t>
        </is>
      </c>
      <c r="D85" s="16" t="inlineStr"/>
      <c r="E85" s="17" t="inlineStr">
        <is>
          <t>Data Flow Chatbot Question Is Potentially Interrupted</t>
        </is>
      </c>
      <c r="F85" s="16" t="inlineStr">
        <is>
          <t>Diagram 1</t>
        </is>
      </c>
      <c r="G85" s="16" t="inlineStr">
        <is>
          <t>Chatbot Question</t>
        </is>
      </c>
      <c r="H85" s="16" t="inlineStr">
        <is>
          <t>TMT/S1</t>
        </is>
      </c>
    </row>
    <row r="86" ht="16" customHeight="1">
      <c r="A86" s="16" t="inlineStr">
        <is>
          <t>TMT-S1-F047</t>
        </is>
      </c>
      <c r="B86" s="16" t="inlineStr">
        <is>
          <t>TMT</t>
        </is>
      </c>
      <c r="C86" s="16" t="inlineStr">
        <is>
          <t>S1</t>
        </is>
      </c>
      <c r="D86" s="16" t="inlineStr"/>
      <c r="E86" s="17" t="inlineStr">
        <is>
          <t>P4 AI Authentication Assistant May be Subject to Elevation of Privilege Using Remote Code Execution</t>
        </is>
      </c>
      <c r="F86" s="16" t="inlineStr">
        <is>
          <t>Diagram 1</t>
        </is>
      </c>
      <c r="G86" s="16" t="inlineStr">
        <is>
          <t>Chatbot Question</t>
        </is>
      </c>
      <c r="H86" s="16" t="inlineStr">
        <is>
          <t>TMT/S1</t>
        </is>
      </c>
    </row>
    <row r="87" ht="16" customHeight="1">
      <c r="A87" s="16" t="inlineStr">
        <is>
          <t>TMT-S1-F048</t>
        </is>
      </c>
      <c r="B87" s="16" t="inlineStr">
        <is>
          <t>TMT</t>
        </is>
      </c>
      <c r="C87" s="16" t="inlineStr">
        <is>
          <t>S1</t>
        </is>
      </c>
      <c r="D87" s="16" t="inlineStr"/>
      <c r="E87" s="17" t="inlineStr">
        <is>
          <t>Elevation by Changing the Execution Flow in P4 AI Authentication Assistant</t>
        </is>
      </c>
      <c r="F87" s="16" t="inlineStr">
        <is>
          <t>Diagram 1</t>
        </is>
      </c>
      <c r="G87" s="16" t="inlineStr">
        <is>
          <t>Chatbot Question</t>
        </is>
      </c>
      <c r="H87" s="16" t="inlineStr">
        <is>
          <t>TMT/S1</t>
        </is>
      </c>
    </row>
    <row r="88" ht="16" customHeight="1">
      <c r="A88" s="16" t="inlineStr">
        <is>
          <t>TMT-S1-F049</t>
        </is>
      </c>
      <c r="B88" s="16" t="inlineStr">
        <is>
          <t>TMT</t>
        </is>
      </c>
      <c r="C88" s="16" t="inlineStr">
        <is>
          <t>S1</t>
        </is>
      </c>
      <c r="D88" s="16" t="inlineStr"/>
      <c r="E88" s="17" t="inlineStr">
        <is>
          <t>Cross Site Request Forgery</t>
        </is>
      </c>
      <c r="F88" s="16" t="inlineStr">
        <is>
          <t>Diagram 1</t>
        </is>
      </c>
      <c r="G88" s="16" t="inlineStr">
        <is>
          <t>Chatbot Question</t>
        </is>
      </c>
      <c r="H88" s="16" t="inlineStr">
        <is>
          <t>TMT/S1</t>
        </is>
      </c>
    </row>
    <row r="89" ht="16" customHeight="1">
      <c r="A89" s="16" t="inlineStr">
        <is>
          <t>TMT-S1-F050</t>
        </is>
      </c>
      <c r="B89" s="16" t="inlineStr">
        <is>
          <t>TMT</t>
        </is>
      </c>
      <c r="C89" s="16" t="inlineStr">
        <is>
          <t>S1</t>
        </is>
      </c>
      <c r="D89" s="16" t="inlineStr"/>
      <c r="E89" s="17" t="inlineStr">
        <is>
          <t>Spoofing the P5 LLM Integration Service Process</t>
        </is>
      </c>
      <c r="F89" s="16" t="inlineStr">
        <is>
          <t>Diagram 1</t>
        </is>
      </c>
      <c r="G89" s="16" t="inlineStr">
        <is>
          <t>Generated LLM Response</t>
        </is>
      </c>
      <c r="H89" s="16" t="inlineStr">
        <is>
          <t>TMT/S1</t>
        </is>
      </c>
    </row>
    <row r="90" ht="16" customHeight="1">
      <c r="A90" s="16" t="inlineStr">
        <is>
          <t>TMT-S1-F051</t>
        </is>
      </c>
      <c r="B90" s="16" t="inlineStr">
        <is>
          <t>TMT</t>
        </is>
      </c>
      <c r="C90" s="16" t="inlineStr">
        <is>
          <t>S1</t>
        </is>
      </c>
      <c r="D90" s="16" t="inlineStr">
        <is>
          <t>unsafe_output</t>
        </is>
      </c>
      <c r="E90" s="17" t="inlineStr">
        <is>
          <t>Potential Lack of Input Validation for P5 LLM Integration Service</t>
        </is>
      </c>
      <c r="F90" s="16" t="inlineStr">
        <is>
          <t>Diagram 1</t>
        </is>
      </c>
      <c r="G90" s="16" t="inlineStr">
        <is>
          <t>Generated LLM Response</t>
        </is>
      </c>
      <c r="H90" s="16" t="inlineStr">
        <is>
          <t>TMT/S1</t>
        </is>
      </c>
    </row>
    <row r="91" ht="16" customHeight="1">
      <c r="A91" s="16" t="inlineStr">
        <is>
          <t>TMT-S1-F052</t>
        </is>
      </c>
      <c r="B91" s="16" t="inlineStr">
        <is>
          <t>TMT</t>
        </is>
      </c>
      <c r="C91" s="16" t="inlineStr">
        <is>
          <t>S1</t>
        </is>
      </c>
      <c r="D91" s="16" t="inlineStr">
        <is>
          <t>repudiation</t>
        </is>
      </c>
      <c r="E91" s="17" t="inlineStr">
        <is>
          <t>Potential Data Repudiation by P5 LLM Integration Service</t>
        </is>
      </c>
      <c r="F91" s="16" t="inlineStr">
        <is>
          <t>Diagram 1</t>
        </is>
      </c>
      <c r="G91" s="16" t="inlineStr">
        <is>
          <t>Generated LLM Response</t>
        </is>
      </c>
      <c r="H91" s="16" t="inlineStr">
        <is>
          <t>TMT/S1</t>
        </is>
      </c>
    </row>
    <row r="92" ht="16" customHeight="1">
      <c r="A92" s="16" t="inlineStr">
        <is>
          <t>TMT-S1-F053</t>
        </is>
      </c>
      <c r="B92" s="16" t="inlineStr">
        <is>
          <t>TMT</t>
        </is>
      </c>
      <c r="C92" s="16" t="inlineStr">
        <is>
          <t>S1</t>
        </is>
      </c>
      <c r="D92" s="16" t="inlineStr"/>
      <c r="E92" s="17" t="inlineStr">
        <is>
          <t>Data Flow Sniffing</t>
        </is>
      </c>
      <c r="F92" s="16" t="inlineStr">
        <is>
          <t>Diagram 1</t>
        </is>
      </c>
      <c r="G92" s="16" t="inlineStr">
        <is>
          <t>Generated LLM Response</t>
        </is>
      </c>
      <c r="H92" s="16" t="inlineStr">
        <is>
          <t>TMT/S1</t>
        </is>
      </c>
    </row>
    <row r="93" ht="16" customHeight="1">
      <c r="A93" s="16" t="inlineStr">
        <is>
          <t>TMT-S1-F054</t>
        </is>
      </c>
      <c r="B93" s="16" t="inlineStr">
        <is>
          <t>TMT</t>
        </is>
      </c>
      <c r="C93" s="16" t="inlineStr">
        <is>
          <t>S1</t>
        </is>
      </c>
      <c r="D93" s="16" t="inlineStr"/>
      <c r="E93" s="17" t="inlineStr">
        <is>
          <t>Potential Process Crash or Stop for P5 LLM Integration Service</t>
        </is>
      </c>
      <c r="F93" s="16" t="inlineStr">
        <is>
          <t>Diagram 1</t>
        </is>
      </c>
      <c r="G93" s="16" t="inlineStr">
        <is>
          <t>Generated LLM Response</t>
        </is>
      </c>
      <c r="H93" s="16" t="inlineStr">
        <is>
          <t>TMT/S1</t>
        </is>
      </c>
    </row>
    <row r="94" ht="16" customHeight="1">
      <c r="A94" s="16" t="inlineStr">
        <is>
          <t>TMT-S1-F055</t>
        </is>
      </c>
      <c r="B94" s="16" t="inlineStr">
        <is>
          <t>TMT</t>
        </is>
      </c>
      <c r="C94" s="16" t="inlineStr">
        <is>
          <t>S1</t>
        </is>
      </c>
      <c r="D94" s="16" t="inlineStr">
        <is>
          <t>llm_unavailable</t>
        </is>
      </c>
      <c r="E94" s="17" t="inlineStr">
        <is>
          <t>Data Flow Generated LLM Response Is Potentially Interrupted</t>
        </is>
      </c>
      <c r="F94" s="16" t="inlineStr">
        <is>
          <t>Diagram 1</t>
        </is>
      </c>
      <c r="G94" s="16" t="inlineStr">
        <is>
          <t>Generated LLM Response</t>
        </is>
      </c>
      <c r="H94" s="16" t="inlineStr">
        <is>
          <t>TMT/S1</t>
        </is>
      </c>
    </row>
    <row r="95" ht="16" customHeight="1">
      <c r="A95" s="16" t="inlineStr">
        <is>
          <t>TMT-S1-F056</t>
        </is>
      </c>
      <c r="B95" s="16" t="inlineStr">
        <is>
          <t>TMT</t>
        </is>
      </c>
      <c r="C95" s="16" t="inlineStr">
        <is>
          <t>S1</t>
        </is>
      </c>
      <c r="D95" s="16" t="inlineStr"/>
      <c r="E95" s="17" t="inlineStr">
        <is>
          <t>P5 LLM Integration Service May be Subject to Elevation of Privilege Using Remote Code Execution</t>
        </is>
      </c>
      <c r="F95" s="16" t="inlineStr">
        <is>
          <t>Diagram 1</t>
        </is>
      </c>
      <c r="G95" s="16" t="inlineStr">
        <is>
          <t>Generated LLM Response</t>
        </is>
      </c>
      <c r="H95" s="16" t="inlineStr">
        <is>
          <t>TMT/S1</t>
        </is>
      </c>
    </row>
    <row r="96" ht="16" customHeight="1">
      <c r="A96" s="16" t="inlineStr">
        <is>
          <t>TMT-S1-F057</t>
        </is>
      </c>
      <c r="B96" s="16" t="inlineStr">
        <is>
          <t>TMT</t>
        </is>
      </c>
      <c r="C96" s="16" t="inlineStr">
        <is>
          <t>S1</t>
        </is>
      </c>
      <c r="D96" s="16" t="inlineStr"/>
      <c r="E96" s="17" t="inlineStr">
        <is>
          <t>Elevation by Changing the Execution Flow in P5 LLM Integration Service</t>
        </is>
      </c>
      <c r="F96" s="16" t="inlineStr">
        <is>
          <t>Diagram 1</t>
        </is>
      </c>
      <c r="G96" s="16" t="inlineStr">
        <is>
          <t>Generated LLM Response</t>
        </is>
      </c>
      <c r="H96" s="16" t="inlineStr">
        <is>
          <t>TMT/S1</t>
        </is>
      </c>
    </row>
    <row r="97" ht="16" customHeight="1">
      <c r="A97" s="16" t="inlineStr">
        <is>
          <t>TMT-S1-F058</t>
        </is>
      </c>
      <c r="B97" s="16" t="inlineStr">
        <is>
          <t>TMT</t>
        </is>
      </c>
      <c r="C97" s="16" t="inlineStr">
        <is>
          <t>S1</t>
        </is>
      </c>
      <c r="D97" s="16" t="inlineStr"/>
      <c r="E97" s="17" t="inlineStr">
        <is>
          <t>Cross Site Request Forgery</t>
        </is>
      </c>
      <c r="F97" s="16" t="inlineStr">
        <is>
          <t>Diagram 1</t>
        </is>
      </c>
      <c r="G97" s="16" t="inlineStr">
        <is>
          <t>Generated LLM Response</t>
        </is>
      </c>
      <c r="H97" s="16" t="inlineStr">
        <is>
          <t>TMT/S1</t>
        </is>
      </c>
    </row>
    <row r="98" ht="16" customHeight="1">
      <c r="A98" s="16" t="inlineStr">
        <is>
          <t>TMT-S1-F059</t>
        </is>
      </c>
      <c r="B98" s="16" t="inlineStr">
        <is>
          <t>TMT</t>
        </is>
      </c>
      <c r="C98" s="16" t="inlineStr">
        <is>
          <t>S1</t>
        </is>
      </c>
      <c r="D98" s="16" t="inlineStr">
        <is>
          <t>llm_unavailable</t>
        </is>
      </c>
      <c r="E98" s="17" t="inlineStr">
        <is>
          <t>Data Flow Prompt + Approved Context Is Potentially Interrupted</t>
        </is>
      </c>
      <c r="F98" s="16" t="inlineStr">
        <is>
          <t>Diagram 1</t>
        </is>
      </c>
      <c r="G98" s="16" t="inlineStr">
        <is>
          <t>Prompt + Approved Context</t>
        </is>
      </c>
      <c r="H98" s="16" t="inlineStr">
        <is>
          <t>TMT/S1</t>
        </is>
      </c>
    </row>
    <row r="99" ht="16" customHeight="1">
      <c r="A99" s="16" t="inlineStr">
        <is>
          <t>TMT-S1-F060</t>
        </is>
      </c>
      <c r="B99" s="16" t="inlineStr">
        <is>
          <t>TMT</t>
        </is>
      </c>
      <c r="C99" s="16" t="inlineStr">
        <is>
          <t>S1</t>
        </is>
      </c>
      <c r="D99" s="16" t="inlineStr"/>
      <c r="E99" s="17" t="inlineStr">
        <is>
          <t>External Entity EE2 External LLM Provider Potentially Denies Receiving Data</t>
        </is>
      </c>
      <c r="F99" s="16" t="inlineStr">
        <is>
          <t>Diagram 1</t>
        </is>
      </c>
      <c r="G99" s="16" t="inlineStr">
        <is>
          <t>Prompt + Approved Context</t>
        </is>
      </c>
      <c r="H99" s="16" t="inlineStr">
        <is>
          <t>TMT/S1</t>
        </is>
      </c>
    </row>
    <row r="100" ht="16" customHeight="1">
      <c r="A100" s="16" t="inlineStr">
        <is>
          <t>TMT-S1-F061</t>
        </is>
      </c>
      <c r="B100" s="16" t="inlineStr">
        <is>
          <t>TMT</t>
        </is>
      </c>
      <c r="C100" s="16" t="inlineStr">
        <is>
          <t>S1</t>
        </is>
      </c>
      <c r="D100" s="16" t="inlineStr">
        <is>
          <t>model_substitution</t>
        </is>
      </c>
      <c r="E100" s="17" t="inlineStr">
        <is>
          <t>Spoofing of the EE2 External LLM Provider External Destination Entity</t>
        </is>
      </c>
      <c r="F100" s="16" t="inlineStr">
        <is>
          <t>Diagram 1</t>
        </is>
      </c>
      <c r="G100" s="16" t="inlineStr">
        <is>
          <t>Prompt + Approved Context</t>
        </is>
      </c>
      <c r="H100" s="16" t="inlineStr">
        <is>
          <t>TMT/S1</t>
        </is>
      </c>
    </row>
    <row r="101" ht="16" customHeight="1">
      <c r="A101" s="16" t="inlineStr">
        <is>
          <t>TMT-S1-F062</t>
        </is>
      </c>
      <c r="B101" s="16" t="inlineStr">
        <is>
          <t>TMT</t>
        </is>
      </c>
      <c r="C101" s="16" t="inlineStr">
        <is>
          <t>S1</t>
        </is>
      </c>
      <c r="D101" s="16" t="inlineStr"/>
      <c r="E101" s="17" t="inlineStr">
        <is>
          <t>Potential Process Crash or Stop for EE1 End User (Browser)</t>
        </is>
      </c>
      <c r="F101" s="16" t="inlineStr">
        <is>
          <t>Diagram 1</t>
        </is>
      </c>
      <c r="G101" s="16" t="inlineStr">
        <is>
          <t>Authenticated Session Response</t>
        </is>
      </c>
      <c r="H101" s="16" t="inlineStr">
        <is>
          <t>TMT/S1</t>
        </is>
      </c>
    </row>
    <row r="102" ht="16" customHeight="1">
      <c r="A102" s="16" t="inlineStr">
        <is>
          <t>TMT-S1-F063</t>
        </is>
      </c>
      <c r="B102" s="16" t="inlineStr">
        <is>
          <t>TMT</t>
        </is>
      </c>
      <c r="C102" s="16" t="inlineStr">
        <is>
          <t>S1</t>
        </is>
      </c>
      <c r="D102" s="16" t="inlineStr">
        <is>
          <t>transit_token</t>
        </is>
      </c>
      <c r="E102" s="17" t="inlineStr">
        <is>
          <t>Data Flow Sniffing</t>
        </is>
      </c>
      <c r="F102" s="16" t="inlineStr">
        <is>
          <t>Diagram 1</t>
        </is>
      </c>
      <c r="G102" s="16" t="inlineStr">
        <is>
          <t>Authenticated Session Response</t>
        </is>
      </c>
      <c r="H102" s="16" t="inlineStr">
        <is>
          <t>TMT/S1</t>
        </is>
      </c>
    </row>
    <row r="103" ht="16" customHeight="1">
      <c r="A103" s="16" t="inlineStr">
        <is>
          <t>TMT-S1-F064</t>
        </is>
      </c>
      <c r="B103" s="16" t="inlineStr">
        <is>
          <t>TMT</t>
        </is>
      </c>
      <c r="C103" s="16" t="inlineStr">
        <is>
          <t>S1</t>
        </is>
      </c>
      <c r="D103" s="16" t="inlineStr">
        <is>
          <t>repudiation</t>
        </is>
      </c>
      <c r="E103" s="17" t="inlineStr">
        <is>
          <t>Potential Data Repudiation by EE1 End User (Browser)</t>
        </is>
      </c>
      <c r="F103" s="16" t="inlineStr">
        <is>
          <t>Diagram 1</t>
        </is>
      </c>
      <c r="G103" s="16" t="inlineStr">
        <is>
          <t>Authenticated Session Response</t>
        </is>
      </c>
      <c r="H103" s="16" t="inlineStr">
        <is>
          <t>TMT/S1</t>
        </is>
      </c>
    </row>
    <row r="104" ht="16" customHeight="1">
      <c r="A104" s="16" t="inlineStr">
        <is>
          <t>TMT-S1-F065</t>
        </is>
      </c>
      <c r="B104" s="16" t="inlineStr">
        <is>
          <t>TMT</t>
        </is>
      </c>
      <c r="C104" s="16" t="inlineStr">
        <is>
          <t>S1</t>
        </is>
      </c>
      <c r="D104" s="16" t="inlineStr"/>
      <c r="E104" s="17" t="inlineStr">
        <is>
          <t>Potential Lack of Input Validation for EE1 End User (Browser)</t>
        </is>
      </c>
      <c r="F104" s="16" t="inlineStr">
        <is>
          <t>Diagram 1</t>
        </is>
      </c>
      <c r="G104" s="16" t="inlineStr">
        <is>
          <t>Authenticated Session Response</t>
        </is>
      </c>
      <c r="H104" s="16" t="inlineStr">
        <is>
          <t>TMT/S1</t>
        </is>
      </c>
    </row>
    <row r="105" ht="16" customHeight="1">
      <c r="A105" s="16" t="inlineStr">
        <is>
          <t>TMT-S1-F066</t>
        </is>
      </c>
      <c r="B105" s="16" t="inlineStr">
        <is>
          <t>TMT</t>
        </is>
      </c>
      <c r="C105" s="16" t="inlineStr">
        <is>
          <t>S1</t>
        </is>
      </c>
      <c r="D105" s="16" t="inlineStr"/>
      <c r="E105" s="17" t="inlineStr">
        <is>
          <t>Spoofing the EE1 End User (Browser) Process</t>
        </is>
      </c>
      <c r="F105" s="16" t="inlineStr">
        <is>
          <t>Diagram 1</t>
        </is>
      </c>
      <c r="G105" s="16" t="inlineStr">
        <is>
          <t>Authenticated Session Response</t>
        </is>
      </c>
      <c r="H105" s="16" t="inlineStr">
        <is>
          <t>TMT/S1</t>
        </is>
      </c>
    </row>
    <row r="106" ht="16" customHeight="1">
      <c r="A106" s="16" t="inlineStr">
        <is>
          <t>TMT-S1-F067</t>
        </is>
      </c>
      <c r="B106" s="16" t="inlineStr">
        <is>
          <t>TMT</t>
        </is>
      </c>
      <c r="C106" s="16" t="inlineStr">
        <is>
          <t>S1</t>
        </is>
      </c>
      <c r="D106" s="16" t="inlineStr"/>
      <c r="E106" s="17" t="inlineStr">
        <is>
          <t>Spoofing the P1 Web Frontend Interface Process</t>
        </is>
      </c>
      <c r="F106" s="16" t="inlineStr">
        <is>
          <t>Diagram 1</t>
        </is>
      </c>
      <c r="G106" s="16" t="inlineStr">
        <is>
          <t>Authenticated Session Response</t>
        </is>
      </c>
      <c r="H106" s="16" t="inlineStr">
        <is>
          <t>TMT/S1</t>
        </is>
      </c>
    </row>
    <row r="107" ht="16" customHeight="1">
      <c r="A107" s="16" t="inlineStr">
        <is>
          <t>TMT-S1-F068</t>
        </is>
      </c>
      <c r="B107" s="16" t="inlineStr">
        <is>
          <t>TMT</t>
        </is>
      </c>
      <c r="C107" s="16" t="inlineStr">
        <is>
          <t>S1</t>
        </is>
      </c>
      <c r="D107" s="16" t="inlineStr"/>
      <c r="E107" s="17" t="inlineStr">
        <is>
          <t>Cross Site Request Forgery</t>
        </is>
      </c>
      <c r="F107" s="16" t="inlineStr">
        <is>
          <t>Diagram 1</t>
        </is>
      </c>
      <c r="G107" s="16" t="inlineStr">
        <is>
          <t>Registration/Login Credentials</t>
        </is>
      </c>
      <c r="H107" s="16" t="inlineStr">
        <is>
          <t>TMT/S1</t>
        </is>
      </c>
    </row>
    <row r="108" ht="16" customHeight="1">
      <c r="A108" s="16" t="inlineStr">
        <is>
          <t>TMT-S1-F069</t>
        </is>
      </c>
      <c r="B108" s="16" t="inlineStr">
        <is>
          <t>TMT</t>
        </is>
      </c>
      <c r="C108" s="16" t="inlineStr">
        <is>
          <t>S1</t>
        </is>
      </c>
      <c r="D108" s="16" t="inlineStr"/>
      <c r="E108" s="17" t="inlineStr">
        <is>
          <t>Elevation by Changing the Execution Flow in P1 Web Frontend Interface</t>
        </is>
      </c>
      <c r="F108" s="16" t="inlineStr">
        <is>
          <t>Diagram 1</t>
        </is>
      </c>
      <c r="G108" s="16" t="inlineStr">
        <is>
          <t>Registration/Login Credentials</t>
        </is>
      </c>
      <c r="H108" s="16" t="inlineStr">
        <is>
          <t>TMT/S1</t>
        </is>
      </c>
    </row>
    <row r="109" ht="16" customHeight="1">
      <c r="A109" s="16" t="inlineStr">
        <is>
          <t>TMT-S1-F070</t>
        </is>
      </c>
      <c r="B109" s="16" t="inlineStr">
        <is>
          <t>TMT</t>
        </is>
      </c>
      <c r="C109" s="16" t="inlineStr">
        <is>
          <t>S1</t>
        </is>
      </c>
      <c r="D109" s="16" t="inlineStr"/>
      <c r="E109" s="17" t="inlineStr">
        <is>
          <t>P1 Web Frontend Interface May be Subject to Elevation of Privilege Using Remote Code Execution</t>
        </is>
      </c>
      <c r="F109" s="16" t="inlineStr">
        <is>
          <t>Diagram 1</t>
        </is>
      </c>
      <c r="G109" s="16" t="inlineStr">
        <is>
          <t>Registration/Login Credentials</t>
        </is>
      </c>
      <c r="H109" s="16" t="inlineStr">
        <is>
          <t>TMT/S1</t>
        </is>
      </c>
    </row>
    <row r="110" ht="16" customHeight="1">
      <c r="A110" s="16" t="inlineStr">
        <is>
          <t>TMT-S1-F071</t>
        </is>
      </c>
      <c r="B110" s="16" t="inlineStr">
        <is>
          <t>TMT</t>
        </is>
      </c>
      <c r="C110" s="16" t="inlineStr">
        <is>
          <t>S1</t>
        </is>
      </c>
      <c r="D110" s="16" t="inlineStr">
        <is>
          <t>dos_service</t>
        </is>
      </c>
      <c r="E110" s="17" t="inlineStr">
        <is>
          <t>Data Flow Registration/Login Credentials Is Potentially Interrupted</t>
        </is>
      </c>
      <c r="F110" s="16" t="inlineStr">
        <is>
          <t>Diagram 1</t>
        </is>
      </c>
      <c r="G110" s="16" t="inlineStr">
        <is>
          <t>Registration/Login Credentials</t>
        </is>
      </c>
      <c r="H110" s="16" t="inlineStr">
        <is>
          <t>TMT/S1</t>
        </is>
      </c>
    </row>
    <row r="111" ht="16" customHeight="1">
      <c r="A111" s="16" t="inlineStr">
        <is>
          <t>TMT-S1-F072</t>
        </is>
      </c>
      <c r="B111" s="16" t="inlineStr">
        <is>
          <t>TMT</t>
        </is>
      </c>
      <c r="C111" s="16" t="inlineStr">
        <is>
          <t>S1</t>
        </is>
      </c>
      <c r="D111" s="16" t="inlineStr"/>
      <c r="E111" s="17" t="inlineStr">
        <is>
          <t>Potential Process Crash or Stop for P1 Web Frontend Interface</t>
        </is>
      </c>
      <c r="F111" s="16" t="inlineStr">
        <is>
          <t>Diagram 1</t>
        </is>
      </c>
      <c r="G111" s="16" t="inlineStr">
        <is>
          <t>Registration/Login Credentials</t>
        </is>
      </c>
      <c r="H111" s="16" t="inlineStr">
        <is>
          <t>TMT/S1</t>
        </is>
      </c>
    </row>
    <row r="112" ht="16" customHeight="1">
      <c r="A112" s="16" t="inlineStr">
        <is>
          <t>TMT-S1-F073</t>
        </is>
      </c>
      <c r="B112" s="16" t="inlineStr">
        <is>
          <t>TMT</t>
        </is>
      </c>
      <c r="C112" s="16" t="inlineStr">
        <is>
          <t>S1</t>
        </is>
      </c>
      <c r="D112" s="16" t="inlineStr">
        <is>
          <t>repudiation</t>
        </is>
      </c>
      <c r="E112" s="17" t="inlineStr">
        <is>
          <t>Potential Data Repudiation by P1 Web Frontend Interface</t>
        </is>
      </c>
      <c r="F112" s="16" t="inlineStr">
        <is>
          <t>Diagram 1</t>
        </is>
      </c>
      <c r="G112" s="16" t="inlineStr">
        <is>
          <t>Registration/Login Credentials</t>
        </is>
      </c>
      <c r="H112" s="16" t="inlineStr">
        <is>
          <t>TMT/S1</t>
        </is>
      </c>
    </row>
    <row r="113" ht="16" customHeight="1">
      <c r="A113" s="16" t="inlineStr">
        <is>
          <t>TMT-S1-F074</t>
        </is>
      </c>
      <c r="B113" s="16" t="inlineStr">
        <is>
          <t>TMT</t>
        </is>
      </c>
      <c r="C113" s="16" t="inlineStr">
        <is>
          <t>S1</t>
        </is>
      </c>
      <c r="D113" s="16" t="inlineStr"/>
      <c r="E113" s="17" t="inlineStr">
        <is>
          <t>Spoofing the EE1 End User (Browser) Process</t>
        </is>
      </c>
      <c r="F113" s="16" t="inlineStr">
        <is>
          <t>Diagram 1</t>
        </is>
      </c>
      <c r="G113" s="16" t="inlineStr">
        <is>
          <t>Registration/Login Credentials</t>
        </is>
      </c>
      <c r="H113" s="16" t="inlineStr">
        <is>
          <t>TMT/S1</t>
        </is>
      </c>
    </row>
    <row r="114" ht="16" customHeight="1">
      <c r="A114" s="16" t="inlineStr">
        <is>
          <t>TMT-S1-F075</t>
        </is>
      </c>
      <c r="B114" s="16" t="inlineStr">
        <is>
          <t>TMT</t>
        </is>
      </c>
      <c r="C114" s="16" t="inlineStr">
        <is>
          <t>S1</t>
        </is>
      </c>
      <c r="D114" s="16" t="inlineStr"/>
      <c r="E114" s="17" t="inlineStr">
        <is>
          <t>Data Flow Authenticated Session Response Is Potentially Interrupted</t>
        </is>
      </c>
      <c r="F114" s="16" t="inlineStr">
        <is>
          <t>Diagram 1</t>
        </is>
      </c>
      <c r="G114" s="16" t="inlineStr">
        <is>
          <t>Authenticated Session Response</t>
        </is>
      </c>
      <c r="H114" s="16" t="inlineStr">
        <is>
          <t>TMT/S1</t>
        </is>
      </c>
    </row>
    <row r="115" ht="16" customHeight="1">
      <c r="A115" s="16" t="inlineStr">
        <is>
          <t>TMT-S1-F076</t>
        </is>
      </c>
      <c r="B115" s="16" t="inlineStr">
        <is>
          <t>TMT</t>
        </is>
      </c>
      <c r="C115" s="16" t="inlineStr">
        <is>
          <t>S1</t>
        </is>
      </c>
      <c r="D115" s="16" t="inlineStr"/>
      <c r="E115" s="17" t="inlineStr">
        <is>
          <t>EE1 End User (Browser) May be Subject to Elevation of Privilege Using Remote Code Execution</t>
        </is>
      </c>
      <c r="F115" s="16" t="inlineStr">
        <is>
          <t>Diagram 1</t>
        </is>
      </c>
      <c r="G115" s="16" t="inlineStr">
        <is>
          <t>Authenticated Session Response</t>
        </is>
      </c>
      <c r="H115" s="16" t="inlineStr">
        <is>
          <t>TMT/S1</t>
        </is>
      </c>
    </row>
    <row r="116" ht="16" customHeight="1">
      <c r="A116" s="16" t="inlineStr">
        <is>
          <t>TMT-S1-F077</t>
        </is>
      </c>
      <c r="B116" s="16" t="inlineStr">
        <is>
          <t>TMT</t>
        </is>
      </c>
      <c r="C116" s="16" t="inlineStr">
        <is>
          <t>S1</t>
        </is>
      </c>
      <c r="D116" s="16" t="inlineStr"/>
      <c r="E116" s="17" t="inlineStr">
        <is>
          <t>Elevation by Changing the Execution Flow in EE1 End User (Browser)</t>
        </is>
      </c>
      <c r="F116" s="16" t="inlineStr">
        <is>
          <t>Diagram 1</t>
        </is>
      </c>
      <c r="G116" s="16" t="inlineStr">
        <is>
          <t>Authenticated Session Response</t>
        </is>
      </c>
      <c r="H116" s="16" t="inlineStr">
        <is>
          <t>TMT/S1</t>
        </is>
      </c>
    </row>
    <row r="117" ht="16" customHeight="1">
      <c r="A117" s="16" t="inlineStr">
        <is>
          <t>TMT-S1-F078</t>
        </is>
      </c>
      <c r="B117" s="16" t="inlineStr">
        <is>
          <t>TMT</t>
        </is>
      </c>
      <c r="C117" s="16" t="inlineStr">
        <is>
          <t>S1</t>
        </is>
      </c>
      <c r="D117" s="16" t="inlineStr"/>
      <c r="E117" s="17" t="inlineStr">
        <is>
          <t>Data Flow Sniffing</t>
        </is>
      </c>
      <c r="F117" s="16" t="inlineStr">
        <is>
          <t>Diagram 1</t>
        </is>
      </c>
      <c r="G117" s="16" t="inlineStr">
        <is>
          <t>Prompt Request</t>
        </is>
      </c>
      <c r="H117" s="16" t="inlineStr">
        <is>
          <t>TMT/S1</t>
        </is>
      </c>
    </row>
    <row r="118" ht="16" customHeight="1">
      <c r="A118" s="16" t="inlineStr">
        <is>
          <t>TMT-S1-F079</t>
        </is>
      </c>
      <c r="B118" s="16" t="inlineStr">
        <is>
          <t>TMT</t>
        </is>
      </c>
      <c r="C118" s="16" t="inlineStr">
        <is>
          <t>S1</t>
        </is>
      </c>
      <c r="D118" s="16" t="inlineStr">
        <is>
          <t>repudiation</t>
        </is>
      </c>
      <c r="E118" s="17" t="inlineStr">
        <is>
          <t>Potential Data Repudiation by P5 LLM Integration Service</t>
        </is>
      </c>
      <c r="F118" s="16" t="inlineStr">
        <is>
          <t>Diagram 1</t>
        </is>
      </c>
      <c r="G118" s="16" t="inlineStr">
        <is>
          <t>Prompt Request</t>
        </is>
      </c>
      <c r="H118" s="16" t="inlineStr">
        <is>
          <t>TMT/S1</t>
        </is>
      </c>
    </row>
    <row r="119" ht="16" customHeight="1">
      <c r="A119" s="16" t="inlineStr">
        <is>
          <t>TMT-S1-F080</t>
        </is>
      </c>
      <c r="B119" s="16" t="inlineStr">
        <is>
          <t>TMT</t>
        </is>
      </c>
      <c r="C119" s="16" t="inlineStr">
        <is>
          <t>S1</t>
        </is>
      </c>
      <c r="D119" s="16" t="inlineStr"/>
      <c r="E119" s="17" t="inlineStr">
        <is>
          <t>Potential Lack of Input Validation for P5 LLM Integration Service</t>
        </is>
      </c>
      <c r="F119" s="16" t="inlineStr">
        <is>
          <t>Diagram 1</t>
        </is>
      </c>
      <c r="G119" s="16" t="inlineStr">
        <is>
          <t>Prompt Request</t>
        </is>
      </c>
      <c r="H119" s="16" t="inlineStr">
        <is>
          <t>TMT/S1</t>
        </is>
      </c>
    </row>
    <row r="120" ht="16" customHeight="1">
      <c r="A120" s="16" t="inlineStr">
        <is>
          <t>TMT-S1-F081</t>
        </is>
      </c>
      <c r="B120" s="16" t="inlineStr">
        <is>
          <t>TMT</t>
        </is>
      </c>
      <c r="C120" s="16" t="inlineStr">
        <is>
          <t>S1</t>
        </is>
      </c>
      <c r="D120" s="16" t="inlineStr"/>
      <c r="E120" s="17" t="inlineStr">
        <is>
          <t>Spoofing the P5 LLM Integration Service Process</t>
        </is>
      </c>
      <c r="F120" s="16" t="inlineStr">
        <is>
          <t>Diagram 1</t>
        </is>
      </c>
      <c r="G120" s="16" t="inlineStr">
        <is>
          <t>Prompt Request</t>
        </is>
      </c>
      <c r="H120" s="16" t="inlineStr">
        <is>
          <t>TMT/S1</t>
        </is>
      </c>
    </row>
    <row r="121" ht="16" customHeight="1">
      <c r="A121" s="16" t="inlineStr">
        <is>
          <t>TMT-S1-F082</t>
        </is>
      </c>
      <c r="B121" s="16" t="inlineStr">
        <is>
          <t>TMT</t>
        </is>
      </c>
      <c r="C121" s="16" t="inlineStr">
        <is>
          <t>S1</t>
        </is>
      </c>
      <c r="D121" s="16" t="inlineStr"/>
      <c r="E121" s="17" t="inlineStr">
        <is>
          <t>Spoofing the P4 AI Authentication Assistant Process</t>
        </is>
      </c>
      <c r="F121" s="16" t="inlineStr">
        <is>
          <t>Diagram 1</t>
        </is>
      </c>
      <c r="G121" s="16" t="inlineStr">
        <is>
          <t>Prompt Request</t>
        </is>
      </c>
      <c r="H121" s="16" t="inlineStr">
        <is>
          <t>TMT/S1</t>
        </is>
      </c>
    </row>
    <row r="122" ht="16" customHeight="1">
      <c r="A122" s="16" t="inlineStr">
        <is>
          <t>TMT-S1-F083</t>
        </is>
      </c>
      <c r="B122" s="16" t="inlineStr">
        <is>
          <t>TMT</t>
        </is>
      </c>
      <c r="C122" s="16" t="inlineStr">
        <is>
          <t>S1</t>
        </is>
      </c>
      <c r="D122" s="16" t="inlineStr"/>
      <c r="E122" s="17" t="inlineStr">
        <is>
          <t>Potential Process Crash or Stop for P5 LLM Integration Service</t>
        </is>
      </c>
      <c r="F122" s="16" t="inlineStr">
        <is>
          <t>Diagram 1</t>
        </is>
      </c>
      <c r="G122" s="16" t="inlineStr">
        <is>
          <t>Prompt Request</t>
        </is>
      </c>
      <c r="H122" s="16" t="inlineStr">
        <is>
          <t>TMT/S1</t>
        </is>
      </c>
    </row>
    <row r="123" ht="16" customHeight="1">
      <c r="A123" s="16" t="inlineStr">
        <is>
          <t>TMT-S1-F084</t>
        </is>
      </c>
      <c r="B123" s="16" t="inlineStr">
        <is>
          <t>TMT</t>
        </is>
      </c>
      <c r="C123" s="16" t="inlineStr">
        <is>
          <t>S1</t>
        </is>
      </c>
      <c r="D123" s="16" t="inlineStr">
        <is>
          <t>llm_unavailable</t>
        </is>
      </c>
      <c r="E123" s="17" t="inlineStr">
        <is>
          <t>Data Flow Prompt Request Is Potentially Interrupted</t>
        </is>
      </c>
      <c r="F123" s="16" t="inlineStr">
        <is>
          <t>Diagram 1</t>
        </is>
      </c>
      <c r="G123" s="16" t="inlineStr">
        <is>
          <t>Prompt Request</t>
        </is>
      </c>
      <c r="H123" s="16" t="inlineStr">
        <is>
          <t>TMT/S1</t>
        </is>
      </c>
    </row>
    <row r="124" ht="16" customHeight="1">
      <c r="A124" s="16" t="inlineStr">
        <is>
          <t>TMT-S1-F085</t>
        </is>
      </c>
      <c r="B124" s="16" t="inlineStr">
        <is>
          <t>TMT</t>
        </is>
      </c>
      <c r="C124" s="16" t="inlineStr">
        <is>
          <t>S1</t>
        </is>
      </c>
      <c r="D124" s="16" t="inlineStr"/>
      <c r="E124" s="17" t="inlineStr">
        <is>
          <t>P5 LLM Integration Service May be Subject to Elevation of Privilege Using Remote Code Execution</t>
        </is>
      </c>
      <c r="F124" s="16" t="inlineStr">
        <is>
          <t>Diagram 1</t>
        </is>
      </c>
      <c r="G124" s="16" t="inlineStr">
        <is>
          <t>Prompt Request</t>
        </is>
      </c>
      <c r="H124" s="16" t="inlineStr">
        <is>
          <t>TMT/S1</t>
        </is>
      </c>
    </row>
    <row r="125" ht="16" customHeight="1">
      <c r="A125" s="16" t="inlineStr">
        <is>
          <t>TMT-S1-F086</t>
        </is>
      </c>
      <c r="B125" s="16" t="inlineStr">
        <is>
          <t>TMT</t>
        </is>
      </c>
      <c r="C125" s="16" t="inlineStr">
        <is>
          <t>S1</t>
        </is>
      </c>
      <c r="D125" s="16" t="inlineStr"/>
      <c r="E125" s="17" t="inlineStr">
        <is>
          <t>Elevation by Changing the Execution Flow in P5 LLM Integration Service</t>
        </is>
      </c>
      <c r="F125" s="16" t="inlineStr">
        <is>
          <t>Diagram 1</t>
        </is>
      </c>
      <c r="G125" s="16" t="inlineStr">
        <is>
          <t>Prompt Request</t>
        </is>
      </c>
      <c r="H125" s="16" t="inlineStr">
        <is>
          <t>TMT/S1</t>
        </is>
      </c>
    </row>
    <row r="126" ht="16" customHeight="1">
      <c r="A126" s="16" t="inlineStr">
        <is>
          <t>TMT-S1-F087</t>
        </is>
      </c>
      <c r="B126" s="16" t="inlineStr">
        <is>
          <t>TMT</t>
        </is>
      </c>
      <c r="C126" s="16" t="inlineStr">
        <is>
          <t>S1</t>
        </is>
      </c>
      <c r="D126" s="16" t="inlineStr"/>
      <c r="E126" s="17" t="inlineStr">
        <is>
          <t>Spoofing the P5 LLM Integration Service Process</t>
        </is>
      </c>
      <c r="F126" s="16" t="inlineStr">
        <is>
          <t>Diagram 1</t>
        </is>
      </c>
      <c r="G126" s="16" t="inlineStr">
        <is>
          <t>Processed AI Response</t>
        </is>
      </c>
      <c r="H126" s="16" t="inlineStr">
        <is>
          <t>TMT/S1</t>
        </is>
      </c>
    </row>
    <row r="127" ht="16" customHeight="1">
      <c r="A127" s="16" t="inlineStr">
        <is>
          <t>TMT-S1-F088</t>
        </is>
      </c>
      <c r="B127" s="16" t="inlineStr">
        <is>
          <t>TMT</t>
        </is>
      </c>
      <c r="C127" s="16" t="inlineStr">
        <is>
          <t>S1</t>
        </is>
      </c>
      <c r="D127" s="16" t="inlineStr"/>
      <c r="E127" s="17" t="inlineStr">
        <is>
          <t>Spoofing the P4 AI Authentication Assistant Process</t>
        </is>
      </c>
      <c r="F127" s="16" t="inlineStr">
        <is>
          <t>Diagram 1</t>
        </is>
      </c>
      <c r="G127" s="16" t="inlineStr">
        <is>
          <t>Processed AI Response</t>
        </is>
      </c>
      <c r="H127" s="16" t="inlineStr">
        <is>
          <t>TMT/S1</t>
        </is>
      </c>
    </row>
    <row r="128" ht="16" customHeight="1">
      <c r="A128" s="16" t="inlineStr">
        <is>
          <t>TMT-S1-F089</t>
        </is>
      </c>
      <c r="B128" s="16" t="inlineStr">
        <is>
          <t>TMT</t>
        </is>
      </c>
      <c r="C128" s="16" t="inlineStr">
        <is>
          <t>S1</t>
        </is>
      </c>
      <c r="D128" s="16" t="inlineStr">
        <is>
          <t>unsafe_output</t>
        </is>
      </c>
      <c r="E128" s="17" t="inlineStr">
        <is>
          <t>Potential Lack of Input Validation for P4 AI Authentication Assistant</t>
        </is>
      </c>
      <c r="F128" s="16" t="inlineStr">
        <is>
          <t>Diagram 1</t>
        </is>
      </c>
      <c r="G128" s="16" t="inlineStr">
        <is>
          <t>Processed AI Response</t>
        </is>
      </c>
      <c r="H128" s="16" t="inlineStr">
        <is>
          <t>TMT/S1</t>
        </is>
      </c>
    </row>
    <row r="129" ht="16" customHeight="1">
      <c r="A129" s="16" t="inlineStr">
        <is>
          <t>TMT-S1-F090</t>
        </is>
      </c>
      <c r="B129" s="16" t="inlineStr">
        <is>
          <t>TMT</t>
        </is>
      </c>
      <c r="C129" s="16" t="inlineStr">
        <is>
          <t>S1</t>
        </is>
      </c>
      <c r="D129" s="16" t="inlineStr">
        <is>
          <t>repudiation</t>
        </is>
      </c>
      <c r="E129" s="17" t="inlineStr">
        <is>
          <t>Potential Data Repudiation by P4 AI Authentication Assistant</t>
        </is>
      </c>
      <c r="F129" s="16" t="inlineStr">
        <is>
          <t>Diagram 1</t>
        </is>
      </c>
      <c r="G129" s="16" t="inlineStr">
        <is>
          <t>Processed AI Response</t>
        </is>
      </c>
      <c r="H129" s="16" t="inlineStr">
        <is>
          <t>TMT/S1</t>
        </is>
      </c>
    </row>
    <row r="130" ht="16" customHeight="1">
      <c r="A130" s="16" t="inlineStr">
        <is>
          <t>TMT-S1-F091</t>
        </is>
      </c>
      <c r="B130" s="16" t="inlineStr">
        <is>
          <t>TMT</t>
        </is>
      </c>
      <c r="C130" s="16" t="inlineStr">
        <is>
          <t>S1</t>
        </is>
      </c>
      <c r="D130" s="16" t="inlineStr"/>
      <c r="E130" s="17" t="inlineStr">
        <is>
          <t>Data Flow Sniffing</t>
        </is>
      </c>
      <c r="F130" s="16" t="inlineStr">
        <is>
          <t>Diagram 1</t>
        </is>
      </c>
      <c r="G130" s="16" t="inlineStr">
        <is>
          <t>Processed AI Response</t>
        </is>
      </c>
      <c r="H130" s="16" t="inlineStr">
        <is>
          <t>TMT/S1</t>
        </is>
      </c>
    </row>
    <row r="131" ht="16" customHeight="1">
      <c r="A131" s="16" t="inlineStr">
        <is>
          <t>TMT-S1-F092</t>
        </is>
      </c>
      <c r="B131" s="16" t="inlineStr">
        <is>
          <t>TMT</t>
        </is>
      </c>
      <c r="C131" s="16" t="inlineStr">
        <is>
          <t>S1</t>
        </is>
      </c>
      <c r="D131" s="16" t="inlineStr"/>
      <c r="E131" s="17" t="inlineStr">
        <is>
          <t>Potential Process Crash or Stop for P4 AI Authentication Assistant</t>
        </is>
      </c>
      <c r="F131" s="16" t="inlineStr">
        <is>
          <t>Diagram 1</t>
        </is>
      </c>
      <c r="G131" s="16" t="inlineStr">
        <is>
          <t>Processed AI Response</t>
        </is>
      </c>
      <c r="H131" s="16" t="inlineStr">
        <is>
          <t>TMT/S1</t>
        </is>
      </c>
    </row>
    <row r="132" ht="16" customHeight="1">
      <c r="A132" s="16" t="inlineStr">
        <is>
          <t>TMT-S1-F093</t>
        </is>
      </c>
      <c r="B132" s="16" t="inlineStr">
        <is>
          <t>TMT</t>
        </is>
      </c>
      <c r="C132" s="16" t="inlineStr">
        <is>
          <t>S1</t>
        </is>
      </c>
      <c r="D132" s="16" t="inlineStr">
        <is>
          <t>llm_unavailable</t>
        </is>
      </c>
      <c r="E132" s="17" t="inlineStr">
        <is>
          <t>Data Flow Processed AI Response Is Potentially Interrupted</t>
        </is>
      </c>
      <c r="F132" s="16" t="inlineStr">
        <is>
          <t>Diagram 1</t>
        </is>
      </c>
      <c r="G132" s="16" t="inlineStr">
        <is>
          <t>Processed AI Response</t>
        </is>
      </c>
      <c r="H132" s="16" t="inlineStr">
        <is>
          <t>TMT/S1</t>
        </is>
      </c>
    </row>
    <row r="133" ht="16" customHeight="1">
      <c r="A133" s="16" t="inlineStr">
        <is>
          <t>TMT-S1-F094</t>
        </is>
      </c>
      <c r="B133" s="16" t="inlineStr">
        <is>
          <t>TMT</t>
        </is>
      </c>
      <c r="C133" s="16" t="inlineStr">
        <is>
          <t>S1</t>
        </is>
      </c>
      <c r="D133" s="16" t="inlineStr"/>
      <c r="E133" s="17" t="inlineStr">
        <is>
          <t>P4 AI Authentication Assistant May be Subject to Elevation of Privilege Using Remote Code Execution</t>
        </is>
      </c>
      <c r="F133" s="16" t="inlineStr">
        <is>
          <t>Diagram 1</t>
        </is>
      </c>
      <c r="G133" s="16" t="inlineStr">
        <is>
          <t>Processed AI Response</t>
        </is>
      </c>
      <c r="H133" s="16" t="inlineStr">
        <is>
          <t>TMT/S1</t>
        </is>
      </c>
    </row>
    <row r="134" ht="16" customHeight="1">
      <c r="A134" s="16" t="inlineStr">
        <is>
          <t>TMT-S1-F095</t>
        </is>
      </c>
      <c r="B134" s="16" t="inlineStr">
        <is>
          <t>TMT</t>
        </is>
      </c>
      <c r="C134" s="16" t="inlineStr">
        <is>
          <t>S1</t>
        </is>
      </c>
      <c r="D134" s="16" t="inlineStr"/>
      <c r="E134" s="17" t="inlineStr">
        <is>
          <t>Elevation by Changing the Execution Flow in P4 AI Authentication Assistant</t>
        </is>
      </c>
      <c r="F134" s="16" t="inlineStr">
        <is>
          <t>Diagram 1</t>
        </is>
      </c>
      <c r="G134" s="16" t="inlineStr">
        <is>
          <t>Processed AI Response</t>
        </is>
      </c>
      <c r="H134" s="16" t="inlineStr">
        <is>
          <t>TMT/S1</t>
        </is>
      </c>
    </row>
    <row r="135" ht="16" customHeight="1">
      <c r="A135" s="16" t="inlineStr">
        <is>
          <t>CHATGPT-S1-F001</t>
        </is>
      </c>
      <c r="B135" s="16" t="inlineStr">
        <is>
          <t>CHATGPT</t>
        </is>
      </c>
      <c r="C135" s="16" t="inlineStr">
        <is>
          <t>S1</t>
        </is>
      </c>
      <c r="D135" s="16" t="inlineStr">
        <is>
          <t>auth_bypass_logic</t>
        </is>
      </c>
      <c r="E135" s="17" t="inlineStr">
        <is>
          <t>Credential Manipulation at Authentication Boundary</t>
        </is>
      </c>
      <c r="F135" s="16" t="inlineStr">
        <is>
          <t>EE1 → P1 → P2</t>
        </is>
      </c>
      <c r="G135" s="16" t="inlineStr"/>
      <c r="H135" s="16" t="inlineStr">
        <is>
          <t>CHATGPT/S1</t>
        </is>
      </c>
    </row>
    <row r="136" ht="16" customHeight="1">
      <c r="A136" s="16" t="inlineStr">
        <is>
          <t>CHATGPT-S1-F002</t>
        </is>
      </c>
      <c r="B136" s="16" t="inlineStr">
        <is>
          <t>CHATGPT</t>
        </is>
      </c>
      <c r="C136" s="16" t="inlineStr">
        <is>
          <t>S1</t>
        </is>
      </c>
      <c r="D136" s="16" t="inlineStr">
        <is>
          <t>auth_bypass_logic</t>
        </is>
      </c>
      <c r="E136" s="17" t="inlineStr">
        <is>
          <t>Forged Authentication Result</t>
        </is>
      </c>
      <c r="F136" s="16" t="inlineStr">
        <is>
          <t>P2 → P3</t>
        </is>
      </c>
      <c r="G136" s="16" t="inlineStr"/>
      <c r="H136" s="16" t="inlineStr">
        <is>
          <t>CHATGPT/S1</t>
        </is>
      </c>
    </row>
    <row r="137" ht="16" customHeight="1">
      <c r="A137" s="16" t="inlineStr">
        <is>
          <t>CHATGPT-S1-F003</t>
        </is>
      </c>
      <c r="B137" s="16" t="inlineStr">
        <is>
          <t>CHATGPT</t>
        </is>
      </c>
      <c r="C137" s="16" t="inlineStr">
        <is>
          <t>S1</t>
        </is>
      </c>
      <c r="D137" s="16" t="inlineStr">
        <is>
          <t>transit_token</t>
        </is>
      </c>
      <c r="E137" s="17" t="inlineStr">
        <is>
          <t>Session Token Disclosure</t>
        </is>
      </c>
      <c r="F137" s="16" t="inlineStr">
        <is>
          <t>P3 / DS2 → P4 / P5 / EE2</t>
        </is>
      </c>
      <c r="G137" s="16" t="inlineStr"/>
      <c r="H137" s="16" t="inlineStr">
        <is>
          <t>CHATGPT/S1</t>
        </is>
      </c>
    </row>
    <row r="138" ht="16" customHeight="1">
      <c r="A138" s="16" t="inlineStr">
        <is>
          <t>CHATGPT-S1-F004</t>
        </is>
      </c>
      <c r="B138" s="16" t="inlineStr">
        <is>
          <t>CHATGPT</t>
        </is>
      </c>
      <c r="C138" s="16" t="inlineStr">
        <is>
          <t>S1</t>
        </is>
      </c>
      <c r="D138" s="16" t="inlineStr">
        <is>
          <t>auth_bypass_logic</t>
        </is>
      </c>
      <c r="E138" s="17" t="inlineStr">
        <is>
          <t>Session Creation Without Successful Authentication</t>
        </is>
      </c>
      <c r="F138" s="16" t="inlineStr">
        <is>
          <t>P2 → P3</t>
        </is>
      </c>
      <c r="G138" s="16" t="inlineStr"/>
      <c r="H138" s="16" t="inlineStr">
        <is>
          <t>CHATGPT/S1</t>
        </is>
      </c>
    </row>
    <row r="139" ht="16" customHeight="1">
      <c r="A139" s="16" t="inlineStr">
        <is>
          <t>CHATGPT-S1-F005</t>
        </is>
      </c>
      <c r="B139" s="16" t="inlineStr">
        <is>
          <t>CHATGPT</t>
        </is>
      </c>
      <c r="C139" s="16" t="inlineStr">
        <is>
          <t>S1</t>
        </is>
      </c>
      <c r="D139" s="16" t="inlineStr">
        <is>
          <t>session_store_tamper</t>
        </is>
      </c>
      <c r="E139" s="17" t="inlineStr">
        <is>
          <t>Unauthorized Session State Manipulation</t>
        </is>
      </c>
      <c r="F139" s="16" t="inlineStr">
        <is>
          <t>P3 ↔ DS2</t>
        </is>
      </c>
      <c r="G139" s="16" t="inlineStr"/>
      <c r="H139" s="16" t="inlineStr">
        <is>
          <t>CHATGPT/S1</t>
        </is>
      </c>
    </row>
    <row r="140" ht="16" customHeight="1">
      <c r="A140" s="16" t="inlineStr">
        <is>
          <t>CHATGPT-S1-F006</t>
        </is>
      </c>
      <c r="B140" s="16" t="inlineStr">
        <is>
          <t>CHATGPT</t>
        </is>
      </c>
      <c r="C140" s="16" t="inlineStr">
        <is>
          <t>S1</t>
        </is>
      </c>
      <c r="D140" s="16" t="inlineStr"/>
      <c r="E140" s="17" t="inlineStr">
        <is>
          <t>Account Identity Spoofing</t>
        </is>
      </c>
      <c r="F140" s="16" t="inlineStr">
        <is>
          <t>EE1 → P1 → P2 → DS1</t>
        </is>
      </c>
      <c r="G140" s="16" t="inlineStr"/>
      <c r="H140" s="16" t="inlineStr">
        <is>
          <t>CHATGPT/S1</t>
        </is>
      </c>
    </row>
    <row r="141" ht="16" customHeight="1">
      <c r="A141" s="16" t="inlineStr">
        <is>
          <t>CHATGPT-S1-F007</t>
        </is>
      </c>
      <c r="B141" s="16" t="inlineStr">
        <is>
          <t>CHATGPT</t>
        </is>
      </c>
      <c r="C141" s="16" t="inlineStr">
        <is>
          <t>S1</t>
        </is>
      </c>
      <c r="D141" s="16" t="inlineStr">
        <is>
          <t>mass_disclosure</t>
        </is>
      </c>
      <c r="E141" s="17" t="inlineStr">
        <is>
          <t>Unauthorized Disclosure of Authentication Records</t>
        </is>
      </c>
      <c r="F141" s="16" t="inlineStr">
        <is>
          <t>P2 ↔ DS1</t>
        </is>
      </c>
      <c r="G141" s="16" t="inlineStr"/>
      <c r="H141" s="16" t="inlineStr">
        <is>
          <t>CHATGPT/S1</t>
        </is>
      </c>
    </row>
    <row r="142" ht="16" customHeight="1">
      <c r="A142" s="16" t="inlineStr">
        <is>
          <t>CHATGPT-S1-F008</t>
        </is>
      </c>
      <c r="B142" s="16" t="inlineStr">
        <is>
          <t>CHATGPT</t>
        </is>
      </c>
      <c r="C142" s="16" t="inlineStr">
        <is>
          <t>S1</t>
        </is>
      </c>
      <c r="D142" s="16" t="inlineStr">
        <is>
          <t>system_prompt_extract</t>
        </is>
      </c>
      <c r="E142" s="17" t="inlineStr">
        <is>
          <t>Credential Material Leakage into LLM</t>
        </is>
      </c>
      <c r="F142" s="16" t="inlineStr">
        <is>
          <t>DS1 → P2 → P4/P5 → EE2</t>
        </is>
      </c>
      <c r="G142" s="16" t="inlineStr"/>
      <c r="H142" s="16" t="inlineStr">
        <is>
          <t>CHATGPT/S1</t>
        </is>
      </c>
    </row>
    <row r="143" ht="16" customHeight="1">
      <c r="A143" s="16" t="inlineStr">
        <is>
          <t>CHATGPT-S1-F009</t>
        </is>
      </c>
      <c r="B143" s="16" t="inlineStr">
        <is>
          <t>CHATGPT</t>
        </is>
      </c>
      <c r="C143" s="16" t="inlineStr">
        <is>
          <t>S1</t>
        </is>
      </c>
      <c r="D143" s="16" t="inlineStr">
        <is>
          <t>prompt_injection_indirect</t>
        </is>
      </c>
      <c r="E143" s="17" t="inlineStr">
        <is>
          <t>Malicious Modification of Approved Guidance</t>
        </is>
      </c>
      <c r="F143" s="16" t="inlineStr">
        <is>
          <t>DS3 → P4/P5</t>
        </is>
      </c>
      <c r="G143" s="16" t="inlineStr"/>
      <c r="H143" s="16" t="inlineStr">
        <is>
          <t>CHATGPT/S1</t>
        </is>
      </c>
    </row>
    <row r="144" ht="16" customHeight="1">
      <c r="A144" s="16" t="inlineStr">
        <is>
          <t>CHATGPT-S1-F010</t>
        </is>
      </c>
      <c r="B144" s="16" t="inlineStr">
        <is>
          <t>CHATGPT</t>
        </is>
      </c>
      <c r="C144" s="16" t="inlineStr">
        <is>
          <t>S1</t>
        </is>
      </c>
      <c r="D144" s="16" t="inlineStr">
        <is>
          <t>malicious_upload</t>
        </is>
      </c>
      <c r="E144" s="17" t="inlineStr">
        <is>
          <t>Improper Handling of Generated Output</t>
        </is>
      </c>
      <c r="F144" s="16" t="inlineStr">
        <is>
          <t>EE2 → P5 → P1 → EE1</t>
        </is>
      </c>
      <c r="G144" s="16" t="inlineStr"/>
      <c r="H144" s="16" t="inlineStr">
        <is>
          <t>CHATGPT/S1</t>
        </is>
      </c>
    </row>
    <row r="145" ht="16" customHeight="1">
      <c r="A145" s="16" t="inlineStr">
        <is>
          <t>CHATGPT-S1-F011</t>
        </is>
      </c>
      <c r="B145" s="16" t="inlineStr">
        <is>
          <t>CHATGPT</t>
        </is>
      </c>
      <c r="C145" s="16" t="inlineStr">
        <is>
          <t>S1</t>
        </is>
      </c>
      <c r="D145" s="16" t="inlineStr">
        <is>
          <t>malicious_upload</t>
        </is>
      </c>
      <c r="E145" s="17" t="inlineStr">
        <is>
          <t>External LLM Output Manipulation</t>
        </is>
      </c>
      <c r="F145" s="16" t="inlineStr">
        <is>
          <t>EE2 → P5</t>
        </is>
      </c>
      <c r="G145" s="16" t="inlineStr"/>
      <c r="H145" s="16" t="inlineStr">
        <is>
          <t>CHATGPT/S1</t>
        </is>
      </c>
    </row>
    <row r="146" ht="16" customHeight="1">
      <c r="A146" s="16" t="inlineStr">
        <is>
          <t>CHATGPT-S1-F012</t>
        </is>
      </c>
      <c r="B146" s="16" t="inlineStr">
        <is>
          <t>CHATGPT</t>
        </is>
      </c>
      <c r="C146" s="16" t="inlineStr">
        <is>
          <t>S1</t>
        </is>
      </c>
      <c r="D146" s="16" t="inlineStr"/>
      <c r="E146" s="17" t="inlineStr">
        <is>
          <t>Ambiguous Authentication State</t>
        </is>
      </c>
      <c r="F146" s="16" t="inlineStr">
        <is>
          <t>P2 → P3 → P1</t>
        </is>
      </c>
      <c r="G146" s="16" t="inlineStr"/>
      <c r="H146" s="16" t="inlineStr">
        <is>
          <t>CHATGPT/S1</t>
        </is>
      </c>
    </row>
    <row r="147" ht="16" customHeight="1">
      <c r="A147" s="16" t="inlineStr">
        <is>
          <t>CHATGPT-S1-F013</t>
        </is>
      </c>
      <c r="B147" s="16" t="inlineStr">
        <is>
          <t>CHATGPT</t>
        </is>
      </c>
      <c r="C147" s="16" t="inlineStr">
        <is>
          <t>S1</t>
        </is>
      </c>
      <c r="D147" s="16" t="inlineStr">
        <is>
          <t>dos_service</t>
        </is>
      </c>
      <c r="E147" s="17" t="inlineStr">
        <is>
          <t>Authentication Request Flooding</t>
        </is>
      </c>
      <c r="F147" s="16" t="inlineStr">
        <is>
          <t>EE1 → P1 → P2 → DS1</t>
        </is>
      </c>
      <c r="G147" s="16" t="inlineStr"/>
      <c r="H147" s="16" t="inlineStr">
        <is>
          <t>CHATGPT/S1</t>
        </is>
      </c>
    </row>
    <row r="148" ht="16" customHeight="1">
      <c r="A148" s="16" t="inlineStr">
        <is>
          <t>CHATGPT-S1-F014</t>
        </is>
      </c>
      <c r="B148" s="16" t="inlineStr">
        <is>
          <t>CHATGPT</t>
        </is>
      </c>
      <c r="C148" s="16" t="inlineStr">
        <is>
          <t>S1</t>
        </is>
      </c>
      <c r="D148" s="16" t="inlineStr">
        <is>
          <t>dos_service</t>
        </is>
      </c>
      <c r="E148" s="17" t="inlineStr">
        <is>
          <t>Session Validation Exhaustion</t>
        </is>
      </c>
      <c r="F148" s="16" t="inlineStr">
        <is>
          <t>P3 ↔ DS2</t>
        </is>
      </c>
      <c r="G148" s="16" t="inlineStr"/>
      <c r="H148" s="16" t="inlineStr">
        <is>
          <t>CHATGPT/S1</t>
        </is>
      </c>
    </row>
    <row r="149" ht="16" customHeight="1">
      <c r="A149" s="16" t="inlineStr">
        <is>
          <t>CHATGPT-S1-F015</t>
        </is>
      </c>
      <c r="B149" s="16" t="inlineStr">
        <is>
          <t>CHATGPT</t>
        </is>
      </c>
      <c r="C149" s="16" t="inlineStr">
        <is>
          <t>S1</t>
        </is>
      </c>
      <c r="D149" s="16" t="inlineStr">
        <is>
          <t>llm_unavailable</t>
        </is>
      </c>
      <c r="E149" s="17" t="inlineStr">
        <is>
          <t>Unauthorized Account Modification Through LLM</t>
        </is>
      </c>
      <c r="F149" s="16" t="inlineStr">
        <is>
          <t>EE1 → P4/P5</t>
        </is>
      </c>
      <c r="G149" s="16" t="inlineStr"/>
      <c r="H149" s="16" t="inlineStr">
        <is>
          <t>CHATGPT/S1</t>
        </is>
      </c>
    </row>
    <row r="150" ht="16" customHeight="1">
      <c r="A150" s="16" t="inlineStr">
        <is>
          <t>CHATGPT-S1-F016</t>
        </is>
      </c>
      <c r="B150" s="16" t="inlineStr">
        <is>
          <t>CHATGPT</t>
        </is>
      </c>
      <c r="C150" s="16" t="inlineStr">
        <is>
          <t>S1</t>
        </is>
      </c>
      <c r="D150" s="16" t="inlineStr">
        <is>
          <t>prompt_injection_direct</t>
        </is>
      </c>
      <c r="E150" s="17" t="inlineStr">
        <is>
          <t>Direct Prompt Injection Against Authentication Assistant</t>
        </is>
      </c>
      <c r="F150" s="16" t="inlineStr">
        <is>
          <t>EE1 → P4/P5 → EE2</t>
        </is>
      </c>
      <c r="G150" s="16" t="inlineStr"/>
      <c r="H150" s="16" t="inlineStr">
        <is>
          <t>CHATGPT/S1</t>
        </is>
      </c>
    </row>
    <row r="151" ht="16" customHeight="1">
      <c r="A151" s="16" t="inlineStr">
        <is>
          <t>CHATGPT-S1-F017</t>
        </is>
      </c>
      <c r="B151" s="16" t="inlineStr">
        <is>
          <t>CHATGPT</t>
        </is>
      </c>
      <c r="C151" s="16" t="inlineStr">
        <is>
          <t>S1</t>
        </is>
      </c>
      <c r="D151" s="16" t="inlineStr">
        <is>
          <t>prompt_injection_indirect</t>
        </is>
      </c>
      <c r="E151" s="17" t="inlineStr">
        <is>
          <t>Malicious Instructions in Retrieved Context</t>
        </is>
      </c>
      <c r="F151" s="16" t="inlineStr">
        <is>
          <t>DS3 → P4/P5 → EE2</t>
        </is>
      </c>
      <c r="G151" s="16" t="inlineStr"/>
      <c r="H151" s="16" t="inlineStr">
        <is>
          <t>CHATGPT/S1</t>
        </is>
      </c>
    </row>
    <row r="152" ht="16" customHeight="1">
      <c r="A152" s="16" t="inlineStr">
        <is>
          <t>CHATGPT-S1-F018</t>
        </is>
      </c>
      <c r="B152" s="16" t="inlineStr">
        <is>
          <t>CHATGPT</t>
        </is>
      </c>
      <c r="C152" s="16" t="inlineStr">
        <is>
          <t>S1</t>
        </is>
      </c>
      <c r="D152" s="16" t="inlineStr">
        <is>
          <t>sensitive_to_llm</t>
        </is>
      </c>
      <c r="E152" s="17" t="inlineStr">
        <is>
          <t>Confidential Context Extraction</t>
        </is>
      </c>
      <c r="F152" s="16" t="inlineStr">
        <is>
          <t>P4/P5 → EE2 → P5 → P1 → EE1</t>
        </is>
      </c>
      <c r="G152" s="16" t="inlineStr"/>
      <c r="H152" s="16" t="inlineStr">
        <is>
          <t>CHATGPT/S1</t>
        </is>
      </c>
    </row>
    <row r="153" ht="16" customHeight="1">
      <c r="A153" s="16" t="inlineStr">
        <is>
          <t>CHATGPT-S1-F019</t>
        </is>
      </c>
      <c r="B153" s="16" t="inlineStr">
        <is>
          <t>CHATGPT</t>
        </is>
      </c>
      <c r="C153" s="16" t="inlineStr">
        <is>
          <t>S1</t>
        </is>
      </c>
      <c r="D153" s="16" t="inlineStr">
        <is>
          <t>system_prompt_extract</t>
        </is>
      </c>
      <c r="E153" s="17" t="inlineStr">
        <is>
          <t>Disclosure of Internal LLM Instructions</t>
        </is>
      </c>
      <c r="F153" s="16" t="inlineStr">
        <is>
          <t>EE1 → P4/P5 → EE2 → EE1</t>
        </is>
      </c>
      <c r="G153" s="16" t="inlineStr"/>
      <c r="H153" s="16" t="inlineStr">
        <is>
          <t>CHATGPT/S1</t>
        </is>
      </c>
    </row>
    <row r="154" ht="16" customHeight="1">
      <c r="A154" s="16" t="inlineStr">
        <is>
          <t>CHATGPT-S1-F020</t>
        </is>
      </c>
      <c r="B154" s="16" t="inlineStr">
        <is>
          <t>CHATGPT</t>
        </is>
      </c>
      <c r="C154" s="16" t="inlineStr">
        <is>
          <t>S1</t>
        </is>
      </c>
      <c r="D154" s="16" t="inlineStr">
        <is>
          <t>hallucination</t>
        </is>
      </c>
      <c r="E154" s="17" t="inlineStr">
        <is>
          <t>Incorrect Authentication Guidance</t>
        </is>
      </c>
      <c r="F154" s="16" t="inlineStr">
        <is>
          <t>DS3 → P4/P5 → EE2 → P1 → EE1</t>
        </is>
      </c>
      <c r="G154" s="16" t="inlineStr"/>
      <c r="H154" s="16" t="inlineStr">
        <is>
          <t>CHATGPT/S1</t>
        </is>
      </c>
    </row>
    <row r="155" ht="16" customHeight="1">
      <c r="A155" s="16" t="inlineStr">
        <is>
          <t>CHATGPT-S1-F021</t>
        </is>
      </c>
      <c r="B155" s="16" t="inlineStr">
        <is>
          <t>CHATGPT</t>
        </is>
      </c>
      <c r="C155" s="16" t="inlineStr">
        <is>
          <t>S1</t>
        </is>
      </c>
      <c r="D155" s="16" t="inlineStr">
        <is>
          <t>dos_service</t>
        </is>
      </c>
      <c r="E155" s="17" t="inlineStr">
        <is>
          <t>Chatbot Resource Exhaustion</t>
        </is>
      </c>
      <c r="F155" s="16" t="inlineStr">
        <is>
          <t>EE1 → P1 → P4/P5 → EE2</t>
        </is>
      </c>
      <c r="G155" s="16" t="inlineStr"/>
      <c r="H155" s="16" t="inlineStr">
        <is>
          <t>CHATGPT/S1</t>
        </is>
      </c>
    </row>
    <row r="156" ht="16" customHeight="1">
      <c r="A156" s="16" t="inlineStr">
        <is>
          <t>CHATGPT-S1-F022</t>
        </is>
      </c>
      <c r="B156" s="16" t="inlineStr">
        <is>
          <t>CHATGPT</t>
        </is>
      </c>
      <c r="C156" s="16" t="inlineStr">
        <is>
          <t>S1</t>
        </is>
      </c>
      <c r="D156" s="16" t="inlineStr">
        <is>
          <t>prompt_injection_direct</t>
        </is>
      </c>
      <c r="E156" s="17" t="inlineStr">
        <is>
          <t>Trust-Boundary Input Injection</t>
        </is>
      </c>
      <c r="F156" s="16" t="inlineStr">
        <is>
          <t>EE1 → P1</t>
        </is>
      </c>
      <c r="G156" s="16" t="inlineStr"/>
      <c r="H156" s="16" t="inlineStr">
        <is>
          <t>CHATGPT/S1</t>
        </is>
      </c>
    </row>
    <row r="157" ht="16" customHeight="1">
      <c r="A157" s="16" t="inlineStr">
        <is>
          <t>CHATGPT-S1-F023</t>
        </is>
      </c>
      <c r="B157" s="16" t="inlineStr">
        <is>
          <t>CHATGPT</t>
        </is>
      </c>
      <c r="C157" s="16" t="inlineStr">
        <is>
          <t>S1</t>
        </is>
      </c>
      <c r="D157" s="16" t="inlineStr">
        <is>
          <t>sensitive_to_llm</t>
        </is>
      </c>
      <c r="E157" s="17" t="inlineStr">
        <is>
          <t>External LLM Data Boundary Leakage</t>
        </is>
      </c>
      <c r="F157" s="16" t="inlineStr">
        <is>
          <t>P5 → EE2</t>
        </is>
      </c>
      <c r="G157" s="16" t="inlineStr"/>
      <c r="H157" s="16" t="inlineStr">
        <is>
          <t>CHATGPT/S1</t>
        </is>
      </c>
    </row>
    <row r="158" ht="16" customHeight="1">
      <c r="A158" s="16" t="inlineStr">
        <is>
          <t>CHATGPT-S1-F024</t>
        </is>
      </c>
      <c r="B158" s="16" t="inlineStr">
        <is>
          <t>CHATGPT</t>
        </is>
      </c>
      <c r="C158" s="16" t="inlineStr">
        <is>
          <t>S1</t>
        </is>
      </c>
      <c r="D158" s="16" t="inlineStr"/>
      <c r="E158" s="17" t="inlineStr">
        <is>
          <t>Untrusted Output Re-entry</t>
        </is>
      </c>
      <c r="F158" s="16" t="inlineStr">
        <is>
          <t>EE2 → P5 → P1</t>
        </is>
      </c>
      <c r="G158" s="16" t="inlineStr"/>
      <c r="H158" s="16" t="inlineStr">
        <is>
          <t>CHATGPT/S1</t>
        </is>
      </c>
    </row>
    <row r="159" ht="16" customHeight="1">
      <c r="A159" s="16" t="inlineStr">
        <is>
          <t>CHATGPT-S1-F025</t>
        </is>
      </c>
      <c r="B159" s="16" t="inlineStr">
        <is>
          <t>CHATGPT</t>
        </is>
      </c>
      <c r="C159" s="16" t="inlineStr">
        <is>
          <t>S1</t>
        </is>
      </c>
      <c r="D159" s="16" t="inlineStr"/>
      <c r="E159" s="17" t="inlineStr">
        <is>
          <t>Automated Credential Abuse</t>
        </is>
      </c>
      <c r="F159" s="16" t="inlineStr">
        <is>
          <t>EE1 → P1 → P2 → DS1</t>
        </is>
      </c>
      <c r="G159" s="16" t="inlineStr"/>
      <c r="H159" s="16" t="inlineStr">
        <is>
          <t>CHATGPT/S1</t>
        </is>
      </c>
    </row>
    <row r="160" ht="16" customHeight="1">
      <c r="A160" s="16" t="inlineStr">
        <is>
          <t>CHATGPT-S1-F026</t>
        </is>
      </c>
      <c r="B160" s="16" t="inlineStr">
        <is>
          <t>CHATGPT</t>
        </is>
      </c>
      <c r="C160" s="16" t="inlineStr">
        <is>
          <t>S1</t>
        </is>
      </c>
      <c r="D160" s="16" t="inlineStr">
        <is>
          <t>enumeration</t>
        </is>
      </c>
      <c r="E160" s="17" t="inlineStr">
        <is>
          <t>Username/Account Enumeration</t>
        </is>
      </c>
      <c r="F160" s="16" t="inlineStr">
        <is>
          <t>P2 → P1 → EE1</t>
        </is>
      </c>
      <c r="G160" s="16" t="inlineStr"/>
      <c r="H160" s="16" t="inlineStr">
        <is>
          <t>CHATGPT/S1</t>
        </is>
      </c>
    </row>
    <row r="161" ht="16" customHeight="1">
      <c r="A161" s="16" t="inlineStr">
        <is>
          <t>CHATGPT-S1-F027</t>
        </is>
      </c>
      <c r="B161" s="16" t="inlineStr">
        <is>
          <t>CHATGPT</t>
        </is>
      </c>
      <c r="C161" s="16" t="inlineStr">
        <is>
          <t>S1</t>
        </is>
      </c>
      <c r="D161" s="16" t="inlineStr">
        <is>
          <t>system_prompt_extract</t>
        </is>
      </c>
      <c r="E161" s="17" t="inlineStr">
        <is>
          <t>Malicious Authentication Guidance</t>
        </is>
      </c>
      <c r="F161" s="16" t="inlineStr">
        <is>
          <t>EE1 → P4/P5 → EE2 → P1 → EE1</t>
        </is>
      </c>
      <c r="G161" s="16" t="inlineStr"/>
      <c r="H161" s="16" t="inlineStr">
        <is>
          <t>CHATGPT/S1</t>
        </is>
      </c>
    </row>
    <row r="162" ht="16" customHeight="1">
      <c r="A162" s="16" t="inlineStr">
        <is>
          <t>CHATGPT-S1-F028</t>
        </is>
      </c>
      <c r="B162" s="16" t="inlineStr">
        <is>
          <t>CHATGPT</t>
        </is>
      </c>
      <c r="C162" s="16" t="inlineStr">
        <is>
          <t>S1</t>
        </is>
      </c>
      <c r="D162" s="16" t="inlineStr">
        <is>
          <t>api_key</t>
        </is>
      </c>
      <c r="E162" s="17" t="inlineStr">
        <is>
          <t>Authentication Data Entering Chatbot Context</t>
        </is>
      </c>
      <c r="F162" s="16" t="inlineStr">
        <is>
          <t>DS1 → P4/P5 → EE2</t>
        </is>
      </c>
      <c r="G162" s="16" t="inlineStr"/>
      <c r="H162" s="16" t="inlineStr">
        <is>
          <t>CHATGPT/S1</t>
        </is>
      </c>
    </row>
    <row r="163" ht="16" customHeight="1">
      <c r="A163" s="16" t="inlineStr">
        <is>
          <t>CHATGPT-S1-F029</t>
        </is>
      </c>
      <c r="B163" s="16" t="inlineStr">
        <is>
          <t>CHATGPT</t>
        </is>
      </c>
      <c r="C163" s="16" t="inlineStr">
        <is>
          <t>S1</t>
        </is>
      </c>
      <c r="D163" s="16" t="inlineStr">
        <is>
          <t>sensitive_to_llm</t>
        </is>
      </c>
      <c r="E163" s="17" t="inlineStr">
        <is>
          <t>Session Information Disclosure</t>
        </is>
      </c>
      <c r="F163" s="16" t="inlineStr">
        <is>
          <t>DS2/P3 → P1/P4/P5</t>
        </is>
      </c>
      <c r="G163" s="16" t="inlineStr"/>
      <c r="H163" s="16" t="inlineStr">
        <is>
          <t>CHATGPT/S1</t>
        </is>
      </c>
    </row>
    <row r="164" ht="16" customHeight="1">
      <c r="A164" s="16" t="inlineStr">
        <is>
          <t>CHATGPT-S1-F030</t>
        </is>
      </c>
      <c r="B164" s="16" t="inlineStr">
        <is>
          <t>CHATGPT</t>
        </is>
      </c>
      <c r="C164" s="16" t="inlineStr">
        <is>
          <t>S1</t>
        </is>
      </c>
      <c r="D164" s="16" t="inlineStr"/>
      <c r="E164" s="17" t="inlineStr">
        <is>
          <t>External Provider Data Exposure</t>
        </is>
      </c>
      <c r="F164" s="16" t="inlineStr">
        <is>
          <t>P5 → EE2</t>
        </is>
      </c>
      <c r="G164" s="16" t="inlineStr"/>
      <c r="H164" s="16" t="inlineStr">
        <is>
          <t>CHATGPT/S1</t>
        </is>
      </c>
    </row>
    <row r="165" ht="16" customHeight="1">
      <c r="A165" s="16" t="inlineStr">
        <is>
          <t>CHATGPT-S1-F031</t>
        </is>
      </c>
      <c r="B165" s="16" t="inlineStr">
        <is>
          <t>CHATGPT</t>
        </is>
      </c>
      <c r="C165" s="16" t="inlineStr">
        <is>
          <t>S1</t>
        </is>
      </c>
      <c r="D165" s="16" t="inlineStr">
        <is>
          <t>auth_bypass_logic</t>
        </is>
      </c>
      <c r="E165" s="17" t="inlineStr">
        <is>
          <t>LLM-to-Authentication Control-Flow Injection</t>
        </is>
      </c>
      <c r="F165" s="16" t="inlineStr">
        <is>
          <t>EE2 → P5 → P2/P3</t>
        </is>
      </c>
      <c r="G165" s="16" t="inlineStr"/>
      <c r="H165" s="16" t="inlineStr">
        <is>
          <t>CHATGPT/S1</t>
        </is>
      </c>
    </row>
    <row r="166" ht="16" customHeight="1">
      <c r="A166" s="16" t="inlineStr">
        <is>
          <t>CHATGPT-S1-F032</t>
        </is>
      </c>
      <c r="B166" s="16" t="inlineStr">
        <is>
          <t>CHATGPT</t>
        </is>
      </c>
      <c r="C166" s="16" t="inlineStr">
        <is>
          <t>S1</t>
        </is>
      </c>
      <c r="D166" s="16" t="inlineStr">
        <is>
          <t>llm_unavailable</t>
        </is>
      </c>
      <c r="E166" s="17" t="inlineStr">
        <is>
          <t>LLM-Initiated Account Action</t>
        </is>
      </c>
      <c r="F166" s="16" t="inlineStr">
        <is>
          <t>EE1 → P4/P5 → application behavior</t>
        </is>
      </c>
      <c r="G166" s="16" t="inlineStr"/>
      <c r="H166" s="16" t="inlineStr">
        <is>
          <t>CHATGPT/S1</t>
        </is>
      </c>
    </row>
    <row r="167" ht="16" customHeight="1">
      <c r="A167" s="16" t="inlineStr">
        <is>
          <t>CHATGPT-S1-F033</t>
        </is>
      </c>
      <c r="B167" s="16" t="inlineStr">
        <is>
          <t>CHATGPT</t>
        </is>
      </c>
      <c r="C167" s="16" t="inlineStr">
        <is>
          <t>S1</t>
        </is>
      </c>
      <c r="D167" s="16" t="inlineStr">
        <is>
          <t>brute_force</t>
        </is>
      </c>
      <c r="E167" s="17" t="inlineStr">
        <is>
          <t>Credential Spoofing / Authentication Request Manipulation</t>
        </is>
      </c>
      <c r="F167" s="16" t="inlineStr">
        <is>
          <t>EE1 → P1 → P2 → DS1</t>
        </is>
      </c>
      <c r="G167" s="16" t="inlineStr"/>
      <c r="H167" s="16" t="inlineStr">
        <is>
          <t>CHATGPT/S1</t>
        </is>
      </c>
    </row>
    <row r="168" ht="16" customHeight="1">
      <c r="A168" s="16" t="inlineStr">
        <is>
          <t>CHATGPT-S1-F034</t>
        </is>
      </c>
      <c r="B168" s="16" t="inlineStr">
        <is>
          <t>CHATGPT</t>
        </is>
      </c>
      <c r="C168" s="16" t="inlineStr">
        <is>
          <t>S1</t>
        </is>
      </c>
      <c r="D168" s="16" t="inlineStr"/>
      <c r="E168" s="17" t="inlineStr">
        <is>
          <t>Malicious Account Registration</t>
        </is>
      </c>
      <c r="F168" s="16" t="inlineStr">
        <is>
          <t>EE1 → P1 → P2 → DS1</t>
        </is>
      </c>
      <c r="G168" s="16" t="inlineStr"/>
      <c r="H168" s="16" t="inlineStr">
        <is>
          <t>CHATGPT/S1</t>
        </is>
      </c>
    </row>
    <row r="169" ht="16" customHeight="1">
      <c r="A169" s="16" t="inlineStr">
        <is>
          <t>CHATGPT-S1-F035</t>
        </is>
      </c>
      <c r="B169" s="16" t="inlineStr">
        <is>
          <t>CHATGPT</t>
        </is>
      </c>
      <c r="C169" s="16" t="inlineStr">
        <is>
          <t>S1</t>
        </is>
      </c>
      <c r="D169" s="16" t="inlineStr"/>
      <c r="E169" s="17" t="inlineStr">
        <is>
          <t>Authentication Request Tampering</t>
        </is>
      </c>
      <c r="F169" s="16" t="inlineStr">
        <is>
          <t>EE1 → P1 → P2</t>
        </is>
      </c>
      <c r="G169" s="16" t="inlineStr"/>
      <c r="H169" s="16" t="inlineStr">
        <is>
          <t>CHATGPT/S1</t>
        </is>
      </c>
    </row>
    <row r="170" ht="16" customHeight="1">
      <c r="A170" s="16" t="inlineStr">
        <is>
          <t>CHATGPT-S1-F036</t>
        </is>
      </c>
      <c r="B170" s="16" t="inlineStr">
        <is>
          <t>CHATGPT</t>
        </is>
      </c>
      <c r="C170" s="16" t="inlineStr">
        <is>
          <t>S1</t>
        </is>
      </c>
      <c r="D170" s="16" t="inlineStr"/>
      <c r="E170" s="17" t="inlineStr">
        <is>
          <t>Unauthorized Access to Password Hashes</t>
        </is>
      </c>
      <c r="F170" s="16" t="inlineStr">
        <is>
          <t>P2 ↔ DS1; P4/P5 must not access password hashes</t>
        </is>
      </c>
      <c r="G170" s="16" t="inlineStr"/>
      <c r="H170" s="16" t="inlineStr">
        <is>
          <t>CHATGPT/S1</t>
        </is>
      </c>
    </row>
    <row r="171" ht="16" customHeight="1">
      <c r="A171" s="16" t="inlineStr">
        <is>
          <t>CHATGPT-S1-F037</t>
        </is>
      </c>
      <c r="B171" s="16" t="inlineStr">
        <is>
          <t>CHATGPT</t>
        </is>
      </c>
      <c r="C171" s="16" t="inlineStr">
        <is>
          <t>S1</t>
        </is>
      </c>
      <c r="D171" s="16" t="inlineStr">
        <is>
          <t>transit_token</t>
        </is>
      </c>
      <c r="E171" s="17" t="inlineStr">
        <is>
          <t>Session Token Exposure</t>
        </is>
      </c>
      <c r="F171" s="16" t="inlineStr">
        <is>
          <t>P3 ↔ DS2; P3/P1/P4/P5 boundaries</t>
        </is>
      </c>
      <c r="G171" s="16" t="inlineStr"/>
      <c r="H171" s="16" t="inlineStr">
        <is>
          <t>CHATGPT/S1</t>
        </is>
      </c>
    </row>
    <row r="172" ht="16" customHeight="1">
      <c r="A172" s="16" t="inlineStr">
        <is>
          <t>CHATGPT-S1-F038</t>
        </is>
      </c>
      <c r="B172" s="16" t="inlineStr">
        <is>
          <t>CHATGPT</t>
        </is>
      </c>
      <c r="C172" s="16" t="inlineStr">
        <is>
          <t>S1</t>
        </is>
      </c>
      <c r="D172" s="16" t="inlineStr">
        <is>
          <t>prompt_injection_direct</t>
        </is>
      </c>
      <c r="E172" s="17" t="inlineStr">
        <is>
          <t>Direct Prompt Injection</t>
        </is>
      </c>
      <c r="F172" s="16" t="inlineStr">
        <is>
          <t>EE1 → P1 → P4 → P5 → EE2</t>
        </is>
      </c>
      <c r="G172" s="16" t="inlineStr"/>
      <c r="H172" s="16" t="inlineStr">
        <is>
          <t>CHATGPT/S1</t>
        </is>
      </c>
    </row>
    <row r="173" ht="16" customHeight="1">
      <c r="A173" s="16" t="inlineStr">
        <is>
          <t>CHATGPT-S1-F039</t>
        </is>
      </c>
      <c r="B173" s="16" t="inlineStr">
        <is>
          <t>CHATGPT</t>
        </is>
      </c>
      <c r="C173" s="16" t="inlineStr">
        <is>
          <t>S1</t>
        </is>
      </c>
      <c r="D173" s="16" t="inlineStr">
        <is>
          <t>prompt_injection_indirect</t>
        </is>
      </c>
      <c r="E173" s="17" t="inlineStr">
        <is>
          <t>Malicious Instruction Injection Through Context</t>
        </is>
      </c>
      <c r="F173" s="16" t="inlineStr">
        <is>
          <t>DS3 → P4/P5 → EE2</t>
        </is>
      </c>
      <c r="G173" s="16" t="inlineStr"/>
      <c r="H173" s="16" t="inlineStr">
        <is>
          <t>CHATGPT/S1</t>
        </is>
      </c>
    </row>
    <row r="174" ht="16" customHeight="1">
      <c r="A174" s="16" t="inlineStr">
        <is>
          <t>CHATGPT-S1-F040</t>
        </is>
      </c>
      <c r="B174" s="16" t="inlineStr">
        <is>
          <t>CHATGPT</t>
        </is>
      </c>
      <c r="C174" s="16" t="inlineStr">
        <is>
          <t>S1</t>
        </is>
      </c>
      <c r="D174" s="16" t="inlineStr">
        <is>
          <t>sensitive_to_llm</t>
        </is>
      </c>
      <c r="E174" s="17" t="inlineStr">
        <is>
          <t>LLM-Assisted Sensitive Information Disclosure</t>
        </is>
      </c>
      <c r="F174" s="16" t="inlineStr">
        <is>
          <t>P5 → EE2 → P5 → P4 → P1 → EE1</t>
        </is>
      </c>
      <c r="G174" s="16" t="inlineStr"/>
      <c r="H174" s="16" t="inlineStr">
        <is>
          <t>CHATGPT/S1</t>
        </is>
      </c>
    </row>
    <row r="175" ht="16" customHeight="1">
      <c r="A175" s="16" t="inlineStr">
        <is>
          <t>CHATGPT-S1-F041</t>
        </is>
      </c>
      <c r="B175" s="16" t="inlineStr">
        <is>
          <t>CHATGPT</t>
        </is>
      </c>
      <c r="C175" s="16" t="inlineStr">
        <is>
          <t>S1</t>
        </is>
      </c>
      <c r="D175" s="16" t="inlineStr"/>
      <c r="E175" s="17" t="inlineStr">
        <is>
          <t>Unauthorized Data Inclusion in LLM Prompts</t>
        </is>
      </c>
      <c r="F175" s="16" t="inlineStr">
        <is>
          <t>P5 → EE2</t>
        </is>
      </c>
      <c r="G175" s="16" t="inlineStr"/>
      <c r="H175" s="16" t="inlineStr">
        <is>
          <t>CHATGPT/S1</t>
        </is>
      </c>
    </row>
    <row r="176" ht="16" customHeight="1">
      <c r="A176" s="16" t="inlineStr">
        <is>
          <t>CHATGPT-S1-F042</t>
        </is>
      </c>
      <c r="B176" s="16" t="inlineStr">
        <is>
          <t>CHATGPT</t>
        </is>
      </c>
      <c r="C176" s="16" t="inlineStr">
        <is>
          <t>S1</t>
        </is>
      </c>
      <c r="D176" s="16" t="inlineStr">
        <is>
          <t>malicious_upload</t>
        </is>
      </c>
      <c r="E176" s="17" t="inlineStr">
        <is>
          <t>Malicious LLM Output Injection</t>
        </is>
      </c>
      <c r="F176" s="16" t="inlineStr">
        <is>
          <t>EE2 → P5 → P4 → P1 → EE1</t>
        </is>
      </c>
      <c r="G176" s="16" t="inlineStr"/>
      <c r="H176" s="16" t="inlineStr">
        <is>
          <t>CHATGPT/S1</t>
        </is>
      </c>
    </row>
    <row r="177" ht="16" customHeight="1">
      <c r="A177" s="16" t="inlineStr">
        <is>
          <t>CHATGPT-S1-F043</t>
        </is>
      </c>
      <c r="B177" s="16" t="inlineStr">
        <is>
          <t>CHATGPT</t>
        </is>
      </c>
      <c r="C177" s="16" t="inlineStr">
        <is>
          <t>S1</t>
        </is>
      </c>
      <c r="D177" s="16" t="inlineStr">
        <is>
          <t>api_key</t>
        </is>
      </c>
      <c r="E177" s="17" t="inlineStr">
        <is>
          <t>AI Authentication Decision Bypass</t>
        </is>
      </c>
      <c r="F177" s="16" t="inlineStr">
        <is>
          <t>EE1 → P4/P5 → P1; P2 remains authentication authority</t>
        </is>
      </c>
      <c r="G177" s="16" t="inlineStr"/>
      <c r="H177" s="16" t="inlineStr">
        <is>
          <t>CHATGPT/S1</t>
        </is>
      </c>
    </row>
    <row r="178" ht="16" customHeight="1">
      <c r="A178" s="16" t="inlineStr">
        <is>
          <t>CHATGPT-S1-F044</t>
        </is>
      </c>
      <c r="B178" s="16" t="inlineStr">
        <is>
          <t>CHATGPT</t>
        </is>
      </c>
      <c r="C178" s="16" t="inlineStr">
        <is>
          <t>S1</t>
        </is>
      </c>
      <c r="D178" s="16" t="inlineStr">
        <is>
          <t>access_bypass_logic</t>
        </is>
      </c>
      <c r="E178" s="17" t="inlineStr">
        <is>
          <t>Unauthorized AI Action Execution</t>
        </is>
      </c>
      <c r="F178" s="16" t="inlineStr">
        <is>
          <t>EE1 → P4 → P5 → application environment</t>
        </is>
      </c>
      <c r="G178" s="16" t="inlineStr"/>
      <c r="H178" s="16" t="inlineStr">
        <is>
          <t>CHATGPT/S1</t>
        </is>
      </c>
    </row>
    <row r="179" ht="16" customHeight="1">
      <c r="A179" s="16" t="inlineStr">
        <is>
          <t>CHATGPT-S1-F045</t>
        </is>
      </c>
      <c r="B179" s="16" t="inlineStr">
        <is>
          <t>CHATGPT</t>
        </is>
      </c>
      <c r="C179" s="16" t="inlineStr">
        <is>
          <t>S1</t>
        </is>
      </c>
      <c r="D179" s="16" t="inlineStr">
        <is>
          <t>auth_bypass_logic</t>
        </is>
      </c>
      <c r="E179" s="17" t="inlineStr">
        <is>
          <t>Chatbot-Based Authentication Bypass</t>
        </is>
      </c>
      <c r="F179" s="16" t="inlineStr">
        <is>
          <t>EE1 → P1 → P4/P5; P2/P3</t>
        </is>
      </c>
      <c r="G179" s="16" t="inlineStr"/>
      <c r="H179" s="16" t="inlineStr">
        <is>
          <t>CHATGPT/S1</t>
        </is>
      </c>
    </row>
    <row r="180" ht="16" customHeight="1">
      <c r="A180" s="16" t="inlineStr">
        <is>
          <t>CHATGPT-S1-F046</t>
        </is>
      </c>
      <c r="B180" s="16" t="inlineStr">
        <is>
          <t>CHATGPT</t>
        </is>
      </c>
      <c r="C180" s="16" t="inlineStr">
        <is>
          <t>S1</t>
        </is>
      </c>
      <c r="D180" s="16" t="inlineStr"/>
      <c r="E180" s="17" t="inlineStr">
        <is>
          <t>Session Hijacking</t>
        </is>
      </c>
      <c r="F180" s="16" t="inlineStr">
        <is>
          <t>P3 ↔ DS2</t>
        </is>
      </c>
      <c r="G180" s="16" t="inlineStr"/>
      <c r="H180" s="16" t="inlineStr">
        <is>
          <t>CHATGPT/S1</t>
        </is>
      </c>
    </row>
    <row r="181" ht="16" customHeight="1">
      <c r="A181" s="16" t="inlineStr">
        <is>
          <t>CHATGPT-S1-F047</t>
        </is>
      </c>
      <c r="B181" s="16" t="inlineStr">
        <is>
          <t>CHATGPT</t>
        </is>
      </c>
      <c r="C181" s="16" t="inlineStr">
        <is>
          <t>S1</t>
        </is>
      </c>
      <c r="D181" s="16" t="inlineStr">
        <is>
          <t>auth_bypass_logic</t>
        </is>
      </c>
      <c r="E181" s="17" t="inlineStr">
        <is>
          <t>Unauthorized Session Creation or Persistence</t>
        </is>
      </c>
      <c r="F181" s="16" t="inlineStr">
        <is>
          <t>P2 → P3 → DS2</t>
        </is>
      </c>
      <c r="G181" s="16" t="inlineStr"/>
      <c r="H181" s="16" t="inlineStr">
        <is>
          <t>CHATGPT/S1</t>
        </is>
      </c>
    </row>
    <row r="182" ht="16" customHeight="1">
      <c r="A182" s="16" t="inlineStr">
        <is>
          <t>CHATGPT-S1-F048</t>
        </is>
      </c>
      <c r="B182" s="16" t="inlineStr">
        <is>
          <t>CHATGPT</t>
        </is>
      </c>
      <c r="C182" s="16" t="inlineStr">
        <is>
          <t>S1</t>
        </is>
      </c>
      <c r="D182" s="16" t="inlineStr">
        <is>
          <t>kb_disclosure</t>
        </is>
      </c>
      <c r="E182" s="17" t="inlineStr">
        <is>
          <t>Session Metadata Disclosure</t>
        </is>
      </c>
      <c r="F182" s="16" t="inlineStr">
        <is>
          <t>P3/DS2 → P1/P4/P5</t>
        </is>
      </c>
      <c r="G182" s="16" t="inlineStr"/>
      <c r="H182" s="16" t="inlineStr">
        <is>
          <t>CHATGPT/S1</t>
        </is>
      </c>
    </row>
    <row r="183" ht="16" customHeight="1">
      <c r="A183" s="16" t="inlineStr">
        <is>
          <t>CHATGPT-S1-F049</t>
        </is>
      </c>
      <c r="B183" s="16" t="inlineStr">
        <is>
          <t>CHATGPT</t>
        </is>
      </c>
      <c r="C183" s="16" t="inlineStr">
        <is>
          <t>S1</t>
        </is>
      </c>
      <c r="D183" s="16" t="inlineStr">
        <is>
          <t>unsafe_output</t>
        </is>
      </c>
      <c r="E183" s="17" t="inlineStr">
        <is>
          <t>AI-Assisted Unauthorized Account Modification</t>
        </is>
      </c>
      <c r="F183" s="16" t="inlineStr">
        <is>
          <t>EE1 → P4/P5 → application environment</t>
        </is>
      </c>
      <c r="G183" s="16" t="inlineStr"/>
      <c r="H183" s="16" t="inlineStr">
        <is>
          <t>CHATGPT/S1</t>
        </is>
      </c>
    </row>
    <row r="184" ht="16" customHeight="1">
      <c r="A184" s="16" t="inlineStr">
        <is>
          <t>CHATGPT-S1-F050</t>
        </is>
      </c>
      <c r="B184" s="16" t="inlineStr">
        <is>
          <t>CHATGPT</t>
        </is>
      </c>
      <c r="C184" s="16" t="inlineStr">
        <is>
          <t>S1</t>
        </is>
      </c>
      <c r="D184" s="16" t="inlineStr">
        <is>
          <t>enumeration</t>
        </is>
      </c>
      <c r="E184" s="17" t="inlineStr">
        <is>
          <t>Authentication Enumeration</t>
        </is>
      </c>
      <c r="F184" s="16" t="inlineStr">
        <is>
          <t>EE1 → P1 → P2 → P1 → EE1</t>
        </is>
      </c>
      <c r="G184" s="16" t="inlineStr"/>
      <c r="H184" s="16" t="inlineStr">
        <is>
          <t>CHATGPT/S1</t>
        </is>
      </c>
    </row>
    <row r="185" ht="16" customHeight="1">
      <c r="A185" s="16" t="inlineStr">
        <is>
          <t>CHATGPT-S1-F051</t>
        </is>
      </c>
      <c r="B185" s="16" t="inlineStr">
        <is>
          <t>CHATGPT</t>
        </is>
      </c>
      <c r="C185" s="16" t="inlineStr">
        <is>
          <t>S1</t>
        </is>
      </c>
      <c r="D185" s="16" t="inlineStr">
        <is>
          <t>brute_force</t>
        </is>
      </c>
      <c r="E185" s="17" t="inlineStr">
        <is>
          <t>Repeated Credential Guessing</t>
        </is>
      </c>
      <c r="F185" s="16" t="inlineStr">
        <is>
          <t>EE1 → P1 → P2 → DS1</t>
        </is>
      </c>
      <c r="G185" s="16" t="inlineStr"/>
      <c r="H185" s="16" t="inlineStr">
        <is>
          <t>CHATGPT/S1</t>
        </is>
      </c>
    </row>
    <row r="186" ht="16" customHeight="1">
      <c r="A186" s="16" t="inlineStr">
        <is>
          <t>CHATGPT-S1-F052</t>
        </is>
      </c>
      <c r="B186" s="16" t="inlineStr">
        <is>
          <t>CHATGPT</t>
        </is>
      </c>
      <c r="C186" s="16" t="inlineStr">
        <is>
          <t>S1</t>
        </is>
      </c>
      <c r="D186" s="16" t="inlineStr">
        <is>
          <t>session_store_tamper</t>
        </is>
      </c>
      <c r="E186" s="17" t="inlineStr">
        <is>
          <t>Manipulation of Approved Authentication Context</t>
        </is>
      </c>
      <c r="F186" s="16" t="inlineStr">
        <is>
          <t>DS3 → P4/P5 → EE2</t>
        </is>
      </c>
      <c r="G186" s="16" t="inlineStr"/>
      <c r="H186" s="16" t="inlineStr">
        <is>
          <t>CHATGPT/S1</t>
        </is>
      </c>
    </row>
    <row r="187" ht="16" customHeight="1">
      <c r="A187" s="16" t="inlineStr">
        <is>
          <t>CHATGPT-S1-F053</t>
        </is>
      </c>
      <c r="B187" s="16" t="inlineStr">
        <is>
          <t>CHATGPT</t>
        </is>
      </c>
      <c r="C187" s="16" t="inlineStr">
        <is>
          <t>S1</t>
        </is>
      </c>
      <c r="D187" s="16" t="inlineStr">
        <is>
          <t>malicious_upload</t>
        </is>
      </c>
      <c r="E187" s="17" t="inlineStr">
        <is>
          <t>Untrusted External LLM Response</t>
        </is>
      </c>
      <c r="F187" s="16" t="inlineStr">
        <is>
          <t>EE2 → P5 → P4/P1</t>
        </is>
      </c>
      <c r="G187" s="16" t="inlineStr"/>
      <c r="H187" s="16" t="inlineStr">
        <is>
          <t>CHATGPT/S1</t>
        </is>
      </c>
    </row>
    <row r="188" ht="16" customHeight="1">
      <c r="A188" s="16" t="inlineStr">
        <is>
          <t>CHATGPT-S1-F054</t>
        </is>
      </c>
      <c r="B188" s="16" t="inlineStr">
        <is>
          <t>CHATGPT</t>
        </is>
      </c>
      <c r="C188" s="16" t="inlineStr">
        <is>
          <t>S1</t>
        </is>
      </c>
      <c r="D188" s="16" t="inlineStr">
        <is>
          <t>sensitive_to_llm</t>
        </is>
      </c>
      <c r="E188" s="17" t="inlineStr">
        <is>
          <t>Unauthorized Cross-Boundary Data Transfer</t>
        </is>
      </c>
      <c r="F188" s="16" t="inlineStr">
        <is>
          <t>P5 → EE2</t>
        </is>
      </c>
      <c r="G188" s="16" t="inlineStr"/>
      <c r="H188" s="16" t="inlineStr">
        <is>
          <t>CHATGPT/S1</t>
        </is>
      </c>
    </row>
    <row r="189" ht="16" customHeight="1">
      <c r="A189" s="16" t="inlineStr">
        <is>
          <t>CHATGPT-S1-F055</t>
        </is>
      </c>
      <c r="B189" s="16" t="inlineStr">
        <is>
          <t>CHATGPT</t>
        </is>
      </c>
      <c r="C189" s="16" t="inlineStr">
        <is>
          <t>S1</t>
        </is>
      </c>
      <c r="D189" s="16" t="inlineStr">
        <is>
          <t>system_prompt_extract</t>
        </is>
      </c>
      <c r="E189" s="17" t="inlineStr">
        <is>
          <t>Data Extraction via Repeated Prompting</t>
        </is>
      </c>
      <c r="F189" s="16" t="inlineStr">
        <is>
          <t>EE1 → P4/P5 → EE2 → P4/P1</t>
        </is>
      </c>
      <c r="G189" s="16" t="inlineStr"/>
      <c r="H189" s="16" t="inlineStr">
        <is>
          <t>CHATGPT/S1</t>
        </is>
      </c>
    </row>
    <row r="190" ht="16" customHeight="1">
      <c r="A190" s="16" t="inlineStr">
        <is>
          <t>CHATGPT-S1-F056</t>
        </is>
      </c>
      <c r="B190" s="16" t="inlineStr">
        <is>
          <t>CHATGPT</t>
        </is>
      </c>
      <c r="C190" s="16" t="inlineStr">
        <is>
          <t>S1</t>
        </is>
      </c>
      <c r="D190" s="16" t="inlineStr">
        <is>
          <t>dos_service</t>
        </is>
      </c>
      <c r="E190" s="17" t="inlineStr">
        <is>
          <t>Authentication Resource Exhaustion</t>
        </is>
      </c>
      <c r="F190" s="16" t="inlineStr">
        <is>
          <t>EE1 → P1 → P2 → DS1</t>
        </is>
      </c>
      <c r="G190" s="16" t="inlineStr"/>
      <c r="H190" s="16" t="inlineStr">
        <is>
          <t>CHATGPT/S1</t>
        </is>
      </c>
    </row>
    <row r="191" ht="16" customHeight="1">
      <c r="A191" s="16" t="inlineStr">
        <is>
          <t>CHATGPT-S1-F057</t>
        </is>
      </c>
      <c r="B191" s="16" t="inlineStr">
        <is>
          <t>CHATGPT</t>
        </is>
      </c>
      <c r="C191" s="16" t="inlineStr">
        <is>
          <t>S1</t>
        </is>
      </c>
      <c r="D191" s="16" t="inlineStr">
        <is>
          <t>dos_service</t>
        </is>
      </c>
      <c r="E191" s="17" t="inlineStr">
        <is>
          <t>Excessive Prompt / LLM Resource Consumption</t>
        </is>
      </c>
      <c r="F191" s="16" t="inlineStr">
        <is>
          <t>EE1 → P1 → P4 → P5 → EE2</t>
        </is>
      </c>
      <c r="G191" s="16" t="inlineStr"/>
      <c r="H191" s="16" t="inlineStr">
        <is>
          <t>CHATGPT/S1</t>
        </is>
      </c>
    </row>
    <row r="192" ht="16" customHeight="1">
      <c r="A192" s="16" t="inlineStr">
        <is>
          <t>CHATGPT-S1-F058</t>
        </is>
      </c>
      <c r="B192" s="16" t="inlineStr">
        <is>
          <t>CHATGPT</t>
        </is>
      </c>
      <c r="C192" s="16" t="inlineStr">
        <is>
          <t>S1</t>
        </is>
      </c>
      <c r="D192" s="16" t="inlineStr">
        <is>
          <t>api_key</t>
        </is>
      </c>
      <c r="E192" s="17" t="inlineStr">
        <is>
          <t>AI-Assisted Authentication Deception</t>
        </is>
      </c>
      <c r="F192" s="16" t="inlineStr">
        <is>
          <t>EE1 → P4/P5 → EE2 → P1 → EE1</t>
        </is>
      </c>
      <c r="G192" s="16" t="inlineStr"/>
      <c r="H192" s="16" t="inlineStr">
        <is>
          <t>CHATGPT/S1</t>
        </is>
      </c>
    </row>
    <row r="193" ht="16" customHeight="1">
      <c r="A193" s="16" t="inlineStr">
        <is>
          <t>CHATGPT-S1-F059</t>
        </is>
      </c>
      <c r="B193" s="16" t="inlineStr">
        <is>
          <t>CHATGPT</t>
        </is>
      </c>
      <c r="C193" s="16" t="inlineStr">
        <is>
          <t>S1</t>
        </is>
      </c>
      <c r="D193" s="16" t="inlineStr">
        <is>
          <t>prompt_injection_indirect</t>
        </is>
      </c>
      <c r="E193" s="17" t="inlineStr">
        <is>
          <t>Incorrect AI-Generated Security Guidance</t>
        </is>
      </c>
      <c r="F193" s="16" t="inlineStr">
        <is>
          <t>EE2 → P5 → P4 → P1 → EE1</t>
        </is>
      </c>
      <c r="G193" s="16" t="inlineStr"/>
      <c r="H193" s="16" t="inlineStr">
        <is>
          <t>CHATGPT/S1</t>
        </is>
      </c>
    </row>
    <row r="194" ht="16" customHeight="1">
      <c r="A194" s="16" t="inlineStr">
        <is>
          <t>CHATGPT-S1-F060</t>
        </is>
      </c>
      <c r="B194" s="16" t="inlineStr">
        <is>
          <t>CHATGPT</t>
        </is>
      </c>
      <c r="C194" s="16" t="inlineStr">
        <is>
          <t>S1</t>
        </is>
      </c>
      <c r="D194" s="16" t="inlineStr">
        <is>
          <t>kb_disclosure</t>
        </is>
      </c>
      <c r="E194" s="17" t="inlineStr">
        <is>
          <t>Excessive Context Disclosure</t>
        </is>
      </c>
      <c r="F194" s="16" t="inlineStr">
        <is>
          <t>DS3 → P5 → EE2</t>
        </is>
      </c>
      <c r="G194" s="16" t="inlineStr"/>
      <c r="H194" s="16" t="inlineStr">
        <is>
          <t>CHATGPT/S1</t>
        </is>
      </c>
    </row>
    <row r="195" ht="16" customHeight="1">
      <c r="A195" s="16" t="inlineStr">
        <is>
          <t>CHATGPT-S1-F061</t>
        </is>
      </c>
      <c r="B195" s="16" t="inlineStr">
        <is>
          <t>CHATGPT</t>
        </is>
      </c>
      <c r="C195" s="16" t="inlineStr">
        <is>
          <t>S1</t>
        </is>
      </c>
      <c r="D195" s="16" t="inlineStr">
        <is>
          <t>access_bypass_logic</t>
        </is>
      </c>
      <c r="E195" s="17" t="inlineStr">
        <is>
          <t>AI Authority Confusion</t>
        </is>
      </c>
      <c r="F195" s="16" t="inlineStr">
        <is>
          <t>P1 ↔ P2/P3/P4/P5</t>
        </is>
      </c>
      <c r="G195" s="16" t="inlineStr"/>
      <c r="H195" s="16" t="inlineStr">
        <is>
          <t>CHATGPT/S1</t>
        </is>
      </c>
    </row>
    <row r="196" ht="16" customHeight="1">
      <c r="A196" s="16" t="inlineStr">
        <is>
          <t>CHATGPT-S1-F062</t>
        </is>
      </c>
      <c r="B196" s="16" t="inlineStr">
        <is>
          <t>CHATGPT</t>
        </is>
      </c>
      <c r="C196" s="16" t="inlineStr">
        <is>
          <t>S1</t>
        </is>
      </c>
      <c r="D196" s="16" t="inlineStr">
        <is>
          <t>verbose_error</t>
        </is>
      </c>
      <c r="E196" s="17" t="inlineStr">
        <is>
          <t>Internal Error Information Leakage</t>
        </is>
      </c>
      <c r="F196" s="16" t="inlineStr">
        <is>
          <t>P5 → P4 → P1 → EE1</t>
        </is>
      </c>
      <c r="G196" s="16" t="inlineStr"/>
      <c r="H196" s="16" t="inlineStr">
        <is>
          <t>CHATGPT/S1</t>
        </is>
      </c>
    </row>
    <row r="197" ht="16" customHeight="1">
      <c r="A197" s="16" t="inlineStr">
        <is>
          <t>CHATGPT-S1-F063</t>
        </is>
      </c>
      <c r="B197" s="16" t="inlineStr">
        <is>
          <t>CHATGPT</t>
        </is>
      </c>
      <c r="C197" s="16" t="inlineStr">
        <is>
          <t>S1</t>
        </is>
      </c>
      <c r="D197" s="16" t="inlineStr"/>
      <c r="E197" s="17" t="inlineStr">
        <is>
          <t>Insufficient Authentication Event Traceability</t>
        </is>
      </c>
      <c r="F197" s="16" t="inlineStr">
        <is>
          <t>P2 → DS1; P3 → DS2</t>
        </is>
      </c>
      <c r="G197" s="16" t="inlineStr"/>
      <c r="H197" s="16" t="inlineStr">
        <is>
          <t>CHATGPT/S1</t>
        </is>
      </c>
    </row>
    <row r="198" ht="16" customHeight="1">
      <c r="A198" s="16" t="inlineStr">
        <is>
          <t>CHATGPT-S1-F064</t>
        </is>
      </c>
      <c r="B198" s="16" t="inlineStr">
        <is>
          <t>CHATGPT</t>
        </is>
      </c>
      <c r="C198" s="16" t="inlineStr">
        <is>
          <t>S1</t>
        </is>
      </c>
      <c r="D198" s="16" t="inlineStr">
        <is>
          <t>session_store_tamper</t>
        </is>
      </c>
      <c r="E198" s="17" t="inlineStr">
        <is>
          <t>Authentication Record Tampering</t>
        </is>
      </c>
      <c r="F198" s="16" t="inlineStr">
        <is>
          <t>P2 ↔ DS1</t>
        </is>
      </c>
      <c r="G198" s="16" t="inlineStr"/>
      <c r="H198" s="16" t="inlineStr">
        <is>
          <t>CHATGPT/S1</t>
        </is>
      </c>
    </row>
    <row r="199" ht="16" customHeight="1">
      <c r="A199" s="16" t="inlineStr">
        <is>
          <t>CHATGPT-S1-F065</t>
        </is>
      </c>
      <c r="B199" s="16" t="inlineStr">
        <is>
          <t>CHATGPT</t>
        </is>
      </c>
      <c r="C199" s="16" t="inlineStr">
        <is>
          <t>S1</t>
        </is>
      </c>
      <c r="D199" s="16" t="inlineStr">
        <is>
          <t>session_store_tamper</t>
        </is>
      </c>
      <c r="E199" s="17" t="inlineStr">
        <is>
          <t>Session State Tampering</t>
        </is>
      </c>
      <c r="F199" s="16" t="inlineStr">
        <is>
          <t>P3 ↔ DS2</t>
        </is>
      </c>
      <c r="G199" s="16" t="inlineStr"/>
      <c r="H199" s="16" t="inlineStr">
        <is>
          <t>CHATGPT/S1</t>
        </is>
      </c>
    </row>
    <row r="200" ht="16" customHeight="1">
      <c r="A200" s="16" t="inlineStr">
        <is>
          <t>CHATGPT-S1-F066</t>
        </is>
      </c>
      <c r="B200" s="16" t="inlineStr">
        <is>
          <t>CHATGPT</t>
        </is>
      </c>
      <c r="C200" s="16" t="inlineStr">
        <is>
          <t>S1</t>
        </is>
      </c>
      <c r="D200" s="16" t="inlineStr">
        <is>
          <t>api_key</t>
        </is>
      </c>
      <c r="E200" s="17" t="inlineStr">
        <is>
          <t>Credential Data Crossing the LLM Boundary</t>
        </is>
      </c>
      <c r="F200" s="16" t="inlineStr">
        <is>
          <t>DS1/P2 → P5 → EE2</t>
        </is>
      </c>
      <c r="G200" s="16" t="inlineStr"/>
      <c r="H200" s="16" t="inlineStr">
        <is>
          <t>CHATGPT/S1</t>
        </is>
      </c>
    </row>
    <row r="201" ht="16" customHeight="1">
      <c r="A201" s="16" t="inlineStr">
        <is>
          <t>CHATGPT-S1-F067</t>
        </is>
      </c>
      <c r="B201" s="16" t="inlineStr">
        <is>
          <t>CHATGPT</t>
        </is>
      </c>
      <c r="C201" s="16" t="inlineStr">
        <is>
          <t>S1</t>
        </is>
      </c>
      <c r="D201" s="16" t="inlineStr">
        <is>
          <t>auth_bypass_logic</t>
        </is>
      </c>
      <c r="E201" s="17" t="inlineStr">
        <is>
          <t>Authorization-State Inference Through Chatbot</t>
        </is>
      </c>
      <c r="F201" s="16" t="inlineStr">
        <is>
          <t>EE1 → P4/P5 → P1</t>
        </is>
      </c>
      <c r="G201" s="16" t="inlineStr"/>
      <c r="H201" s="16" t="inlineStr">
        <is>
          <t>CHATGPT/S1</t>
        </is>
      </c>
    </row>
    <row r="202" ht="16" customHeight="1">
      <c r="A202" s="16" t="inlineStr">
        <is>
          <t>CHATGPT-S1-F068</t>
        </is>
      </c>
      <c r="B202" s="16" t="inlineStr">
        <is>
          <t>CHATGPT</t>
        </is>
      </c>
      <c r="C202" s="16" t="inlineStr">
        <is>
          <t>S1</t>
        </is>
      </c>
      <c r="D202" s="16" t="inlineStr">
        <is>
          <t>prompt_injection_direct</t>
        </is>
      </c>
      <c r="E202" s="17" t="inlineStr">
        <is>
          <t>End-to-End Prompt Injection Exploitation</t>
        </is>
      </c>
      <c r="F202" s="16" t="inlineStr">
        <is>
          <t>EE1 → P1 → P4 → P5 → EE2 → P5 → P1</t>
        </is>
      </c>
      <c r="G202" s="16" t="inlineStr"/>
      <c r="H202" s="16" t="inlineStr">
        <is>
          <t>CHATGPT/S1</t>
        </is>
      </c>
    </row>
    <row r="203" ht="16" customHeight="1">
      <c r="A203" s="16" t="inlineStr">
        <is>
          <t>CHATGPT-S1-F069</t>
        </is>
      </c>
      <c r="B203" s="16" t="inlineStr">
        <is>
          <t>CHATGPT</t>
        </is>
      </c>
      <c r="C203" s="16" t="inlineStr">
        <is>
          <t>S1</t>
        </is>
      </c>
      <c r="D203" s="16" t="inlineStr">
        <is>
          <t>sensitive_to_llm</t>
        </is>
      </c>
      <c r="E203" s="17" t="inlineStr">
        <is>
          <t>Conversational Context Leakage</t>
        </is>
      </c>
      <c r="F203" s="16" t="inlineStr">
        <is>
          <t>EE1 → P1 → P4/P5 → EE2</t>
        </is>
      </c>
      <c r="G203" s="16" t="inlineStr"/>
      <c r="H203" s="16" t="inlineStr">
        <is>
          <t>CHATGPT/S1</t>
        </is>
      </c>
    </row>
    <row r="204" ht="16" customHeight="1">
      <c r="A204" s="16" t="inlineStr">
        <is>
          <t>CHATGPT-S1-F070</t>
        </is>
      </c>
      <c r="B204" s="16" t="inlineStr">
        <is>
          <t>CHATGPT</t>
        </is>
      </c>
      <c r="C204" s="16" t="inlineStr">
        <is>
          <t>S1</t>
        </is>
      </c>
      <c r="D204" s="16" t="inlineStr">
        <is>
          <t>auth_bypass_logic</t>
        </is>
      </c>
      <c r="E204" s="17" t="inlineStr">
        <is>
          <t>Security Decision Delegation to the LLM</t>
        </is>
      </c>
      <c r="F204" s="16" t="inlineStr">
        <is>
          <t>P4/P5 ↔ P1/P2/P3</t>
        </is>
      </c>
      <c r="G204" s="16" t="inlineStr"/>
      <c r="H204" s="16" t="inlineStr">
        <is>
          <t>CHATGPT/S1</t>
        </is>
      </c>
    </row>
    <row r="205" ht="16" customHeight="1">
      <c r="A205" s="16" t="inlineStr">
        <is>
          <t>CHATGPT-S1-F071</t>
        </is>
      </c>
      <c r="B205" s="16" t="inlineStr">
        <is>
          <t>CHATGPT</t>
        </is>
      </c>
      <c r="C205" s="16" t="inlineStr">
        <is>
          <t>S1</t>
        </is>
      </c>
      <c r="D205" s="16" t="inlineStr">
        <is>
          <t>dos_service</t>
        </is>
      </c>
      <c r="E205" s="17" t="inlineStr">
        <is>
          <t>Adversarial LLM Query Flooding</t>
        </is>
      </c>
      <c r="F205" s="16" t="inlineStr">
        <is>
          <t>EE1 → P1 → P4 → P5 → EE2</t>
        </is>
      </c>
      <c r="G205" s="16" t="inlineStr"/>
      <c r="H205" s="16" t="inlineStr">
        <is>
          <t>CHATGPT/S1</t>
        </is>
      </c>
    </row>
    <row r="206" ht="16" customHeight="1">
      <c r="A206" s="16" t="inlineStr">
        <is>
          <t>CHATGPT-S1-F072</t>
        </is>
      </c>
      <c r="B206" s="16" t="inlineStr">
        <is>
          <t>CHATGPT</t>
        </is>
      </c>
      <c r="C206" s="16" t="inlineStr">
        <is>
          <t>S1</t>
        </is>
      </c>
      <c r="D206" s="16" t="inlineStr">
        <is>
          <t>auth_bypass_logic</t>
        </is>
      </c>
      <c r="E206" s="17" t="inlineStr">
        <is>
          <t>AI Capability Creep</t>
        </is>
      </c>
      <c r="F206" s="16" t="inlineStr">
        <is>
          <t>P4/P5 ↔ P2/P3/DS1/DS2</t>
        </is>
      </c>
      <c r="G206" s="16" t="inlineStr"/>
      <c r="H206" s="16" t="inlineStr">
        <is>
          <t>CHATGPT/S1</t>
        </is>
      </c>
    </row>
    <row r="207" ht="16" customHeight="1">
      <c r="A207" s="16" t="inlineStr">
        <is>
          <t>OLLAMA-S1-F001</t>
        </is>
      </c>
      <c r="B207" s="16" t="inlineStr">
        <is>
          <t>OLLAMA</t>
        </is>
      </c>
      <c r="C207" s="16" t="inlineStr">
        <is>
          <t>S1</t>
        </is>
      </c>
      <c r="D207" s="16" t="inlineStr">
        <is>
          <t>auth_bypass_logic</t>
        </is>
      </c>
      <c r="E207" s="17" t="inlineStr">
        <is>
          <t>Unauthorized Access</t>
        </is>
      </c>
      <c r="F207" s="16" t="inlineStr">
        <is>
          <t>P2, User Database, Session Storage</t>
        </is>
      </c>
      <c r="G207" s="16" t="inlineStr"/>
      <c r="H207" s="16" t="inlineStr">
        <is>
          <t>OLLAMA/S1</t>
        </is>
      </c>
    </row>
    <row r="208" ht="16" customHeight="1">
      <c r="A208" s="16" t="inlineStr">
        <is>
          <t>OLLAMA-S1-F002</t>
        </is>
      </c>
      <c r="B208" s="16" t="inlineStr">
        <is>
          <t>OLLAMA</t>
        </is>
      </c>
      <c r="C208" s="16" t="inlineStr">
        <is>
          <t>S1</t>
        </is>
      </c>
      <c r="D208" s="16" t="inlineStr">
        <is>
          <t>session_store_tamper</t>
        </is>
      </c>
      <c r="E208" s="17" t="inlineStr">
        <is>
          <t>Data Tampering</t>
        </is>
      </c>
      <c r="F208" s="16" t="inlineStr">
        <is>
          <t>P3, Session Management Module, Session Storage</t>
        </is>
      </c>
      <c r="G208" s="16" t="inlineStr"/>
      <c r="H208" s="16" t="inlineStr">
        <is>
          <t>OLLAMA/S1</t>
        </is>
      </c>
    </row>
    <row r="209" ht="16" customHeight="1">
      <c r="A209" s="16" t="inlineStr">
        <is>
          <t>OLLAMA-S1-F003</t>
        </is>
      </c>
      <c r="B209" s="16" t="inlineStr">
        <is>
          <t>OLLAMA</t>
        </is>
      </c>
      <c r="C209" s="16" t="inlineStr">
        <is>
          <t>S1</t>
        </is>
      </c>
      <c r="D209" s="16" t="inlineStr"/>
      <c r="E209" s="17" t="inlineStr">
        <is>
          <t>Malicious LLM Output</t>
        </is>
      </c>
      <c r="F209" s="16" t="inlineStr">
        <is>
          <t>LLM Integration Service, External LLM Provider</t>
        </is>
      </c>
      <c r="G209" s="16" t="inlineStr"/>
      <c r="H209" s="16" t="inlineStr">
        <is>
          <t>OLLAMA/S1</t>
        </is>
      </c>
    </row>
    <row r="210" ht="16" customHeight="1">
      <c r="A210" s="16" t="inlineStr">
        <is>
          <t>OLLAMA-S1-F004</t>
        </is>
      </c>
      <c r="B210" s="16" t="inlineStr">
        <is>
          <t>OLLAMA</t>
        </is>
      </c>
      <c r="C210" s="16" t="inlineStr">
        <is>
          <t>S1</t>
        </is>
      </c>
      <c r="D210" s="16" t="inlineStr">
        <is>
          <t>prompt_injection_direct</t>
        </is>
      </c>
      <c r="E210" s="17" t="inlineStr">
        <is>
          <t>Prompt Injection</t>
        </is>
      </c>
      <c r="F210" s="16" t="inlineStr">
        <is>
          <t>P5, LLM Integration Service, External LLM Provider</t>
        </is>
      </c>
      <c r="G210" s="16" t="inlineStr"/>
      <c r="H210" s="16" t="inlineStr">
        <is>
          <t>OLLAMA/S1</t>
        </is>
      </c>
    </row>
    <row r="211" ht="16" customHeight="1">
      <c r="A211" s="16" t="inlineStr">
        <is>
          <t>OLLAMA-S1-F005</t>
        </is>
      </c>
      <c r="B211" s="16" t="inlineStr">
        <is>
          <t>OLLAMA</t>
        </is>
      </c>
      <c r="C211" s="16" t="inlineStr">
        <is>
          <t>S1</t>
        </is>
      </c>
      <c r="D211" s="16" t="inlineStr"/>
      <c r="E211" s="17" t="inlineStr">
        <is>
          <t>Insecure Input Validation</t>
        </is>
      </c>
      <c r="F211" s="16" t="inlineStr">
        <is>
          <t>P1, Web Frontend Interface</t>
        </is>
      </c>
      <c r="G211" s="16" t="inlineStr"/>
      <c r="H211" s="16" t="inlineStr">
        <is>
          <t>OLLAMA/S1</t>
        </is>
      </c>
    </row>
    <row r="212" ht="16" customHeight="1">
      <c r="A212" s="16" t="inlineStr">
        <is>
          <t>OLLAMA-S1-F006</t>
        </is>
      </c>
      <c r="B212" s="16" t="inlineStr">
        <is>
          <t>OLLAMA</t>
        </is>
      </c>
      <c r="C212" s="16" t="inlineStr">
        <is>
          <t>S1</t>
        </is>
      </c>
      <c r="D212" s="16" t="inlineStr"/>
      <c r="E212" s="17" t="inlineStr">
        <is>
          <t>Sensitive Information Disclosure</t>
        </is>
      </c>
      <c r="F212" s="16" t="inlineStr">
        <is>
          <t>P2, User Database</t>
        </is>
      </c>
      <c r="G212" s="16" t="inlineStr"/>
      <c r="H212" s="16" t="inlineStr">
        <is>
          <t>OLLAMA/S1</t>
        </is>
      </c>
    </row>
    <row r="213" ht="16" customHeight="1">
      <c r="A213" s="16" t="inlineStr">
        <is>
          <t>OLLAMA-S1-F007</t>
        </is>
      </c>
      <c r="B213" s="16" t="inlineStr">
        <is>
          <t>OLLAMA</t>
        </is>
      </c>
      <c r="C213" s="16" t="inlineStr">
        <is>
          <t>S1</t>
        </is>
      </c>
      <c r="D213" s="16" t="inlineStr">
        <is>
          <t>unsafe_output</t>
        </is>
      </c>
      <c r="E213" s="17" t="inlineStr">
        <is>
          <t>Insecure Output Handling</t>
        </is>
      </c>
      <c r="F213" s="16" t="inlineStr">
        <is>
          <t>LLM Integration Service, External LLM Provider</t>
        </is>
      </c>
      <c r="G213" s="16" t="inlineStr"/>
      <c r="H213" s="16" t="inlineStr">
        <is>
          <t>OLLAMA/S1</t>
        </is>
      </c>
    </row>
    <row r="214" ht="16" customHeight="1">
      <c r="A214" s="16" t="inlineStr">
        <is>
          <t>OLLAMA-S1-F008</t>
        </is>
      </c>
      <c r="B214" s="16" t="inlineStr">
        <is>
          <t>OLLAMA</t>
        </is>
      </c>
      <c r="C214" s="16" t="inlineStr">
        <is>
          <t>S1</t>
        </is>
      </c>
      <c r="D214" s="16" t="inlineStr">
        <is>
          <t>trust_boundary_data</t>
        </is>
      </c>
      <c r="E214" s="17" t="inlineStr">
        <is>
          <t>Trust Boundary Crossing (Data)</t>
        </is>
      </c>
      <c r="F214" s="16" t="inlineStr">
        <is>
          <t>External User Environment, Application Environment</t>
        </is>
      </c>
      <c r="G214" s="16" t="inlineStr"/>
      <c r="H214" s="16" t="inlineStr">
        <is>
          <t>OLLAMA/S1</t>
        </is>
      </c>
    </row>
    <row r="215" ht="16" customHeight="1">
      <c r="A215" s="16" t="inlineStr">
        <is>
          <t>OLLAMA-S1-F009</t>
        </is>
      </c>
      <c r="B215" s="16" t="inlineStr">
        <is>
          <t>OLLAMA</t>
        </is>
      </c>
      <c r="C215" s="16" t="inlineStr">
        <is>
          <t>S1</t>
        </is>
      </c>
      <c r="D215" s="16" t="inlineStr">
        <is>
          <t>session_store_tamper</t>
        </is>
      </c>
      <c r="E215" s="17" t="inlineStr">
        <is>
          <t>Trust Boundary Crossing (Session)</t>
        </is>
      </c>
      <c r="F215" s="16" t="inlineStr">
        <is>
          <t>Session Storage, External LLM Provider</t>
        </is>
      </c>
      <c r="G215" s="16" t="inlineStr"/>
      <c r="H215" s="16" t="inlineStr">
        <is>
          <t>OLLAMA/S1</t>
        </is>
      </c>
    </row>
    <row r="216" ht="16" customHeight="1">
      <c r="A216" s="16" t="inlineStr">
        <is>
          <t>OLLAMA-S1-F010</t>
        </is>
      </c>
      <c r="B216" s="16" t="inlineStr">
        <is>
          <t>OLLAMA</t>
        </is>
      </c>
      <c r="C216" s="16" t="inlineStr">
        <is>
          <t>S1</t>
        </is>
      </c>
      <c r="D216" s="16" t="inlineStr">
        <is>
          <t>auth_bypass_logic</t>
        </is>
      </c>
      <c r="E216" s="17" t="inlineStr">
        <is>
          <t>Unauthorized Access</t>
        </is>
      </c>
      <c r="F216" s="16" t="inlineStr">
        <is>
          <t>P2, User Database, Session Storage</t>
        </is>
      </c>
      <c r="G216" s="16" t="inlineStr"/>
      <c r="H216" s="16" t="inlineStr">
        <is>
          <t>OLLAMA/S1</t>
        </is>
      </c>
    </row>
    <row r="217" ht="16" customHeight="1">
      <c r="A217" s="16" t="inlineStr">
        <is>
          <t>OLLAMA-S1-F011</t>
        </is>
      </c>
      <c r="B217" s="16" t="inlineStr">
        <is>
          <t>OLLAMA</t>
        </is>
      </c>
      <c r="C217" s="16" t="inlineStr">
        <is>
          <t>S1</t>
        </is>
      </c>
      <c r="D217" s="16" t="inlineStr">
        <is>
          <t>session_store_tamper</t>
        </is>
      </c>
      <c r="E217" s="17" t="inlineStr">
        <is>
          <t>Data Tampering</t>
        </is>
      </c>
      <c r="F217" s="16" t="inlineStr">
        <is>
          <t>P3, Session Management Module, Session Storage</t>
        </is>
      </c>
      <c r="G217" s="16" t="inlineStr"/>
      <c r="H217" s="16" t="inlineStr">
        <is>
          <t>OLLAMA/S1</t>
        </is>
      </c>
    </row>
    <row r="218" ht="16" customHeight="1">
      <c r="A218" s="16" t="inlineStr">
        <is>
          <t>OLLAMA-S1-F012</t>
        </is>
      </c>
      <c r="B218" s="16" t="inlineStr">
        <is>
          <t>OLLAMA</t>
        </is>
      </c>
      <c r="C218" s="16" t="inlineStr">
        <is>
          <t>S1</t>
        </is>
      </c>
      <c r="D218" s="16" t="inlineStr"/>
      <c r="E218" s="17" t="inlineStr">
        <is>
          <t>Malicious LLM Output</t>
        </is>
      </c>
      <c r="F218" s="16" t="inlineStr">
        <is>
          <t>LLM Integration Service, External LLM Provider</t>
        </is>
      </c>
      <c r="G218" s="16" t="inlineStr"/>
      <c r="H218" s="16" t="inlineStr">
        <is>
          <t>OLLAMA/S1</t>
        </is>
      </c>
    </row>
    <row r="219" ht="16" customHeight="1">
      <c r="A219" s="16" t="inlineStr">
        <is>
          <t>OLLAMA-S1-F013</t>
        </is>
      </c>
      <c r="B219" s="16" t="inlineStr">
        <is>
          <t>OLLAMA</t>
        </is>
      </c>
      <c r="C219" s="16" t="inlineStr">
        <is>
          <t>S1</t>
        </is>
      </c>
      <c r="D219" s="16" t="inlineStr">
        <is>
          <t>prompt_injection_direct</t>
        </is>
      </c>
      <c r="E219" s="17" t="inlineStr">
        <is>
          <t>Prompt Injection</t>
        </is>
      </c>
      <c r="F219" s="16" t="inlineStr">
        <is>
          <t>P5, LLM Integration Service, External LLM Provider</t>
        </is>
      </c>
      <c r="G219" s="16" t="inlineStr"/>
      <c r="H219" s="16" t="inlineStr">
        <is>
          <t>OLLAMA/S1</t>
        </is>
      </c>
    </row>
    <row r="220" ht="16" customHeight="1">
      <c r="A220" s="16" t="inlineStr">
        <is>
          <t>OLLAMA-S1-F014</t>
        </is>
      </c>
      <c r="B220" s="16" t="inlineStr">
        <is>
          <t>OLLAMA</t>
        </is>
      </c>
      <c r="C220" s="16" t="inlineStr">
        <is>
          <t>S1</t>
        </is>
      </c>
      <c r="D220" s="16" t="inlineStr"/>
      <c r="E220" s="17" t="inlineStr">
        <is>
          <t>AI Component Evasion</t>
        </is>
      </c>
      <c r="F220" s="16" t="inlineStr">
        <is>
          <t>AI Chatbot Component, User Database, Session Storage</t>
        </is>
      </c>
      <c r="G220" s="16" t="inlineStr"/>
      <c r="H220" s="16" t="inlineStr">
        <is>
          <t>OLLAMA/S1</t>
        </is>
      </c>
    </row>
    <row r="221" ht="16" customHeight="1">
      <c r="A221" s="16" t="inlineStr">
        <is>
          <t>OLLAMA-S1-F015</t>
        </is>
      </c>
      <c r="B221" s="16" t="inlineStr">
        <is>
          <t>OLLAMA</t>
        </is>
      </c>
      <c r="C221" s="16" t="inlineStr">
        <is>
          <t>S1</t>
        </is>
      </c>
      <c r="D221" s="16" t="inlineStr"/>
      <c r="E221" s="17" t="inlineStr">
        <is>
          <t>Insecure Input Validation</t>
        </is>
      </c>
      <c r="F221" s="16" t="inlineStr">
        <is>
          <t>P1, Web Frontend Interface</t>
        </is>
      </c>
      <c r="G221" s="16" t="inlineStr"/>
      <c r="H221" s="16" t="inlineStr">
        <is>
          <t>OLLAMA/S1</t>
        </is>
      </c>
    </row>
    <row r="222" ht="16" customHeight="1">
      <c r="A222" s="16" t="inlineStr">
        <is>
          <t>OLLAMA-S1-F016</t>
        </is>
      </c>
      <c r="B222" s="16" t="inlineStr">
        <is>
          <t>OLLAMA</t>
        </is>
      </c>
      <c r="C222" s="16" t="inlineStr">
        <is>
          <t>S1</t>
        </is>
      </c>
      <c r="D222" s="16" t="inlineStr"/>
      <c r="E222" s="17" t="inlineStr">
        <is>
          <t>Sensitive Information Disclosure</t>
        </is>
      </c>
      <c r="F222" s="16" t="inlineStr">
        <is>
          <t>P2, User Database</t>
        </is>
      </c>
      <c r="G222" s="16" t="inlineStr"/>
      <c r="H222" s="16" t="inlineStr">
        <is>
          <t>OLLAMA/S1</t>
        </is>
      </c>
    </row>
    <row r="223" ht="16" customHeight="1">
      <c r="A223" s="16" t="inlineStr">
        <is>
          <t>OLLAMA-S1-F017</t>
        </is>
      </c>
      <c r="B223" s="16" t="inlineStr">
        <is>
          <t>OLLAMA</t>
        </is>
      </c>
      <c r="C223" s="16" t="inlineStr">
        <is>
          <t>S1</t>
        </is>
      </c>
      <c r="D223" s="16" t="inlineStr">
        <is>
          <t>unsafe_output</t>
        </is>
      </c>
      <c r="E223" s="17" t="inlineStr">
        <is>
          <t>Insecure Output Handling</t>
        </is>
      </c>
      <c r="F223" s="16" t="inlineStr">
        <is>
          <t>LLM Integration Service, External LLM Provider</t>
        </is>
      </c>
      <c r="G223" s="16" t="inlineStr"/>
      <c r="H223" s="16" t="inlineStr">
        <is>
          <t>OLLAMA/S1</t>
        </is>
      </c>
    </row>
    <row r="224" ht="16" customHeight="1">
      <c r="A224" s="16" t="inlineStr">
        <is>
          <t>OLLAMA-S1-F018</t>
        </is>
      </c>
      <c r="B224" s="16" t="inlineStr">
        <is>
          <t>OLLAMA</t>
        </is>
      </c>
      <c r="C224" s="16" t="inlineStr">
        <is>
          <t>S1</t>
        </is>
      </c>
      <c r="D224" s="16" t="inlineStr"/>
      <c r="E224" s="17" t="inlineStr">
        <is>
          <t>Lack of Secure Default Settings</t>
        </is>
      </c>
      <c r="F224" s="16" t="inlineStr">
        <is>
          <t>AI Chatbot Component, User Database</t>
        </is>
      </c>
      <c r="G224" s="16" t="inlineStr"/>
      <c r="H224" s="16" t="inlineStr">
        <is>
          <t>OLLAMA/S1</t>
        </is>
      </c>
    </row>
    <row r="225" ht="16" customHeight="1">
      <c r="A225" s="16" t="inlineStr">
        <is>
          <t>OLLAMA-S1-F019</t>
        </is>
      </c>
      <c r="B225" s="16" t="inlineStr">
        <is>
          <t>OLLAMA</t>
        </is>
      </c>
      <c r="C225" s="16" t="inlineStr">
        <is>
          <t>S1</t>
        </is>
      </c>
      <c r="D225" s="16" t="inlineStr">
        <is>
          <t>session_store_tamper</t>
        </is>
      </c>
      <c r="E225" s="17" t="inlineStr">
        <is>
          <t>Inadequate Data Validation</t>
        </is>
      </c>
      <c r="F225" s="16" t="inlineStr">
        <is>
          <t>P3, Session Management Module, Session Storage</t>
        </is>
      </c>
      <c r="G225" s="16" t="inlineStr"/>
      <c r="H225" s="16" t="inlineStr">
        <is>
          <t>OLLAMA/S1</t>
        </is>
      </c>
    </row>
    <row r="226" ht="16" customHeight="1">
      <c r="A226" s="16" t="inlineStr">
        <is>
          <t>OLLAMA-S1-F020</t>
        </is>
      </c>
      <c r="B226" s="16" t="inlineStr">
        <is>
          <t>OLLAMA</t>
        </is>
      </c>
      <c r="C226" s="16" t="inlineStr">
        <is>
          <t>S1</t>
        </is>
      </c>
      <c r="D226" s="16" t="inlineStr">
        <is>
          <t>mass_disclosure</t>
        </is>
      </c>
      <c r="E226" s="17" t="inlineStr">
        <is>
          <t>Excessive Data Collection</t>
        </is>
      </c>
      <c r="F226" s="16" t="inlineStr">
        <is>
          <t>AI Chatbot Component, User Database</t>
        </is>
      </c>
      <c r="G226" s="16" t="inlineStr"/>
      <c r="H226" s="16" t="inlineStr">
        <is>
          <t>OLLAMA/S1</t>
        </is>
      </c>
    </row>
    <row r="227" ht="16" customHeight="1">
      <c r="A227" s="16" t="inlineStr">
        <is>
          <t>OLLAMA-S1-F021</t>
        </is>
      </c>
      <c r="B227" s="16" t="inlineStr">
        <is>
          <t>OLLAMA</t>
        </is>
      </c>
      <c r="C227" s="16" t="inlineStr">
        <is>
          <t>S1</t>
        </is>
      </c>
      <c r="D227" s="16" t="inlineStr"/>
      <c r="E227" s="17" t="inlineStr">
        <is>
          <t>Inadequate Error Handling</t>
        </is>
      </c>
      <c r="F227" s="16" t="inlineStr">
        <is>
          <t>LLM Integration Service, External LLM Provider</t>
        </is>
      </c>
      <c r="G227" s="16" t="inlineStr"/>
      <c r="H227" s="16" t="inlineStr">
        <is>
          <t>OLLAMA/S1</t>
        </is>
      </c>
    </row>
    <row r="228" ht="16" customHeight="1">
      <c r="A228" s="16" t="inlineStr">
        <is>
          <t>OLLAMA-S1-F022</t>
        </is>
      </c>
      <c r="B228" s="16" t="inlineStr">
        <is>
          <t>OLLAMA</t>
        </is>
      </c>
      <c r="C228" s="16" t="inlineStr">
        <is>
          <t>S1</t>
        </is>
      </c>
      <c r="D228" s="16" t="inlineStr"/>
      <c r="E228" s="17" t="inlineStr">
        <is>
          <t>Insufficient Logging and Monitoring</t>
        </is>
      </c>
      <c r="F228" s="16" t="inlineStr">
        <is>
          <t>AI Chatbot Component, User Database, Session Storage</t>
        </is>
      </c>
      <c r="G228" s="16" t="inlineStr"/>
      <c r="H228" s="16" t="inlineStr">
        <is>
          <t>OLLAMA/S1</t>
        </is>
      </c>
    </row>
    <row r="229" ht="16" customHeight="1">
      <c r="A229" s="16" t="inlineStr">
        <is>
          <t>OLLAMA-S1-F023</t>
        </is>
      </c>
      <c r="B229" s="16" t="inlineStr">
        <is>
          <t>OLLAMA</t>
        </is>
      </c>
      <c r="C229" s="16" t="inlineStr">
        <is>
          <t>S1</t>
        </is>
      </c>
      <c r="D229" s="16" t="inlineStr"/>
      <c r="E229" s="17" t="inlineStr">
        <is>
          <t>Inadequate Secure Coding Practices</t>
        </is>
      </c>
      <c r="F229" s="16" t="inlineStr">
        <is>
          <t>P1, Web Frontend Interface</t>
        </is>
      </c>
      <c r="G229" s="16" t="inlineStr"/>
      <c r="H229" s="16" t="inlineStr">
        <is>
          <t>OLLAMA/S1</t>
        </is>
      </c>
    </row>
    <row r="230" ht="16" customHeight="1">
      <c r="A230" s="16" t="inlineStr">
        <is>
          <t>OLLAMA-S1-F024</t>
        </is>
      </c>
      <c r="B230" s="16" t="inlineStr">
        <is>
          <t>OLLAMA</t>
        </is>
      </c>
      <c r="C230" s="16" t="inlineStr">
        <is>
          <t>S1</t>
        </is>
      </c>
      <c r="D230" s="16" t="inlineStr"/>
      <c r="E230" s="17" t="inlineStr">
        <is>
          <t>Inadequate Secure Configuration Management</t>
        </is>
      </c>
      <c r="F230" s="16" t="inlineStr">
        <is>
          <t>AI Chatbot Component, User Database</t>
        </is>
      </c>
      <c r="G230" s="16" t="inlineStr"/>
      <c r="H230" s="16" t="inlineStr">
        <is>
          <t>OLLAMA/S1</t>
        </is>
      </c>
    </row>
    <row r="231" ht="16" customHeight="1">
      <c r="A231" s="16" t="inlineStr">
        <is>
          <t>OLLAMA-S1-F025</t>
        </is>
      </c>
      <c r="B231" s="16" t="inlineStr">
        <is>
          <t>OLLAMA</t>
        </is>
      </c>
      <c r="C231" s="16" t="inlineStr">
        <is>
          <t>S1</t>
        </is>
      </c>
      <c r="D231" s="16" t="inlineStr">
        <is>
          <t>model_substitution</t>
        </is>
      </c>
      <c r="E231" s="17" t="inlineStr">
        <is>
          <t>Data Exfiltration through External LLM Provider</t>
        </is>
      </c>
      <c r="F231" s="16" t="inlineStr">
        <is>
          <t>External LLM Provider, User Database</t>
        </is>
      </c>
      <c r="G231" s="16" t="inlineStr"/>
      <c r="H231" s="16" t="inlineStr">
        <is>
          <t>OLLAMA/S1</t>
        </is>
      </c>
    </row>
    <row r="232" ht="16" customHeight="1">
      <c r="A232" s="16" t="inlineStr">
        <is>
          <t>OLLAMA-S1-F026</t>
        </is>
      </c>
      <c r="B232" s="16" t="inlineStr">
        <is>
          <t>OLLAMA</t>
        </is>
      </c>
      <c r="C232" s="16" t="inlineStr">
        <is>
          <t>S1</t>
        </is>
      </c>
      <c r="D232" s="16" t="inlineStr"/>
      <c r="E232" s="17" t="inlineStr">
        <is>
          <t>Unauthorized Access to AI Component</t>
        </is>
      </c>
      <c r="F232" s="16" t="inlineStr">
        <is>
          <t>AI Chatbot Component, User Database</t>
        </is>
      </c>
      <c r="G232" s="16" t="inlineStr"/>
      <c r="H232" s="16" t="inlineStr">
        <is>
          <t>OLLAMA/S1</t>
        </is>
      </c>
    </row>
    <row r="233" ht="16" customHeight="1">
      <c r="A233" s="16" t="inlineStr">
        <is>
          <t>OLLAMA-S1-F027</t>
        </is>
      </c>
      <c r="B233" s="16" t="inlineStr">
        <is>
          <t>OLLAMA</t>
        </is>
      </c>
      <c r="C233" s="16" t="inlineStr">
        <is>
          <t>S1</t>
        </is>
      </c>
      <c r="D233" s="16" t="inlineStr">
        <is>
          <t>prompt_injection_direct</t>
        </is>
      </c>
      <c r="E233" s="17" t="inlineStr">
        <is>
          <t>Malicious Prompt Injection through Web Frontend Interface</t>
        </is>
      </c>
      <c r="F233" s="16" t="inlineStr">
        <is>
          <t>P1, LLM Integration Service</t>
        </is>
      </c>
      <c r="G233" s="16" t="inlineStr"/>
      <c r="H233" s="16" t="inlineStr">
        <is>
          <t>OLLAMA/S1</t>
        </is>
      </c>
    </row>
    <row r="234" ht="16" customHeight="1">
      <c r="A234" s="16" t="inlineStr">
        <is>
          <t>OLLAMA-S1-F028</t>
        </is>
      </c>
      <c r="B234" s="16" t="inlineStr">
        <is>
          <t>OLLAMA</t>
        </is>
      </c>
      <c r="C234" s="16" t="inlineStr">
        <is>
          <t>S1</t>
        </is>
      </c>
      <c r="D234" s="16" t="inlineStr">
        <is>
          <t>prompt_injection_direct</t>
        </is>
      </c>
      <c r="E234" s="17" t="inlineStr">
        <is>
          <t>Malicious Prompt Injection through AI Chatbot Component</t>
        </is>
      </c>
      <c r="F234" s="16" t="inlineStr">
        <is>
          <t>AI Chatbot Component, LLM Integration Service</t>
        </is>
      </c>
      <c r="G234" s="16" t="inlineStr"/>
      <c r="H234" s="16" t="inlineStr">
        <is>
          <t>OLLAMA/S1</t>
        </is>
      </c>
    </row>
    <row r="235" ht="16" customHeight="1">
      <c r="A235" s="16" t="inlineStr">
        <is>
          <t>OLLAMA-S1-F029</t>
        </is>
      </c>
      <c r="B235" s="16" t="inlineStr">
        <is>
          <t>OLLAMA</t>
        </is>
      </c>
      <c r="C235" s="16" t="inlineStr">
        <is>
          <t>S1</t>
        </is>
      </c>
      <c r="D235" s="16" t="inlineStr"/>
      <c r="E235" s="17" t="inlineStr">
        <is>
          <t>Unauthorized Access to User Database</t>
        </is>
      </c>
      <c r="F235" s="16" t="inlineStr">
        <is>
          <t>P2, User Database</t>
        </is>
      </c>
      <c r="G235" s="16" t="inlineStr"/>
      <c r="H235" s="16" t="inlineStr">
        <is>
          <t>OLLAMA/S1</t>
        </is>
      </c>
    </row>
    <row r="236" ht="16" customHeight="1">
      <c r="A236" s="16" t="inlineStr">
        <is>
          <t>OLLAMA-S1-F030</t>
        </is>
      </c>
      <c r="B236" s="16" t="inlineStr">
        <is>
          <t>OLLAMA</t>
        </is>
      </c>
      <c r="C236" s="16" t="inlineStr">
        <is>
          <t>S1</t>
        </is>
      </c>
      <c r="D236" s="16" t="inlineStr">
        <is>
          <t>session_store_tamper</t>
        </is>
      </c>
      <c r="E236" s="17" t="inlineStr">
        <is>
          <t>Unauthorized Access to Session Storage</t>
        </is>
      </c>
      <c r="F236" s="16" t="inlineStr">
        <is>
          <t>P3, Session Storage</t>
        </is>
      </c>
      <c r="G236" s="16" t="inlineStr"/>
      <c r="H236" s="16" t="inlineStr">
        <is>
          <t>OLLAMA/S1</t>
        </is>
      </c>
    </row>
    <row r="237" ht="16" customHeight="1">
      <c r="A237" s="16" t="inlineStr">
        <is>
          <t>OLLAMA-S1-F031</t>
        </is>
      </c>
      <c r="B237" s="16" t="inlineStr">
        <is>
          <t>OLLAMA</t>
        </is>
      </c>
      <c r="C237" s="16" t="inlineStr">
        <is>
          <t>S1</t>
        </is>
      </c>
      <c r="D237" s="16" t="inlineStr"/>
      <c r="E237" s="17" t="inlineStr">
        <is>
          <t>Malicious LLM Output through External LLM Provider</t>
        </is>
      </c>
      <c r="F237" s="16" t="inlineStr">
        <is>
          <t>External LLM Provider, LLM Integration Service</t>
        </is>
      </c>
      <c r="G237" s="16" t="inlineStr"/>
      <c r="H237" s="16" t="inlineStr">
        <is>
          <t>OLLAMA/S1</t>
        </is>
      </c>
    </row>
    <row r="238" ht="16" customHeight="1">
      <c r="A238" s="16" t="inlineStr">
        <is>
          <t>OLLAMA-S1-F032</t>
        </is>
      </c>
      <c r="B238" s="16" t="inlineStr">
        <is>
          <t>OLLAMA</t>
        </is>
      </c>
      <c r="C238" s="16" t="inlineStr">
        <is>
          <t>S1</t>
        </is>
      </c>
      <c r="D238" s="16" t="inlineStr"/>
      <c r="E238" s="17" t="inlineStr">
        <is>
          <t>Malicious LLM Output through AI Chatbot Component</t>
        </is>
      </c>
      <c r="F238" s="16" t="inlineStr">
        <is>
          <t>AI Chatbot Component, LLM Integration Service</t>
        </is>
      </c>
      <c r="G238" s="16" t="inlineStr"/>
      <c r="H238" s="16" t="inlineStr">
        <is>
          <t>OLLAMA/S1</t>
        </is>
      </c>
    </row>
    <row r="239" ht="16" customHeight="1">
      <c r="A239" s="16" t="inlineStr">
        <is>
          <t>OLLAMA-S1-F033</t>
        </is>
      </c>
      <c r="B239" s="16" t="inlineStr">
        <is>
          <t>OLLAMA</t>
        </is>
      </c>
      <c r="C239" s="16" t="inlineStr">
        <is>
          <t>S1</t>
        </is>
      </c>
      <c r="D239" s="16" t="inlineStr"/>
      <c r="E239" s="17" t="inlineStr">
        <is>
          <t>Overprivileged AI Component</t>
        </is>
      </c>
      <c r="F239" s="16" t="inlineStr">
        <is>
          <t>AI Chatbot Component, User Database</t>
        </is>
      </c>
      <c r="G239" s="16" t="inlineStr"/>
      <c r="H239" s="16" t="inlineStr">
        <is>
          <t>OLLAMA/S1</t>
        </is>
      </c>
    </row>
    <row r="240" ht="16" customHeight="1">
      <c r="A240" s="16" t="inlineStr">
        <is>
          <t>OLLAMA-S1-F034</t>
        </is>
      </c>
      <c r="B240" s="16" t="inlineStr">
        <is>
          <t>OLLAMA</t>
        </is>
      </c>
      <c r="C240" s="16" t="inlineStr">
        <is>
          <t>S1</t>
        </is>
      </c>
      <c r="D240" s="16" t="inlineStr">
        <is>
          <t>model_substitution</t>
        </is>
      </c>
      <c r="E240" s="17" t="inlineStr">
        <is>
          <t>Overprivileged External LLM Provider</t>
        </is>
      </c>
      <c r="F240" s="16" t="inlineStr">
        <is>
          <t>External LLM Provider, User Database</t>
        </is>
      </c>
      <c r="G240" s="16" t="inlineStr"/>
      <c r="H240" s="16" t="inlineStr">
        <is>
          <t>OLLAMA/S1</t>
        </is>
      </c>
    </row>
    <row r="241" ht="16" customHeight="1">
      <c r="A241" s="16" t="inlineStr">
        <is>
          <t>OLLAMA-S1-F035</t>
        </is>
      </c>
      <c r="B241" s="16" t="inlineStr">
        <is>
          <t>OLLAMA</t>
        </is>
      </c>
      <c r="C241" s="16" t="inlineStr">
        <is>
          <t>S1</t>
        </is>
      </c>
      <c r="D241" s="16" t="inlineStr">
        <is>
          <t>session_store_tamper</t>
        </is>
      </c>
      <c r="E241" s="17" t="inlineStr">
        <is>
          <t>Unauthorized Access to Session Storage</t>
        </is>
      </c>
      <c r="F241" s="16" t="inlineStr">
        <is>
          <t>P3, Session Storage</t>
        </is>
      </c>
      <c r="G241" s="16" t="inlineStr"/>
      <c r="H241" s="16" t="inlineStr">
        <is>
          <t>OLLAMA/S1</t>
        </is>
      </c>
    </row>
    <row r="242" ht="16" customHeight="1">
      <c r="A242" s="16" t="inlineStr">
        <is>
          <t>OLLAMA-S1-F036</t>
        </is>
      </c>
      <c r="B242" s="16" t="inlineStr">
        <is>
          <t>OLLAMA</t>
        </is>
      </c>
      <c r="C242" s="16" t="inlineStr">
        <is>
          <t>S1</t>
        </is>
      </c>
      <c r="D242" s="16" t="inlineStr">
        <is>
          <t>session_store_tamper</t>
        </is>
      </c>
      <c r="E242" s="17" t="inlineStr">
        <is>
          <t>Session Tampering through AI Chatbot Component</t>
        </is>
      </c>
      <c r="F242" s="16" t="inlineStr">
        <is>
          <t>AI Chatbot Component, Session Storage</t>
        </is>
      </c>
      <c r="G242" s="16" t="inlineStr"/>
      <c r="H242" s="16" t="inlineStr">
        <is>
          <t>OLLAMA/S1</t>
        </is>
      </c>
    </row>
    <row r="243" ht="16" customHeight="1">
      <c r="A243" s="16" t="inlineStr">
        <is>
          <t>OLLAMA-S1-F037</t>
        </is>
      </c>
      <c r="B243" s="16" t="inlineStr">
        <is>
          <t>OLLAMA</t>
        </is>
      </c>
      <c r="C243" s="16" t="inlineStr">
        <is>
          <t>S1</t>
        </is>
      </c>
      <c r="D243" s="16" t="inlineStr"/>
      <c r="E243" s="17" t="inlineStr">
        <is>
          <t>Unauthorized Access to User Database through P2</t>
        </is>
      </c>
      <c r="F243" s="16" t="inlineStr">
        <is>
          <t>P2, User Database</t>
        </is>
      </c>
      <c r="G243" s="16" t="inlineStr"/>
      <c r="H243" s="16" t="inlineStr">
        <is>
          <t>OLLAMA/S1</t>
        </is>
      </c>
    </row>
    <row r="244" ht="16" customHeight="1">
      <c r="A244" s="16" t="inlineStr">
        <is>
          <t>OLLAMA-S1-F038</t>
        </is>
      </c>
      <c r="B244" s="16" t="inlineStr">
        <is>
          <t>OLLAMA</t>
        </is>
      </c>
      <c r="C244" s="16" t="inlineStr">
        <is>
          <t>S1</t>
        </is>
      </c>
      <c r="D244" s="16" t="inlineStr">
        <is>
          <t>session_store_tamper</t>
        </is>
      </c>
      <c r="E244" s="17" t="inlineStr">
        <is>
          <t>Unauthorized Access to Session Storage through P3</t>
        </is>
      </c>
      <c r="F244" s="16" t="inlineStr">
        <is>
          <t>P3, Session Storage</t>
        </is>
      </c>
      <c r="G244" s="16" t="inlineStr"/>
      <c r="H244" s="16" t="inlineStr">
        <is>
          <t>OLLAMA/S1</t>
        </is>
      </c>
    </row>
    <row r="245" ht="16" customHeight="1">
      <c r="A245" s="16" t="inlineStr">
        <is>
          <t>OLLAMA-S1-F039</t>
        </is>
      </c>
      <c r="B245" s="16" t="inlineStr">
        <is>
          <t>OLLAMA</t>
        </is>
      </c>
      <c r="C245" s="16" t="inlineStr">
        <is>
          <t>S1</t>
        </is>
      </c>
      <c r="D245" s="16" t="inlineStr">
        <is>
          <t>model_substitution</t>
        </is>
      </c>
      <c r="E245" s="17" t="inlineStr">
        <is>
          <t>Unauthorized Access to User Database through External LLM Provider</t>
        </is>
      </c>
      <c r="F245" s="16" t="inlineStr">
        <is>
          <t>External LLM Provider, User Database</t>
        </is>
      </c>
      <c r="G245" s="16" t="inlineStr"/>
      <c r="H245" s="16" t="inlineStr">
        <is>
          <t>OLLAMA/S1</t>
        </is>
      </c>
    </row>
    <row r="246" ht="16" customHeight="1">
      <c r="A246" s="16" t="inlineStr">
        <is>
          <t>OLLAMA-S1-F040</t>
        </is>
      </c>
      <c r="B246" s="16" t="inlineStr">
        <is>
          <t>OLLAMA</t>
        </is>
      </c>
      <c r="C246" s="16" t="inlineStr">
        <is>
          <t>S1</t>
        </is>
      </c>
      <c r="D246" s="16" t="inlineStr">
        <is>
          <t>session_store_tamper</t>
        </is>
      </c>
      <c r="E246" s="17" t="inlineStr">
        <is>
          <t>Unauthorized Access to Session Storage through AI Chatbot Component</t>
        </is>
      </c>
      <c r="F246" s="16" t="inlineStr">
        <is>
          <t>AI Chatbot Component, Session Storage</t>
        </is>
      </c>
      <c r="G246" s="16" t="inlineStr"/>
      <c r="H246" s="16" t="inlineStr">
        <is>
          <t>OLLAMA/S1</t>
        </is>
      </c>
    </row>
    <row r="247" ht="16" customHeight="1">
      <c r="A247" s="16" t="inlineStr">
        <is>
          <t>THREMOLIA-S1-F001</t>
        </is>
      </c>
      <c r="B247" s="16" t="inlineStr">
        <is>
          <t>THREMOLIA</t>
        </is>
      </c>
      <c r="C247" s="16" t="inlineStr">
        <is>
          <t>S1</t>
        </is>
      </c>
      <c r="D247" s="16" t="inlineStr">
        <is>
          <t>credential_stuffing</t>
        </is>
      </c>
      <c r="E247" s="17" t="inlineStr"/>
      <c r="F247" s="16" t="inlineStr">
        <is>
          <t>EE1: End User</t>
        </is>
      </c>
      <c r="G247" s="16" t="inlineStr"/>
      <c r="H247" s="16" t="inlineStr">
        <is>
          <t>THREMOLIA/S1</t>
        </is>
      </c>
    </row>
    <row r="248" ht="16" customHeight="1">
      <c r="A248" s="16" t="inlineStr">
        <is>
          <t>THREMOLIA-S1-F002</t>
        </is>
      </c>
      <c r="B248" s="16" t="inlineStr">
        <is>
          <t>THREMOLIA</t>
        </is>
      </c>
      <c r="C248" s="16" t="inlineStr">
        <is>
          <t>S1</t>
        </is>
      </c>
      <c r="D248" s="16" t="inlineStr">
        <is>
          <t>repudiation</t>
        </is>
      </c>
      <c r="E248" s="17" t="inlineStr"/>
      <c r="F248" s="16" t="inlineStr">
        <is>
          <t>EE1: End User</t>
        </is>
      </c>
      <c r="G248" s="16" t="inlineStr"/>
      <c r="H248" s="16" t="inlineStr">
        <is>
          <t>THREMOLIA/S1</t>
        </is>
      </c>
    </row>
    <row r="249" ht="16" customHeight="1">
      <c r="A249" s="16" t="inlineStr">
        <is>
          <t>THREMOLIA-S1-F003</t>
        </is>
      </c>
      <c r="B249" s="16" t="inlineStr">
        <is>
          <t>THREMOLIA</t>
        </is>
      </c>
      <c r="C249" s="16" t="inlineStr">
        <is>
          <t>S1</t>
        </is>
      </c>
      <c r="D249" s="16" t="inlineStr">
        <is>
          <t>model_substitution</t>
        </is>
      </c>
      <c r="E249" s="17" t="inlineStr"/>
      <c r="F249" s="16" t="inlineStr">
        <is>
          <t>EE2: External LLM Provider</t>
        </is>
      </c>
      <c r="G249" s="16" t="inlineStr"/>
      <c r="H249" s="16" t="inlineStr">
        <is>
          <t>THREMOLIA/S1</t>
        </is>
      </c>
    </row>
    <row r="250" ht="16" customHeight="1">
      <c r="A250" s="16" t="inlineStr">
        <is>
          <t>THREMOLIA-S1-F004</t>
        </is>
      </c>
      <c r="B250" s="16" t="inlineStr">
        <is>
          <t>THREMOLIA</t>
        </is>
      </c>
      <c r="C250" s="16" t="inlineStr">
        <is>
          <t>S1</t>
        </is>
      </c>
      <c r="D250" s="16" t="inlineStr">
        <is>
          <t>repudiation</t>
        </is>
      </c>
      <c r="E250" s="17" t="inlineStr"/>
      <c r="F250" s="16" t="inlineStr">
        <is>
          <t>EE2: External LLM Provider</t>
        </is>
      </c>
      <c r="G250" s="16" t="inlineStr"/>
      <c r="H250" s="16" t="inlineStr">
        <is>
          <t>THREMOLIA/S1</t>
        </is>
      </c>
    </row>
    <row r="251" ht="16" customHeight="1">
      <c r="A251" s="16" t="inlineStr">
        <is>
          <t>THREMOLIA-S1-F005</t>
        </is>
      </c>
      <c r="B251" s="16" t="inlineStr">
        <is>
          <t>THREMOLIA</t>
        </is>
      </c>
      <c r="C251" s="16" t="inlineStr">
        <is>
          <t>S1</t>
        </is>
      </c>
      <c r="D251" s="16" t="inlineStr">
        <is>
          <t>phishing</t>
        </is>
      </c>
      <c r="E251" s="17" t="inlineStr"/>
      <c r="F251" s="16" t="inlineStr">
        <is>
          <t>P1: Web Frontend Interface</t>
        </is>
      </c>
      <c r="G251" s="16" t="inlineStr"/>
      <c r="H251" s="16" t="inlineStr">
        <is>
          <t>THREMOLIA/S1</t>
        </is>
      </c>
    </row>
    <row r="252" ht="16" customHeight="1">
      <c r="A252" s="16" t="inlineStr">
        <is>
          <t>THREMOLIA-S1-F006</t>
        </is>
      </c>
      <c r="B252" s="16" t="inlineStr">
        <is>
          <t>THREMOLIA</t>
        </is>
      </c>
      <c r="C252" s="16" t="inlineStr">
        <is>
          <t>S1</t>
        </is>
      </c>
      <c r="D252" s="16" t="inlineStr">
        <is>
          <t>unsafe_output</t>
        </is>
      </c>
      <c r="E252" s="17" t="inlineStr"/>
      <c r="F252" s="16" t="inlineStr">
        <is>
          <t>P1: Web Frontend Interface</t>
        </is>
      </c>
      <c r="G252" s="16" t="inlineStr"/>
      <c r="H252" s="16" t="inlineStr">
        <is>
          <t>THREMOLIA/S1</t>
        </is>
      </c>
    </row>
    <row r="253" ht="16" customHeight="1">
      <c r="A253" s="16" t="inlineStr">
        <is>
          <t>THREMOLIA-S1-F007</t>
        </is>
      </c>
      <c r="B253" s="16" t="inlineStr">
        <is>
          <t>THREMOLIA</t>
        </is>
      </c>
      <c r="C253" s="16" t="inlineStr">
        <is>
          <t>S1</t>
        </is>
      </c>
      <c r="D253" s="16" t="inlineStr">
        <is>
          <t>repudiation</t>
        </is>
      </c>
      <c r="E253" s="17" t="inlineStr"/>
      <c r="F253" s="16" t="inlineStr">
        <is>
          <t>P1: Web Frontend Interface</t>
        </is>
      </c>
      <c r="G253" s="16" t="inlineStr"/>
      <c r="H253" s="16" t="inlineStr">
        <is>
          <t>THREMOLIA/S1</t>
        </is>
      </c>
    </row>
    <row r="254" ht="16" customHeight="1">
      <c r="A254" s="16" t="inlineStr">
        <is>
          <t>THREMOLIA-S1-F008</t>
        </is>
      </c>
      <c r="B254" s="16" t="inlineStr">
        <is>
          <t>THREMOLIA</t>
        </is>
      </c>
      <c r="C254" s="16" t="inlineStr">
        <is>
          <t>S1</t>
        </is>
      </c>
      <c r="D254" s="16" t="inlineStr">
        <is>
          <t>transit_token</t>
        </is>
      </c>
      <c r="E254" s="17" t="inlineStr"/>
      <c r="F254" s="16" t="inlineStr">
        <is>
          <t>P1: Web Frontend Interface</t>
        </is>
      </c>
      <c r="G254" s="16" t="inlineStr"/>
      <c r="H254" s="16" t="inlineStr">
        <is>
          <t>THREMOLIA/S1</t>
        </is>
      </c>
    </row>
    <row r="255" ht="16" customHeight="1">
      <c r="A255" s="16" t="inlineStr">
        <is>
          <t>THREMOLIA-S1-F009</t>
        </is>
      </c>
      <c r="B255" s="16" t="inlineStr">
        <is>
          <t>THREMOLIA</t>
        </is>
      </c>
      <c r="C255" s="16" t="inlineStr">
        <is>
          <t>S1</t>
        </is>
      </c>
      <c r="D255" s="16" t="inlineStr"/>
      <c r="E255" s="17" t="inlineStr"/>
      <c r="F255" s="16" t="inlineStr">
        <is>
          <t>P1: Web Frontend Interface</t>
        </is>
      </c>
      <c r="G255" s="16" t="inlineStr"/>
      <c r="H255" s="16" t="inlineStr">
        <is>
          <t>THREMOLIA/S1</t>
        </is>
      </c>
    </row>
    <row r="256" ht="16" customHeight="1">
      <c r="A256" s="16" t="inlineStr">
        <is>
          <t>THREMOLIA-S1-F010</t>
        </is>
      </c>
      <c r="B256" s="16" t="inlineStr">
        <is>
          <t>THREMOLIA</t>
        </is>
      </c>
      <c r="C256" s="16" t="inlineStr">
        <is>
          <t>S1</t>
        </is>
      </c>
      <c r="D256" s="16" t="inlineStr">
        <is>
          <t>auth_bypass_logic</t>
        </is>
      </c>
      <c r="E256" s="17" t="inlineStr"/>
      <c r="F256" s="16" t="inlineStr">
        <is>
          <t>P1: Web Frontend Interface</t>
        </is>
      </c>
      <c r="G256" s="16" t="inlineStr"/>
      <c r="H256" s="16" t="inlineStr">
        <is>
          <t>THREMOLIA/S1</t>
        </is>
      </c>
    </row>
    <row r="257" ht="16" customHeight="1">
      <c r="A257" s="16" t="inlineStr">
        <is>
          <t>THREMOLIA-S1-F011</t>
        </is>
      </c>
      <c r="B257" s="16" t="inlineStr">
        <is>
          <t>THREMOLIA</t>
        </is>
      </c>
      <c r="C257" s="16" t="inlineStr">
        <is>
          <t>S1</t>
        </is>
      </c>
      <c r="D257" s="16" t="inlineStr">
        <is>
          <t>credential_stuffing</t>
        </is>
      </c>
      <c r="E257" s="17" t="inlineStr"/>
      <c r="F257" s="16" t="inlineStr">
        <is>
          <t>P2: Authentication Service</t>
        </is>
      </c>
      <c r="G257" s="16" t="inlineStr"/>
      <c r="H257" s="16" t="inlineStr">
        <is>
          <t>THREMOLIA/S1</t>
        </is>
      </c>
    </row>
    <row r="258" ht="16" customHeight="1">
      <c r="A258" s="16" t="inlineStr">
        <is>
          <t>THREMOLIA-S1-F012</t>
        </is>
      </c>
      <c r="B258" s="16" t="inlineStr">
        <is>
          <t>THREMOLIA</t>
        </is>
      </c>
      <c r="C258" s="16" t="inlineStr">
        <is>
          <t>S1</t>
        </is>
      </c>
      <c r="D258" s="16" t="inlineStr">
        <is>
          <t>injection_verification</t>
        </is>
      </c>
      <c r="E258" s="17" t="inlineStr"/>
      <c r="F258" s="16" t="inlineStr">
        <is>
          <t>P2: Authentication Service</t>
        </is>
      </c>
      <c r="G258" s="16" t="inlineStr"/>
      <c r="H258" s="16" t="inlineStr">
        <is>
          <t>THREMOLIA/S1</t>
        </is>
      </c>
    </row>
    <row r="259" ht="16" customHeight="1">
      <c r="A259" s="16" t="inlineStr">
        <is>
          <t>THREMOLIA-S1-F013</t>
        </is>
      </c>
      <c r="B259" s="16" t="inlineStr">
        <is>
          <t>THREMOLIA</t>
        </is>
      </c>
      <c r="C259" s="16" t="inlineStr">
        <is>
          <t>S1</t>
        </is>
      </c>
      <c r="D259" s="16" t="inlineStr">
        <is>
          <t>repudiation</t>
        </is>
      </c>
      <c r="E259" s="17" t="inlineStr"/>
      <c r="F259" s="16" t="inlineStr">
        <is>
          <t>P2: Authentication Service</t>
        </is>
      </c>
      <c r="G259" s="16" t="inlineStr"/>
      <c r="H259" s="16" t="inlineStr">
        <is>
          <t>THREMOLIA/S1</t>
        </is>
      </c>
    </row>
    <row r="260" ht="16" customHeight="1">
      <c r="A260" s="16" t="inlineStr">
        <is>
          <t>THREMOLIA-S1-F014</t>
        </is>
      </c>
      <c r="B260" s="16" t="inlineStr">
        <is>
          <t>THREMOLIA</t>
        </is>
      </c>
      <c r="C260" s="16" t="inlineStr">
        <is>
          <t>S1</t>
        </is>
      </c>
      <c r="D260" s="16" t="inlineStr">
        <is>
          <t>enumeration</t>
        </is>
      </c>
      <c r="E260" s="17" t="inlineStr"/>
      <c r="F260" s="16" t="inlineStr">
        <is>
          <t>P2: Authentication Service</t>
        </is>
      </c>
      <c r="G260" s="16" t="inlineStr"/>
      <c r="H260" s="16" t="inlineStr">
        <is>
          <t>THREMOLIA/S1</t>
        </is>
      </c>
    </row>
    <row r="261" ht="16" customHeight="1">
      <c r="A261" s="16" t="inlineStr">
        <is>
          <t>THREMOLIA-S1-F015</t>
        </is>
      </c>
      <c r="B261" s="16" t="inlineStr">
        <is>
          <t>THREMOLIA</t>
        </is>
      </c>
      <c r="C261" s="16" t="inlineStr">
        <is>
          <t>S1</t>
        </is>
      </c>
      <c r="D261" s="16" t="inlineStr">
        <is>
          <t>dos_service</t>
        </is>
      </c>
      <c r="E261" s="17" t="inlineStr"/>
      <c r="F261" s="16" t="inlineStr">
        <is>
          <t>P2: Authentication Service</t>
        </is>
      </c>
      <c r="G261" s="16" t="inlineStr"/>
      <c r="H261" s="16" t="inlineStr">
        <is>
          <t>THREMOLIA/S1</t>
        </is>
      </c>
    </row>
    <row r="262" ht="16" customHeight="1">
      <c r="A262" s="16" t="inlineStr">
        <is>
          <t>THREMOLIA-S1-F016</t>
        </is>
      </c>
      <c r="B262" s="16" t="inlineStr">
        <is>
          <t>THREMOLIA</t>
        </is>
      </c>
      <c r="C262" s="16" t="inlineStr">
        <is>
          <t>S1</t>
        </is>
      </c>
      <c r="D262" s="16" t="inlineStr">
        <is>
          <t>auth_bypass_logic</t>
        </is>
      </c>
      <c r="E262" s="17" t="inlineStr"/>
      <c r="F262" s="16" t="inlineStr">
        <is>
          <t>P2: Authentication Service</t>
        </is>
      </c>
      <c r="G262" s="16" t="inlineStr"/>
      <c r="H262" s="16" t="inlineStr">
        <is>
          <t>THREMOLIA/S1</t>
        </is>
      </c>
    </row>
    <row r="263" ht="16" customHeight="1">
      <c r="A263" s="16" t="inlineStr">
        <is>
          <t>THREMOLIA-S1-F017</t>
        </is>
      </c>
      <c r="B263" s="16" t="inlineStr">
        <is>
          <t>THREMOLIA</t>
        </is>
      </c>
      <c r="C263" s="16" t="inlineStr">
        <is>
          <t>S1</t>
        </is>
      </c>
      <c r="D263" s="16" t="inlineStr">
        <is>
          <t>predictable_token</t>
        </is>
      </c>
      <c r="E263" s="17" t="inlineStr"/>
      <c r="F263" s="16" t="inlineStr">
        <is>
          <t>P3: Session Management Module</t>
        </is>
      </c>
      <c r="G263" s="16" t="inlineStr"/>
      <c r="H263" s="16" t="inlineStr">
        <is>
          <t>THREMOLIA/S1</t>
        </is>
      </c>
    </row>
    <row r="264" ht="16" customHeight="1">
      <c r="A264" s="16" t="inlineStr">
        <is>
          <t>THREMOLIA-S1-F018</t>
        </is>
      </c>
      <c r="B264" s="16" t="inlineStr">
        <is>
          <t>THREMOLIA</t>
        </is>
      </c>
      <c r="C264" s="16" t="inlineStr">
        <is>
          <t>S1</t>
        </is>
      </c>
      <c r="D264" s="16" t="inlineStr">
        <is>
          <t>session_store_tamper</t>
        </is>
      </c>
      <c r="E264" s="17" t="inlineStr"/>
      <c r="F264" s="16" t="inlineStr">
        <is>
          <t>P3: Session Management Module</t>
        </is>
      </c>
      <c r="G264" s="16" t="inlineStr"/>
      <c r="H264" s="16" t="inlineStr">
        <is>
          <t>THREMOLIA/S1</t>
        </is>
      </c>
    </row>
    <row r="265" ht="16" customHeight="1">
      <c r="A265" s="16" t="inlineStr">
        <is>
          <t>THREMOLIA-S1-F019</t>
        </is>
      </c>
      <c r="B265" s="16" t="inlineStr">
        <is>
          <t>THREMOLIA</t>
        </is>
      </c>
      <c r="C265" s="16" t="inlineStr">
        <is>
          <t>S1</t>
        </is>
      </c>
      <c r="D265" s="16" t="inlineStr"/>
      <c r="E265" s="17" t="inlineStr"/>
      <c r="F265" s="16" t="inlineStr">
        <is>
          <t>P3: Session Management Module</t>
        </is>
      </c>
      <c r="G265" s="16" t="inlineStr"/>
      <c r="H265" s="16" t="inlineStr">
        <is>
          <t>THREMOLIA/S1</t>
        </is>
      </c>
    </row>
    <row r="266" ht="16" customHeight="1">
      <c r="A266" s="16" t="inlineStr">
        <is>
          <t>THREMOLIA-S1-F020</t>
        </is>
      </c>
      <c r="B266" s="16" t="inlineStr">
        <is>
          <t>THREMOLIA</t>
        </is>
      </c>
      <c r="C266" s="16" t="inlineStr">
        <is>
          <t>S1</t>
        </is>
      </c>
      <c r="D266" s="16" t="inlineStr">
        <is>
          <t>transit_token</t>
        </is>
      </c>
      <c r="E266" s="17" t="inlineStr"/>
      <c r="F266" s="16" t="inlineStr">
        <is>
          <t>P3: Session Management Module</t>
        </is>
      </c>
      <c r="G266" s="16" t="inlineStr"/>
      <c r="H266" s="16" t="inlineStr">
        <is>
          <t>THREMOLIA/S1</t>
        </is>
      </c>
    </row>
    <row r="267" ht="16" customHeight="1">
      <c r="A267" s="16" t="inlineStr">
        <is>
          <t>THREMOLIA-S1-F021</t>
        </is>
      </c>
      <c r="B267" s="16" t="inlineStr">
        <is>
          <t>THREMOLIA</t>
        </is>
      </c>
      <c r="C267" s="16" t="inlineStr">
        <is>
          <t>S1</t>
        </is>
      </c>
      <c r="D267" s="16" t="inlineStr">
        <is>
          <t>dos_service</t>
        </is>
      </c>
      <c r="E267" s="17" t="inlineStr"/>
      <c r="F267" s="16" t="inlineStr">
        <is>
          <t>P3: Session Management Module</t>
        </is>
      </c>
      <c r="G267" s="16" t="inlineStr"/>
      <c r="H267" s="16" t="inlineStr">
        <is>
          <t>THREMOLIA/S1</t>
        </is>
      </c>
    </row>
    <row r="268" ht="16" customHeight="1">
      <c r="A268" s="16" t="inlineStr">
        <is>
          <t>THREMOLIA-S1-F022</t>
        </is>
      </c>
      <c r="B268" s="16" t="inlineStr">
        <is>
          <t>THREMOLIA</t>
        </is>
      </c>
      <c r="C268" s="16" t="inlineStr">
        <is>
          <t>S1</t>
        </is>
      </c>
      <c r="D268" s="16" t="inlineStr">
        <is>
          <t>session_fixation</t>
        </is>
      </c>
      <c r="E268" s="17" t="inlineStr"/>
      <c r="F268" s="16" t="inlineStr">
        <is>
          <t>P3: Session Management Module</t>
        </is>
      </c>
      <c r="G268" s="16" t="inlineStr"/>
      <c r="H268" s="16" t="inlineStr">
        <is>
          <t>THREMOLIA/S1</t>
        </is>
      </c>
    </row>
    <row r="269" ht="16" customHeight="1">
      <c r="A269" s="16" t="inlineStr">
        <is>
          <t>THREMOLIA-S1-F023</t>
        </is>
      </c>
      <c r="B269" s="16" t="inlineStr">
        <is>
          <t>THREMOLIA</t>
        </is>
      </c>
      <c r="C269" s="16" t="inlineStr">
        <is>
          <t>S1</t>
        </is>
      </c>
      <c r="D269" s="16" t="inlineStr">
        <is>
          <t>context_gap</t>
        </is>
      </c>
      <c r="E269" s="17" t="inlineStr"/>
      <c r="F269" s="16" t="inlineStr">
        <is>
          <t>P4: AI Chatbot Component</t>
        </is>
      </c>
      <c r="G269" s="16" t="inlineStr"/>
      <c r="H269" s="16" t="inlineStr">
        <is>
          <t>THREMOLIA/S1</t>
        </is>
      </c>
    </row>
    <row r="270" ht="16" customHeight="1">
      <c r="A270" s="16" t="inlineStr">
        <is>
          <t>THREMOLIA-S1-F024</t>
        </is>
      </c>
      <c r="B270" s="16" t="inlineStr">
        <is>
          <t>THREMOLIA</t>
        </is>
      </c>
      <c r="C270" s="16" t="inlineStr">
        <is>
          <t>S1</t>
        </is>
      </c>
      <c r="D270" s="16" t="inlineStr">
        <is>
          <t>prompt_injection_direct</t>
        </is>
      </c>
      <c r="E270" s="17" t="inlineStr"/>
      <c r="F270" s="16" t="inlineStr">
        <is>
          <t>P4: AI Chatbot Component</t>
        </is>
      </c>
      <c r="G270" s="16" t="inlineStr"/>
      <c r="H270" s="16" t="inlineStr">
        <is>
          <t>THREMOLIA/S1</t>
        </is>
      </c>
    </row>
    <row r="271" ht="16" customHeight="1">
      <c r="A271" s="16" t="inlineStr">
        <is>
          <t>THREMOLIA-S1-F025</t>
        </is>
      </c>
      <c r="B271" s="16" t="inlineStr">
        <is>
          <t>THREMOLIA</t>
        </is>
      </c>
      <c r="C271" s="16" t="inlineStr">
        <is>
          <t>S1</t>
        </is>
      </c>
      <c r="D271" s="16" t="inlineStr">
        <is>
          <t>repudiation</t>
        </is>
      </c>
      <c r="E271" s="17" t="inlineStr"/>
      <c r="F271" s="16" t="inlineStr">
        <is>
          <t>P4: AI Chatbot Component</t>
        </is>
      </c>
      <c r="G271" s="16" t="inlineStr"/>
      <c r="H271" s="16" t="inlineStr">
        <is>
          <t>THREMOLIA/S1</t>
        </is>
      </c>
    </row>
    <row r="272" ht="16" customHeight="1">
      <c r="A272" s="16" t="inlineStr">
        <is>
          <t>THREMOLIA-S1-F026</t>
        </is>
      </c>
      <c r="B272" s="16" t="inlineStr">
        <is>
          <t>THREMOLIA</t>
        </is>
      </c>
      <c r="C272" s="16" t="inlineStr">
        <is>
          <t>S1</t>
        </is>
      </c>
      <c r="D272" s="16" t="inlineStr"/>
      <c r="E272" s="17" t="inlineStr"/>
      <c r="F272" s="16" t="inlineStr">
        <is>
          <t>P4: AI Chatbot Component</t>
        </is>
      </c>
      <c r="G272" s="16" t="inlineStr"/>
      <c r="H272" s="16" t="inlineStr">
        <is>
          <t>THREMOLIA/S1</t>
        </is>
      </c>
    </row>
    <row r="273" ht="16" customHeight="1">
      <c r="A273" s="16" t="inlineStr">
        <is>
          <t>THREMOLIA-S1-F027</t>
        </is>
      </c>
      <c r="B273" s="16" t="inlineStr">
        <is>
          <t>THREMOLIA</t>
        </is>
      </c>
      <c r="C273" s="16" t="inlineStr">
        <is>
          <t>S1</t>
        </is>
      </c>
      <c r="D273" s="16" t="inlineStr">
        <is>
          <t>dos_service</t>
        </is>
      </c>
      <c r="E273" s="17" t="inlineStr"/>
      <c r="F273" s="16" t="inlineStr">
        <is>
          <t>P4: AI Chatbot Component</t>
        </is>
      </c>
      <c r="G273" s="16" t="inlineStr"/>
      <c r="H273" s="16" t="inlineStr">
        <is>
          <t>THREMOLIA/S1</t>
        </is>
      </c>
    </row>
    <row r="274" ht="16" customHeight="1">
      <c r="A274" s="16" t="inlineStr">
        <is>
          <t>THREMOLIA-S1-F028</t>
        </is>
      </c>
      <c r="B274" s="16" t="inlineStr">
        <is>
          <t>THREMOLIA</t>
        </is>
      </c>
      <c r="C274" s="16" t="inlineStr">
        <is>
          <t>S1</t>
        </is>
      </c>
      <c r="D274" s="16" t="inlineStr">
        <is>
          <t>attacker_instructions</t>
        </is>
      </c>
      <c r="E274" s="17" t="inlineStr"/>
      <c r="F274" s="16" t="inlineStr">
        <is>
          <t>P4: AI Chatbot Component</t>
        </is>
      </c>
      <c r="G274" s="16" t="inlineStr"/>
      <c r="H274" s="16" t="inlineStr">
        <is>
          <t>THREMOLIA/S1</t>
        </is>
      </c>
    </row>
    <row r="275" ht="16" customHeight="1">
      <c r="A275" s="16" t="inlineStr">
        <is>
          <t>THREMOLIA-S1-F029</t>
        </is>
      </c>
      <c r="B275" s="16" t="inlineStr">
        <is>
          <t>THREMOLIA</t>
        </is>
      </c>
      <c r="C275" s="16" t="inlineStr">
        <is>
          <t>S1</t>
        </is>
      </c>
      <c r="D275" s="16" t="inlineStr">
        <is>
          <t>llm_access_noauthz</t>
        </is>
      </c>
      <c r="E275" s="17" t="inlineStr"/>
      <c r="F275" s="16" t="inlineStr">
        <is>
          <t>P5: LLM Integration Service</t>
        </is>
      </c>
      <c r="G275" s="16" t="inlineStr"/>
      <c r="H275" s="16" t="inlineStr">
        <is>
          <t>THREMOLIA/S1</t>
        </is>
      </c>
    </row>
    <row r="276" ht="16" customHeight="1">
      <c r="A276" s="16" t="inlineStr">
        <is>
          <t>THREMOLIA-S1-F030</t>
        </is>
      </c>
      <c r="B276" s="16" t="inlineStr">
        <is>
          <t>THREMOLIA</t>
        </is>
      </c>
      <c r="C276" s="16" t="inlineStr">
        <is>
          <t>S1</t>
        </is>
      </c>
      <c r="D276" s="16" t="inlineStr"/>
      <c r="E276" s="17" t="inlineStr"/>
      <c r="F276" s="16" t="inlineStr">
        <is>
          <t>P5: LLM Integration Service</t>
        </is>
      </c>
      <c r="G276" s="16" t="inlineStr"/>
      <c r="H276" s="16" t="inlineStr">
        <is>
          <t>THREMOLIA/S1</t>
        </is>
      </c>
    </row>
    <row r="277" ht="16" customHeight="1">
      <c r="A277" s="16" t="inlineStr">
        <is>
          <t>THREMOLIA-S1-F031</t>
        </is>
      </c>
      <c r="B277" s="16" t="inlineStr">
        <is>
          <t>THREMOLIA</t>
        </is>
      </c>
      <c r="C277" s="16" t="inlineStr">
        <is>
          <t>S1</t>
        </is>
      </c>
      <c r="D277" s="16" t="inlineStr"/>
      <c r="E277" s="17" t="inlineStr"/>
      <c r="F277" s="16" t="inlineStr">
        <is>
          <t>P5: LLM Integration Service</t>
        </is>
      </c>
      <c r="G277" s="16" t="inlineStr"/>
      <c r="H277" s="16" t="inlineStr">
        <is>
          <t>THREMOLIA/S1</t>
        </is>
      </c>
    </row>
    <row r="278" ht="16" customHeight="1">
      <c r="A278" s="16" t="inlineStr">
        <is>
          <t>THREMOLIA-S1-F032</t>
        </is>
      </c>
      <c r="B278" s="16" t="inlineStr">
        <is>
          <t>THREMOLIA</t>
        </is>
      </c>
      <c r="C278" s="16" t="inlineStr">
        <is>
          <t>S1</t>
        </is>
      </c>
      <c r="D278" s="16" t="inlineStr">
        <is>
          <t>api_key</t>
        </is>
      </c>
      <c r="E278" s="17" t="inlineStr"/>
      <c r="F278" s="16" t="inlineStr">
        <is>
          <t>P5: LLM Integration Service</t>
        </is>
      </c>
      <c r="G278" s="16" t="inlineStr"/>
      <c r="H278" s="16" t="inlineStr">
        <is>
          <t>THREMOLIA/S1</t>
        </is>
      </c>
    </row>
    <row r="279" ht="16" customHeight="1">
      <c r="A279" s="16" t="inlineStr">
        <is>
          <t>THREMOLIA-S1-F033</t>
        </is>
      </c>
      <c r="B279" s="16" t="inlineStr">
        <is>
          <t>THREMOLIA</t>
        </is>
      </c>
      <c r="C279" s="16" t="inlineStr">
        <is>
          <t>S1</t>
        </is>
      </c>
      <c r="D279" s="16" t="inlineStr">
        <is>
          <t>llm_unavailable</t>
        </is>
      </c>
      <c r="E279" s="17" t="inlineStr"/>
      <c r="F279" s="16" t="inlineStr">
        <is>
          <t>P5: LLM Integration Service</t>
        </is>
      </c>
      <c r="G279" s="16" t="inlineStr"/>
      <c r="H279" s="16" t="inlineStr">
        <is>
          <t>THREMOLIA/S1</t>
        </is>
      </c>
    </row>
    <row r="280" ht="16" customHeight="1">
      <c r="A280" s="16" t="inlineStr">
        <is>
          <t>THREMOLIA-S1-F034</t>
        </is>
      </c>
      <c r="B280" s="16" t="inlineStr">
        <is>
          <t>THREMOLIA</t>
        </is>
      </c>
      <c r="C280" s="16" t="inlineStr">
        <is>
          <t>S1</t>
        </is>
      </c>
      <c r="D280" s="16" t="inlineStr">
        <is>
          <t>unsafe_output</t>
        </is>
      </c>
      <c r="E280" s="17" t="inlineStr"/>
      <c r="F280" s="16" t="inlineStr">
        <is>
          <t>P5: LLM Integration Service</t>
        </is>
      </c>
      <c r="G280" s="16" t="inlineStr"/>
      <c r="H280" s="16" t="inlineStr">
        <is>
          <t>THREMOLIA/S1</t>
        </is>
      </c>
    </row>
    <row r="281" ht="16" customHeight="1">
      <c r="A281" s="16" t="inlineStr">
        <is>
          <t>THREMOLIA-S1-F035</t>
        </is>
      </c>
      <c r="B281" s="16" t="inlineStr">
        <is>
          <t>THREMOLIA</t>
        </is>
      </c>
      <c r="C281" s="16" t="inlineStr">
        <is>
          <t>S1</t>
        </is>
      </c>
      <c r="D281" s="16" t="inlineStr"/>
      <c r="E281" s="17" t="inlineStr"/>
      <c r="F281" s="16" t="inlineStr">
        <is>
          <t>DS1: User Database</t>
        </is>
      </c>
      <c r="G281" s="16" t="inlineStr"/>
      <c r="H281" s="16" t="inlineStr">
        <is>
          <t>THREMOLIA/S1</t>
        </is>
      </c>
    </row>
    <row r="282" ht="16" customHeight="1">
      <c r="A282" s="16" t="inlineStr">
        <is>
          <t>THREMOLIA-S1-F036</t>
        </is>
      </c>
      <c r="B282" s="16" t="inlineStr">
        <is>
          <t>THREMOLIA</t>
        </is>
      </c>
      <c r="C282" s="16" t="inlineStr">
        <is>
          <t>S1</t>
        </is>
      </c>
      <c r="D282" s="16" t="inlineStr">
        <is>
          <t>repudiation</t>
        </is>
      </c>
      <c r="E282" s="17" t="inlineStr"/>
      <c r="F282" s="16" t="inlineStr">
        <is>
          <t>DS1: User Database</t>
        </is>
      </c>
      <c r="G282" s="16" t="inlineStr"/>
      <c r="H282" s="16" t="inlineStr">
        <is>
          <t>THREMOLIA/S1</t>
        </is>
      </c>
    </row>
    <row r="283" ht="16" customHeight="1">
      <c r="A283" s="16" t="inlineStr">
        <is>
          <t>THREMOLIA-S1-F037</t>
        </is>
      </c>
      <c r="B283" s="16" t="inlineStr">
        <is>
          <t>THREMOLIA</t>
        </is>
      </c>
      <c r="C283" s="16" t="inlineStr">
        <is>
          <t>S1</t>
        </is>
      </c>
      <c r="D283" s="16" t="inlineStr">
        <is>
          <t>mass_disclosure</t>
        </is>
      </c>
      <c r="E283" s="17" t="inlineStr"/>
      <c r="F283" s="16" t="inlineStr">
        <is>
          <t>DS1: User Database</t>
        </is>
      </c>
      <c r="G283" s="16" t="inlineStr"/>
      <c r="H283" s="16" t="inlineStr">
        <is>
          <t>THREMOLIA/S1</t>
        </is>
      </c>
    </row>
    <row r="284" ht="16" customHeight="1">
      <c r="A284" s="16" t="inlineStr">
        <is>
          <t>THREMOLIA-S1-F038</t>
        </is>
      </c>
      <c r="B284" s="16" t="inlineStr">
        <is>
          <t>THREMOLIA</t>
        </is>
      </c>
      <c r="C284" s="16" t="inlineStr">
        <is>
          <t>S1</t>
        </is>
      </c>
      <c r="D284" s="16" t="inlineStr">
        <is>
          <t>dos_service</t>
        </is>
      </c>
      <c r="E284" s="17" t="inlineStr"/>
      <c r="F284" s="16" t="inlineStr">
        <is>
          <t>DS1: User Database</t>
        </is>
      </c>
      <c r="G284" s="16" t="inlineStr"/>
      <c r="H284" s="16" t="inlineStr">
        <is>
          <t>THREMOLIA/S1</t>
        </is>
      </c>
    </row>
    <row r="285" ht="16" customHeight="1">
      <c r="A285" s="16" t="inlineStr">
        <is>
          <t>THREMOLIA-S1-F039</t>
        </is>
      </c>
      <c r="B285" s="16" t="inlineStr">
        <is>
          <t>THREMOLIA</t>
        </is>
      </c>
      <c r="C285" s="16" t="inlineStr">
        <is>
          <t>S1</t>
        </is>
      </c>
      <c r="D285" s="16" t="inlineStr">
        <is>
          <t>session_store_tamper</t>
        </is>
      </c>
      <c r="E285" s="17" t="inlineStr"/>
      <c r="F285" s="16" t="inlineStr">
        <is>
          <t>DS2: Session Storage</t>
        </is>
      </c>
      <c r="G285" s="16" t="inlineStr"/>
      <c r="H285" s="16" t="inlineStr">
        <is>
          <t>THREMOLIA/S1</t>
        </is>
      </c>
    </row>
    <row r="286" ht="16" customHeight="1">
      <c r="A286" s="16" t="inlineStr">
        <is>
          <t>THREMOLIA-S1-F040</t>
        </is>
      </c>
      <c r="B286" s="16" t="inlineStr">
        <is>
          <t>THREMOLIA</t>
        </is>
      </c>
      <c r="C286" s="16" t="inlineStr">
        <is>
          <t>S1</t>
        </is>
      </c>
      <c r="D286" s="16" t="inlineStr">
        <is>
          <t>repudiation</t>
        </is>
      </c>
      <c r="E286" s="17" t="inlineStr"/>
      <c r="F286" s="16" t="inlineStr">
        <is>
          <t>DS2: Session Storage</t>
        </is>
      </c>
      <c r="G286" s="16" t="inlineStr"/>
      <c r="H286" s="16" t="inlineStr">
        <is>
          <t>THREMOLIA/S1</t>
        </is>
      </c>
    </row>
    <row r="287" ht="16" customHeight="1">
      <c r="A287" s="16" t="inlineStr">
        <is>
          <t>THREMOLIA-S1-F041</t>
        </is>
      </c>
      <c r="B287" s="16" t="inlineStr">
        <is>
          <t>THREMOLIA</t>
        </is>
      </c>
      <c r="C287" s="16" t="inlineStr">
        <is>
          <t>S1</t>
        </is>
      </c>
      <c r="D287" s="16" t="inlineStr">
        <is>
          <t>transit_token</t>
        </is>
      </c>
      <c r="E287" s="17" t="inlineStr"/>
      <c r="F287" s="16" t="inlineStr">
        <is>
          <t>DS2: Session Storage</t>
        </is>
      </c>
      <c r="G287" s="16" t="inlineStr"/>
      <c r="H287" s="16" t="inlineStr">
        <is>
          <t>THREMOLIA/S1</t>
        </is>
      </c>
    </row>
    <row r="288" ht="16" customHeight="1">
      <c r="A288" s="16" t="inlineStr">
        <is>
          <t>THREMOLIA-S1-F042</t>
        </is>
      </c>
      <c r="B288" s="16" t="inlineStr">
        <is>
          <t>THREMOLIA</t>
        </is>
      </c>
      <c r="C288" s="16" t="inlineStr">
        <is>
          <t>S1</t>
        </is>
      </c>
      <c r="D288" s="16" t="inlineStr"/>
      <c r="E288" s="17" t="inlineStr"/>
      <c r="F288" s="16" t="inlineStr">
        <is>
          <t>DS2: Session Storage</t>
        </is>
      </c>
      <c r="G288" s="16" t="inlineStr"/>
      <c r="H288" s="16" t="inlineStr">
        <is>
          <t>THREMOLIA/S1</t>
        </is>
      </c>
    </row>
    <row r="289" ht="16" customHeight="1">
      <c r="A289" s="16" t="inlineStr">
        <is>
          <t>THREMOLIA-S1-F043</t>
        </is>
      </c>
      <c r="B289" s="16" t="inlineStr">
        <is>
          <t>THREMOLIA</t>
        </is>
      </c>
      <c r="C289" s="16" t="inlineStr">
        <is>
          <t>S1</t>
        </is>
      </c>
      <c r="D289" s="16" t="inlineStr">
        <is>
          <t>prompt_injection_indirect</t>
        </is>
      </c>
      <c r="E289" s="17" t="inlineStr"/>
      <c r="F289" s="16" t="inlineStr">
        <is>
          <t>DS3: Knowledge Base / Context Repository</t>
        </is>
      </c>
      <c r="G289" s="16" t="inlineStr"/>
      <c r="H289" s="16" t="inlineStr">
        <is>
          <t>THREMOLIA/S1</t>
        </is>
      </c>
    </row>
    <row r="290" ht="16" customHeight="1">
      <c r="A290" s="16" t="inlineStr">
        <is>
          <t>THREMOLIA-S1-F044</t>
        </is>
      </c>
      <c r="B290" s="16" t="inlineStr">
        <is>
          <t>THREMOLIA</t>
        </is>
      </c>
      <c r="C290" s="16" t="inlineStr">
        <is>
          <t>S1</t>
        </is>
      </c>
      <c r="D290" s="16" t="inlineStr">
        <is>
          <t>repudiation</t>
        </is>
      </c>
      <c r="E290" s="17" t="inlineStr"/>
      <c r="F290" s="16" t="inlineStr">
        <is>
          <t>DS3: Knowledge Base / Context Repository</t>
        </is>
      </c>
      <c r="G290" s="16" t="inlineStr"/>
      <c r="H290" s="16" t="inlineStr">
        <is>
          <t>THREMOLIA/S1</t>
        </is>
      </c>
    </row>
    <row r="291" ht="16" customHeight="1">
      <c r="A291" s="16" t="inlineStr">
        <is>
          <t>THREMOLIA-S1-F045</t>
        </is>
      </c>
      <c r="B291" s="16" t="inlineStr">
        <is>
          <t>THREMOLIA</t>
        </is>
      </c>
      <c r="C291" s="16" t="inlineStr">
        <is>
          <t>S1</t>
        </is>
      </c>
      <c r="D291" s="16" t="inlineStr"/>
      <c r="E291" s="17" t="inlineStr"/>
      <c r="F291" s="16" t="inlineStr">
        <is>
          <t>DS3: Knowledge Base / Context Repository</t>
        </is>
      </c>
      <c r="G291" s="16" t="inlineStr"/>
      <c r="H291" s="16" t="inlineStr">
        <is>
          <t>THREMOLIA/S1</t>
        </is>
      </c>
    </row>
    <row r="292" ht="16" customHeight="1">
      <c r="A292" s="16" t="inlineStr">
        <is>
          <t>THREMOLIA-S1-F046</t>
        </is>
      </c>
      <c r="B292" s="16" t="inlineStr">
        <is>
          <t>THREMOLIA</t>
        </is>
      </c>
      <c r="C292" s="16" t="inlineStr">
        <is>
          <t>S1</t>
        </is>
      </c>
      <c r="D292" s="16" t="inlineStr">
        <is>
          <t>dos_service</t>
        </is>
      </c>
      <c r="E292" s="17" t="inlineStr"/>
      <c r="F292" s="16" t="inlineStr">
        <is>
          <t>DS3: Knowledge Base / Context Repository</t>
        </is>
      </c>
      <c r="G292" s="16" t="inlineStr"/>
      <c r="H292" s="16" t="inlineStr">
        <is>
          <t>THREMOLIA/S1</t>
        </is>
      </c>
    </row>
    <row r="293" ht="16" customHeight="1">
      <c r="A293" s="16" t="inlineStr">
        <is>
          <t>THREMOLIA-S1-F047</t>
        </is>
      </c>
      <c r="B293" s="16" t="inlineStr">
        <is>
          <t>THREMOLIA</t>
        </is>
      </c>
      <c r="C293" s="16" t="inlineStr">
        <is>
          <t>S1</t>
        </is>
      </c>
      <c r="D293" s="16" t="inlineStr"/>
      <c r="E293" s="17" t="inlineStr"/>
      <c r="F293" s="16" t="inlineStr">
        <is>
          <t>DF1: Registration Request</t>
        </is>
      </c>
      <c r="G293" s="16" t="inlineStr"/>
      <c r="H293" s="16" t="inlineStr">
        <is>
          <t>THREMOLIA/S1</t>
        </is>
      </c>
    </row>
    <row r="294" ht="16" customHeight="1">
      <c r="A294" s="16" t="inlineStr">
        <is>
          <t>THREMOLIA-S1-F048</t>
        </is>
      </c>
      <c r="B294" s="16" t="inlineStr">
        <is>
          <t>THREMOLIA</t>
        </is>
      </c>
      <c r="C294" s="16" t="inlineStr">
        <is>
          <t>S1</t>
        </is>
      </c>
      <c r="D294" s="16" t="inlineStr">
        <is>
          <t>transit_creds</t>
        </is>
      </c>
      <c r="E294" s="17" t="inlineStr"/>
      <c r="F294" s="16" t="inlineStr">
        <is>
          <t>DF1: Registration Request</t>
        </is>
      </c>
      <c r="G294" s="16" t="inlineStr"/>
      <c r="H294" s="16" t="inlineStr">
        <is>
          <t>THREMOLIA/S1</t>
        </is>
      </c>
    </row>
    <row r="295" ht="16" customHeight="1">
      <c r="A295" s="16" t="inlineStr">
        <is>
          <t>THREMOLIA-S1-F049</t>
        </is>
      </c>
      <c r="B295" s="16" t="inlineStr">
        <is>
          <t>THREMOLIA</t>
        </is>
      </c>
      <c r="C295" s="16" t="inlineStr">
        <is>
          <t>S1</t>
        </is>
      </c>
      <c r="D295" s="16" t="inlineStr">
        <is>
          <t>dos_service</t>
        </is>
      </c>
      <c r="E295" s="17" t="inlineStr"/>
      <c r="F295" s="16" t="inlineStr">
        <is>
          <t>DF1: Registration Request</t>
        </is>
      </c>
      <c r="G295" s="16" t="inlineStr"/>
      <c r="H295" s="16" t="inlineStr">
        <is>
          <t>THREMOLIA/S1</t>
        </is>
      </c>
    </row>
    <row r="296" ht="16" customHeight="1">
      <c r="A296" s="16" t="inlineStr">
        <is>
          <t>THREMOLIA-S1-F050</t>
        </is>
      </c>
      <c r="B296" s="16" t="inlineStr">
        <is>
          <t>THREMOLIA</t>
        </is>
      </c>
      <c r="C296" s="16" t="inlineStr">
        <is>
          <t>S1</t>
        </is>
      </c>
      <c r="D296" s="16" t="inlineStr"/>
      <c r="E296" s="17" t="inlineStr"/>
      <c r="F296" s="16" t="inlineStr">
        <is>
          <t>DF2: Registration Data</t>
        </is>
      </c>
      <c r="G296" s="16" t="inlineStr"/>
      <c r="H296" s="16" t="inlineStr">
        <is>
          <t>THREMOLIA/S1</t>
        </is>
      </c>
    </row>
    <row r="297" ht="16" customHeight="1">
      <c r="A297" s="16" t="inlineStr">
        <is>
          <t>THREMOLIA-S1-F051</t>
        </is>
      </c>
      <c r="B297" s="16" t="inlineStr">
        <is>
          <t>THREMOLIA</t>
        </is>
      </c>
      <c r="C297" s="16" t="inlineStr">
        <is>
          <t>S1</t>
        </is>
      </c>
      <c r="D297" s="16" t="inlineStr">
        <is>
          <t>transit_creds</t>
        </is>
      </c>
      <c r="E297" s="17" t="inlineStr"/>
      <c r="F297" s="16" t="inlineStr">
        <is>
          <t>DF2: Registration Data</t>
        </is>
      </c>
      <c r="G297" s="16" t="inlineStr"/>
      <c r="H297" s="16" t="inlineStr">
        <is>
          <t>THREMOLIA/S1</t>
        </is>
      </c>
    </row>
    <row r="298" ht="16" customHeight="1">
      <c r="A298" s="16" t="inlineStr">
        <is>
          <t>THREMOLIA-S1-F052</t>
        </is>
      </c>
      <c r="B298" s="16" t="inlineStr">
        <is>
          <t>THREMOLIA</t>
        </is>
      </c>
      <c r="C298" s="16" t="inlineStr">
        <is>
          <t>S1</t>
        </is>
      </c>
      <c r="D298" s="16" t="inlineStr"/>
      <c r="E298" s="17" t="inlineStr"/>
      <c r="F298" s="16" t="inlineStr">
        <is>
          <t>DF2: Registration Data</t>
        </is>
      </c>
      <c r="G298" s="16" t="inlineStr"/>
      <c r="H298" s="16" t="inlineStr">
        <is>
          <t>THREMOLIA/S1</t>
        </is>
      </c>
    </row>
    <row r="299" ht="16" customHeight="1">
      <c r="A299" s="16" t="inlineStr">
        <is>
          <t>THREMOLIA-S1-F053</t>
        </is>
      </c>
      <c r="B299" s="16" t="inlineStr">
        <is>
          <t>THREMOLIA</t>
        </is>
      </c>
      <c r="C299" s="16" t="inlineStr">
        <is>
          <t>S1</t>
        </is>
      </c>
      <c r="D299" s="16" t="inlineStr"/>
      <c r="E299" s="17" t="inlineStr"/>
      <c r="F299" s="16" t="inlineStr">
        <is>
          <t>DF3: Account Creation</t>
        </is>
      </c>
      <c r="G299" s="16" t="inlineStr"/>
      <c r="H299" s="16" t="inlineStr">
        <is>
          <t>THREMOLIA/S1</t>
        </is>
      </c>
    </row>
    <row r="300" ht="16" customHeight="1">
      <c r="A300" s="16" t="inlineStr">
        <is>
          <t>THREMOLIA-S1-F054</t>
        </is>
      </c>
      <c r="B300" s="16" t="inlineStr">
        <is>
          <t>THREMOLIA</t>
        </is>
      </c>
      <c r="C300" s="16" t="inlineStr">
        <is>
          <t>S1</t>
        </is>
      </c>
      <c r="D300" s="16" t="inlineStr">
        <is>
          <t>transit_creds</t>
        </is>
      </c>
      <c r="E300" s="17" t="inlineStr"/>
      <c r="F300" s="16" t="inlineStr">
        <is>
          <t>DF3: Account Creation</t>
        </is>
      </c>
      <c r="G300" s="16" t="inlineStr"/>
      <c r="H300" s="16" t="inlineStr">
        <is>
          <t>THREMOLIA/S1</t>
        </is>
      </c>
    </row>
    <row r="301" ht="16" customHeight="1">
      <c r="A301" s="16" t="inlineStr">
        <is>
          <t>THREMOLIA-S1-F055</t>
        </is>
      </c>
      <c r="B301" s="16" t="inlineStr">
        <is>
          <t>THREMOLIA</t>
        </is>
      </c>
      <c r="C301" s="16" t="inlineStr">
        <is>
          <t>S1</t>
        </is>
      </c>
      <c r="D301" s="16" t="inlineStr">
        <is>
          <t>dos_service</t>
        </is>
      </c>
      <c r="E301" s="17" t="inlineStr"/>
      <c r="F301" s="16" t="inlineStr">
        <is>
          <t>DF3: Account Creation</t>
        </is>
      </c>
      <c r="G301" s="16" t="inlineStr"/>
      <c r="H301" s="16" t="inlineStr">
        <is>
          <t>THREMOLIA/S1</t>
        </is>
      </c>
    </row>
    <row r="302" ht="16" customHeight="1">
      <c r="A302" s="16" t="inlineStr">
        <is>
          <t>THREMOLIA-S1-F056</t>
        </is>
      </c>
      <c r="B302" s="16" t="inlineStr">
        <is>
          <t>THREMOLIA</t>
        </is>
      </c>
      <c r="C302" s="16" t="inlineStr">
        <is>
          <t>S1</t>
        </is>
      </c>
      <c r="D302" s="16" t="inlineStr"/>
      <c r="E302" s="17" t="inlineStr"/>
      <c r="F302" s="16" t="inlineStr">
        <is>
          <t>DF4: Registration Result</t>
        </is>
      </c>
      <c r="G302" s="16" t="inlineStr"/>
      <c r="H302" s="16" t="inlineStr">
        <is>
          <t>THREMOLIA/S1</t>
        </is>
      </c>
    </row>
    <row r="303" ht="16" customHeight="1">
      <c r="A303" s="16" t="inlineStr">
        <is>
          <t>THREMOLIA-S1-F057</t>
        </is>
      </c>
      <c r="B303" s="16" t="inlineStr">
        <is>
          <t>THREMOLIA</t>
        </is>
      </c>
      <c r="C303" s="16" t="inlineStr">
        <is>
          <t>S1</t>
        </is>
      </c>
      <c r="D303" s="16" t="inlineStr">
        <is>
          <t>verbose_error</t>
        </is>
      </c>
      <c r="E303" s="17" t="inlineStr"/>
      <c r="F303" s="16" t="inlineStr">
        <is>
          <t>DF4: Registration Result</t>
        </is>
      </c>
      <c r="G303" s="16" t="inlineStr"/>
      <c r="H303" s="16" t="inlineStr">
        <is>
          <t>THREMOLIA/S1</t>
        </is>
      </c>
    </row>
    <row r="304" ht="16" customHeight="1">
      <c r="A304" s="16" t="inlineStr">
        <is>
          <t>THREMOLIA-S1-F058</t>
        </is>
      </c>
      <c r="B304" s="16" t="inlineStr">
        <is>
          <t>THREMOLIA</t>
        </is>
      </c>
      <c r="C304" s="16" t="inlineStr">
        <is>
          <t>S1</t>
        </is>
      </c>
      <c r="D304" s="16" t="inlineStr"/>
      <c r="E304" s="17" t="inlineStr"/>
      <c r="F304" s="16" t="inlineStr">
        <is>
          <t>DF4: Registration Result</t>
        </is>
      </c>
      <c r="G304" s="16" t="inlineStr"/>
      <c r="H304" s="16" t="inlineStr">
        <is>
          <t>THREMOLIA/S1</t>
        </is>
      </c>
    </row>
    <row r="305" ht="16" customHeight="1">
      <c r="A305" s="16" t="inlineStr">
        <is>
          <t>THREMOLIA-S1-F059</t>
        </is>
      </c>
      <c r="B305" s="16" t="inlineStr">
        <is>
          <t>THREMOLIA</t>
        </is>
      </c>
      <c r="C305" s="16" t="inlineStr">
        <is>
          <t>S1</t>
        </is>
      </c>
      <c r="D305" s="16" t="inlineStr">
        <is>
          <t>transit_creds</t>
        </is>
      </c>
      <c r="E305" s="17" t="inlineStr"/>
      <c r="F305" s="16" t="inlineStr">
        <is>
          <t>DF5: Login Request</t>
        </is>
      </c>
      <c r="G305" s="16" t="inlineStr"/>
      <c r="H305" s="16" t="inlineStr">
        <is>
          <t>THREMOLIA/S1</t>
        </is>
      </c>
    </row>
    <row r="306" ht="16" customHeight="1">
      <c r="A306" s="16" t="inlineStr">
        <is>
          <t>THREMOLIA-S1-F060</t>
        </is>
      </c>
      <c r="B306" s="16" t="inlineStr">
        <is>
          <t>THREMOLIA</t>
        </is>
      </c>
      <c r="C306" s="16" t="inlineStr">
        <is>
          <t>S1</t>
        </is>
      </c>
      <c r="D306" s="16" t="inlineStr">
        <is>
          <t>transit_creds</t>
        </is>
      </c>
      <c r="E306" s="17" t="inlineStr"/>
      <c r="F306" s="16" t="inlineStr">
        <is>
          <t>DF5: Login Request</t>
        </is>
      </c>
      <c r="G306" s="16" t="inlineStr"/>
      <c r="H306" s="16" t="inlineStr">
        <is>
          <t>THREMOLIA/S1</t>
        </is>
      </c>
    </row>
    <row r="307" ht="16" customHeight="1">
      <c r="A307" s="16" t="inlineStr">
        <is>
          <t>THREMOLIA-S1-F061</t>
        </is>
      </c>
      <c r="B307" s="16" t="inlineStr">
        <is>
          <t>THREMOLIA</t>
        </is>
      </c>
      <c r="C307" s="16" t="inlineStr">
        <is>
          <t>S1</t>
        </is>
      </c>
      <c r="D307" s="16" t="inlineStr">
        <is>
          <t>dos_service</t>
        </is>
      </c>
      <c r="E307" s="17" t="inlineStr"/>
      <c r="F307" s="16" t="inlineStr">
        <is>
          <t>DF5: Login Request</t>
        </is>
      </c>
      <c r="G307" s="16" t="inlineStr"/>
      <c r="H307" s="16" t="inlineStr">
        <is>
          <t>THREMOLIA/S1</t>
        </is>
      </c>
    </row>
    <row r="308" ht="16" customHeight="1">
      <c r="A308" s="16" t="inlineStr">
        <is>
          <t>THREMOLIA-S1-F062</t>
        </is>
      </c>
      <c r="B308" s="16" t="inlineStr">
        <is>
          <t>THREMOLIA</t>
        </is>
      </c>
      <c r="C308" s="16" t="inlineStr">
        <is>
          <t>S1</t>
        </is>
      </c>
      <c r="D308" s="16" t="inlineStr"/>
      <c r="E308" s="17" t="inlineStr"/>
      <c r="F308" s="16" t="inlineStr">
        <is>
          <t>DF6: Credential Submission</t>
        </is>
      </c>
      <c r="G308" s="16" t="inlineStr"/>
      <c r="H308" s="16" t="inlineStr">
        <is>
          <t>THREMOLIA/S1</t>
        </is>
      </c>
    </row>
    <row r="309" ht="16" customHeight="1">
      <c r="A309" s="16" t="inlineStr">
        <is>
          <t>THREMOLIA-S1-F063</t>
        </is>
      </c>
      <c r="B309" s="16" t="inlineStr">
        <is>
          <t>THREMOLIA</t>
        </is>
      </c>
      <c r="C309" s="16" t="inlineStr">
        <is>
          <t>S1</t>
        </is>
      </c>
      <c r="D309" s="16" t="inlineStr">
        <is>
          <t>transit_creds</t>
        </is>
      </c>
      <c r="E309" s="17" t="inlineStr"/>
      <c r="F309" s="16" t="inlineStr">
        <is>
          <t>DF6: Credential Submission</t>
        </is>
      </c>
      <c r="G309" s="16" t="inlineStr"/>
      <c r="H309" s="16" t="inlineStr">
        <is>
          <t>THREMOLIA/S1</t>
        </is>
      </c>
    </row>
    <row r="310" ht="16" customHeight="1">
      <c r="A310" s="16" t="inlineStr">
        <is>
          <t>THREMOLIA-S1-F064</t>
        </is>
      </c>
      <c r="B310" s="16" t="inlineStr">
        <is>
          <t>THREMOLIA</t>
        </is>
      </c>
      <c r="C310" s="16" t="inlineStr">
        <is>
          <t>S1</t>
        </is>
      </c>
      <c r="D310" s="16" t="inlineStr">
        <is>
          <t>dos_service</t>
        </is>
      </c>
      <c r="E310" s="17" t="inlineStr"/>
      <c r="F310" s="16" t="inlineStr">
        <is>
          <t>DF6: Credential Submission</t>
        </is>
      </c>
      <c r="G310" s="16" t="inlineStr"/>
      <c r="H310" s="16" t="inlineStr">
        <is>
          <t>THREMOLIA/S1</t>
        </is>
      </c>
    </row>
    <row r="311" ht="16" customHeight="1">
      <c r="A311" s="16" t="inlineStr">
        <is>
          <t>THREMOLIA-S1-F065</t>
        </is>
      </c>
      <c r="B311" s="16" t="inlineStr">
        <is>
          <t>THREMOLIA</t>
        </is>
      </c>
      <c r="C311" s="16" t="inlineStr">
        <is>
          <t>S1</t>
        </is>
      </c>
      <c r="D311" s="16" t="inlineStr">
        <is>
          <t>injection_verification</t>
        </is>
      </c>
      <c r="E311" s="17" t="inlineStr"/>
      <c r="F311" s="16" t="inlineStr">
        <is>
          <t>DF7: Credential Verification Query</t>
        </is>
      </c>
      <c r="G311" s="16" t="inlineStr"/>
      <c r="H311" s="16" t="inlineStr">
        <is>
          <t>THREMOLIA/S1</t>
        </is>
      </c>
    </row>
    <row r="312" ht="16" customHeight="1">
      <c r="A312" s="16" t="inlineStr">
        <is>
          <t>THREMOLIA-S1-F066</t>
        </is>
      </c>
      <c r="B312" s="16" t="inlineStr">
        <is>
          <t>THREMOLIA</t>
        </is>
      </c>
      <c r="C312" s="16" t="inlineStr">
        <is>
          <t>S1</t>
        </is>
      </c>
      <c r="D312" s="16" t="inlineStr"/>
      <c r="E312" s="17" t="inlineStr"/>
      <c r="F312" s="16" t="inlineStr">
        <is>
          <t>DF7: Credential Verification Query</t>
        </is>
      </c>
      <c r="G312" s="16" t="inlineStr"/>
      <c r="H312" s="16" t="inlineStr">
        <is>
          <t>THREMOLIA/S1</t>
        </is>
      </c>
    </row>
    <row r="313" ht="16" customHeight="1">
      <c r="A313" s="16" t="inlineStr">
        <is>
          <t>THREMOLIA-S1-F067</t>
        </is>
      </c>
      <c r="B313" s="16" t="inlineStr">
        <is>
          <t>THREMOLIA</t>
        </is>
      </c>
      <c r="C313" s="16" t="inlineStr">
        <is>
          <t>S1</t>
        </is>
      </c>
      <c r="D313" s="16" t="inlineStr">
        <is>
          <t>dos_service</t>
        </is>
      </c>
      <c r="E313" s="17" t="inlineStr"/>
      <c r="F313" s="16" t="inlineStr">
        <is>
          <t>DF7: Credential Verification Query</t>
        </is>
      </c>
      <c r="G313" s="16" t="inlineStr"/>
      <c r="H313" s="16" t="inlineStr">
        <is>
          <t>THREMOLIA/S1</t>
        </is>
      </c>
    </row>
    <row r="314" ht="16" customHeight="1">
      <c r="A314" s="16" t="inlineStr">
        <is>
          <t>THREMOLIA-S1-F068</t>
        </is>
      </c>
      <c r="B314" s="16" t="inlineStr">
        <is>
          <t>THREMOLIA</t>
        </is>
      </c>
      <c r="C314" s="16" t="inlineStr">
        <is>
          <t>S1</t>
        </is>
      </c>
      <c r="D314" s="16" t="inlineStr">
        <is>
          <t>auth_bypass_logic</t>
        </is>
      </c>
      <c r="E314" s="17" t="inlineStr"/>
      <c r="F314" s="16" t="inlineStr">
        <is>
          <t>DF8: Authentication Verification Result</t>
        </is>
      </c>
      <c r="G314" s="16" t="inlineStr"/>
      <c r="H314" s="16" t="inlineStr">
        <is>
          <t>THREMOLIA/S1</t>
        </is>
      </c>
    </row>
    <row r="315" ht="16" customHeight="1">
      <c r="A315" s="16" t="inlineStr">
        <is>
          <t>THREMOLIA-S1-F069</t>
        </is>
      </c>
      <c r="B315" s="16" t="inlineStr">
        <is>
          <t>THREMOLIA</t>
        </is>
      </c>
      <c r="C315" s="16" t="inlineStr">
        <is>
          <t>S1</t>
        </is>
      </c>
      <c r="D315" s="16" t="inlineStr">
        <is>
          <t>transit_creds</t>
        </is>
      </c>
      <c r="E315" s="17" t="inlineStr"/>
      <c r="F315" s="16" t="inlineStr">
        <is>
          <t>DF8: Authentication Verification Result</t>
        </is>
      </c>
      <c r="G315" s="16" t="inlineStr"/>
      <c r="H315" s="16" t="inlineStr">
        <is>
          <t>THREMOLIA/S1</t>
        </is>
      </c>
    </row>
    <row r="316" ht="16" customHeight="1">
      <c r="A316" s="16" t="inlineStr">
        <is>
          <t>THREMOLIA-S1-F070</t>
        </is>
      </c>
      <c r="B316" s="16" t="inlineStr">
        <is>
          <t>THREMOLIA</t>
        </is>
      </c>
      <c r="C316" s="16" t="inlineStr">
        <is>
          <t>S1</t>
        </is>
      </c>
      <c r="D316" s="16" t="inlineStr"/>
      <c r="E316" s="17" t="inlineStr"/>
      <c r="F316" s="16" t="inlineStr">
        <is>
          <t>DF8: Authentication Verification Result</t>
        </is>
      </c>
      <c r="G316" s="16" t="inlineStr"/>
      <c r="H316" s="16" t="inlineStr">
        <is>
          <t>THREMOLIA/S1</t>
        </is>
      </c>
    </row>
    <row r="317" ht="16" customHeight="1">
      <c r="A317" s="16" t="inlineStr">
        <is>
          <t>THREMOLIA-S1-F071</t>
        </is>
      </c>
      <c r="B317" s="16" t="inlineStr">
        <is>
          <t>THREMOLIA</t>
        </is>
      </c>
      <c r="C317" s="16" t="inlineStr">
        <is>
          <t>S1</t>
        </is>
      </c>
      <c r="D317" s="16" t="inlineStr">
        <is>
          <t>auth_bypass_logic</t>
        </is>
      </c>
      <c r="E317" s="17" t="inlineStr"/>
      <c r="F317" s="16" t="inlineStr">
        <is>
          <t>DF9: Session Creation Request</t>
        </is>
      </c>
      <c r="G317" s="16" t="inlineStr"/>
      <c r="H317" s="16" t="inlineStr">
        <is>
          <t>THREMOLIA/S1</t>
        </is>
      </c>
    </row>
    <row r="318" ht="16" customHeight="1">
      <c r="A318" s="16" t="inlineStr">
        <is>
          <t>THREMOLIA-S1-F072</t>
        </is>
      </c>
      <c r="B318" s="16" t="inlineStr">
        <is>
          <t>THREMOLIA</t>
        </is>
      </c>
      <c r="C318" s="16" t="inlineStr">
        <is>
          <t>S1</t>
        </is>
      </c>
      <c r="D318" s="16" t="inlineStr">
        <is>
          <t>transit_data_general</t>
        </is>
      </c>
      <c r="E318" s="17" t="inlineStr"/>
      <c r="F318" s="16" t="inlineStr">
        <is>
          <t>DF9: Session Creation Request</t>
        </is>
      </c>
      <c r="G318" s="16" t="inlineStr"/>
      <c r="H318" s="16" t="inlineStr">
        <is>
          <t>THREMOLIA/S1</t>
        </is>
      </c>
    </row>
    <row r="319" ht="16" customHeight="1">
      <c r="A319" s="16" t="inlineStr">
        <is>
          <t>THREMOLIA-S1-F073</t>
        </is>
      </c>
      <c r="B319" s="16" t="inlineStr">
        <is>
          <t>THREMOLIA</t>
        </is>
      </c>
      <c r="C319" s="16" t="inlineStr">
        <is>
          <t>S1</t>
        </is>
      </c>
      <c r="D319" s="16" t="inlineStr">
        <is>
          <t>dos_service</t>
        </is>
      </c>
      <c r="E319" s="17" t="inlineStr"/>
      <c r="F319" s="16" t="inlineStr">
        <is>
          <t>DF9: Session Creation Request</t>
        </is>
      </c>
      <c r="G319" s="16" t="inlineStr"/>
      <c r="H319" s="16" t="inlineStr">
        <is>
          <t>THREMOLIA/S1</t>
        </is>
      </c>
    </row>
    <row r="320" ht="16" customHeight="1">
      <c r="A320" s="16" t="inlineStr">
        <is>
          <t>THREMOLIA-S1-F074</t>
        </is>
      </c>
      <c r="B320" s="16" t="inlineStr">
        <is>
          <t>THREMOLIA</t>
        </is>
      </c>
      <c r="C320" s="16" t="inlineStr">
        <is>
          <t>S1</t>
        </is>
      </c>
      <c r="D320" s="16" t="inlineStr"/>
      <c r="E320" s="17" t="inlineStr"/>
      <c r="F320" s="16" t="inlineStr">
        <is>
          <t>DF10: Session Token</t>
        </is>
      </c>
      <c r="G320" s="16" t="inlineStr"/>
      <c r="H320" s="16" t="inlineStr">
        <is>
          <t>THREMOLIA/S1</t>
        </is>
      </c>
    </row>
    <row r="321" ht="16" customHeight="1">
      <c r="A321" s="16" t="inlineStr">
        <is>
          <t>THREMOLIA-S1-F075</t>
        </is>
      </c>
      <c r="B321" s="16" t="inlineStr">
        <is>
          <t>THREMOLIA</t>
        </is>
      </c>
      <c r="C321" s="16" t="inlineStr">
        <is>
          <t>S1</t>
        </is>
      </c>
      <c r="D321" s="16" t="inlineStr">
        <is>
          <t>transit_token</t>
        </is>
      </c>
      <c r="E321" s="17" t="inlineStr"/>
      <c r="F321" s="16" t="inlineStr">
        <is>
          <t>DF10: Session Token</t>
        </is>
      </c>
      <c r="G321" s="16" t="inlineStr"/>
      <c r="H321" s="16" t="inlineStr">
        <is>
          <t>THREMOLIA/S1</t>
        </is>
      </c>
    </row>
    <row r="322" ht="16" customHeight="1">
      <c r="A322" s="16" t="inlineStr">
        <is>
          <t>THREMOLIA-S1-F076</t>
        </is>
      </c>
      <c r="B322" s="16" t="inlineStr">
        <is>
          <t>THREMOLIA</t>
        </is>
      </c>
      <c r="C322" s="16" t="inlineStr">
        <is>
          <t>S1</t>
        </is>
      </c>
      <c r="D322" s="16" t="inlineStr"/>
      <c r="E322" s="17" t="inlineStr"/>
      <c r="F322" s="16" t="inlineStr">
        <is>
          <t>DF10: Session Token</t>
        </is>
      </c>
      <c r="G322" s="16" t="inlineStr"/>
      <c r="H322" s="16" t="inlineStr">
        <is>
          <t>THREMOLIA/S1</t>
        </is>
      </c>
    </row>
    <row r="323" ht="16" customHeight="1">
      <c r="A323" s="16" t="inlineStr">
        <is>
          <t>THREMOLIA-S1-F077</t>
        </is>
      </c>
      <c r="B323" s="16" t="inlineStr">
        <is>
          <t>THREMOLIA</t>
        </is>
      </c>
      <c r="C323" s="16" t="inlineStr">
        <is>
          <t>S1</t>
        </is>
      </c>
      <c r="D323" s="16" t="inlineStr">
        <is>
          <t>session_store_tamper</t>
        </is>
      </c>
      <c r="E323" s="17" t="inlineStr"/>
      <c r="F323" s="16" t="inlineStr">
        <is>
          <t>SF1: Session Persistence / Lookup</t>
        </is>
      </c>
      <c r="G323" s="16" t="inlineStr"/>
      <c r="H323" s="16" t="inlineStr">
        <is>
          <t>THREMOLIA/S1</t>
        </is>
      </c>
    </row>
    <row r="324" ht="16" customHeight="1">
      <c r="A324" s="16" t="inlineStr">
        <is>
          <t>THREMOLIA-S1-F078</t>
        </is>
      </c>
      <c r="B324" s="16" t="inlineStr">
        <is>
          <t>THREMOLIA</t>
        </is>
      </c>
      <c r="C324" s="16" t="inlineStr">
        <is>
          <t>S1</t>
        </is>
      </c>
      <c r="D324" s="16" t="inlineStr">
        <is>
          <t>transit_token</t>
        </is>
      </c>
      <c r="E324" s="17" t="inlineStr"/>
      <c r="F324" s="16" t="inlineStr">
        <is>
          <t>SF1: Session Persistence / Lookup</t>
        </is>
      </c>
      <c r="G324" s="16" t="inlineStr"/>
      <c r="H324" s="16" t="inlineStr">
        <is>
          <t>THREMOLIA/S1</t>
        </is>
      </c>
    </row>
    <row r="325" ht="16" customHeight="1">
      <c r="A325" s="16" t="inlineStr">
        <is>
          <t>THREMOLIA-S1-F079</t>
        </is>
      </c>
      <c r="B325" s="16" t="inlineStr">
        <is>
          <t>THREMOLIA</t>
        </is>
      </c>
      <c r="C325" s="16" t="inlineStr">
        <is>
          <t>S1</t>
        </is>
      </c>
      <c r="D325" s="16" t="inlineStr">
        <is>
          <t>dos_service</t>
        </is>
      </c>
      <c r="E325" s="17" t="inlineStr"/>
      <c r="F325" s="16" t="inlineStr">
        <is>
          <t>SF1: Session Persistence / Lookup</t>
        </is>
      </c>
      <c r="G325" s="16" t="inlineStr"/>
      <c r="H325" s="16" t="inlineStr">
        <is>
          <t>THREMOLIA/S1</t>
        </is>
      </c>
    </row>
    <row r="326" ht="16" customHeight="1">
      <c r="A326" s="16" t="inlineStr">
        <is>
          <t>THREMOLIA-S1-F080</t>
        </is>
      </c>
      <c r="B326" s="16" t="inlineStr">
        <is>
          <t>THREMOLIA</t>
        </is>
      </c>
      <c r="C326" s="16" t="inlineStr">
        <is>
          <t>S1</t>
        </is>
      </c>
      <c r="D326" s="16" t="inlineStr">
        <is>
          <t>token_replay</t>
        </is>
      </c>
      <c r="E326" s="17" t="inlineStr"/>
      <c r="F326" s="16" t="inlineStr">
        <is>
          <t>SF2: Session Record / Validation Result</t>
        </is>
      </c>
      <c r="G326" s="16" t="inlineStr"/>
      <c r="H326" s="16" t="inlineStr">
        <is>
          <t>THREMOLIA/S1</t>
        </is>
      </c>
    </row>
    <row r="327" ht="16" customHeight="1">
      <c r="A327" s="16" t="inlineStr">
        <is>
          <t>THREMOLIA-S1-F081</t>
        </is>
      </c>
      <c r="B327" s="16" t="inlineStr">
        <is>
          <t>THREMOLIA</t>
        </is>
      </c>
      <c r="C327" s="16" t="inlineStr">
        <is>
          <t>S1</t>
        </is>
      </c>
      <c r="D327" s="16" t="inlineStr">
        <is>
          <t>sensitive_to_llm</t>
        </is>
      </c>
      <c r="E327" s="17" t="inlineStr"/>
      <c r="F327" s="16" t="inlineStr">
        <is>
          <t>SF2: Session Record / Validation Result</t>
        </is>
      </c>
      <c r="G327" s="16" t="inlineStr"/>
      <c r="H327" s="16" t="inlineStr">
        <is>
          <t>THREMOLIA/S1</t>
        </is>
      </c>
    </row>
    <row r="328" ht="16" customHeight="1">
      <c r="A328" s="16" t="inlineStr">
        <is>
          <t>THREMOLIA-S1-F082</t>
        </is>
      </c>
      <c r="B328" s="16" t="inlineStr">
        <is>
          <t>THREMOLIA</t>
        </is>
      </c>
      <c r="C328" s="16" t="inlineStr">
        <is>
          <t>S1</t>
        </is>
      </c>
      <c r="D328" s="16" t="inlineStr"/>
      <c r="E328" s="17" t="inlineStr"/>
      <c r="F328" s="16" t="inlineStr">
        <is>
          <t>SF2: Session Record / Validation Result</t>
        </is>
      </c>
      <c r="G328" s="16" t="inlineStr"/>
      <c r="H328" s="16" t="inlineStr">
        <is>
          <t>THREMOLIA/S1</t>
        </is>
      </c>
    </row>
    <row r="329" ht="16" customHeight="1">
      <c r="A329" s="16" t="inlineStr">
        <is>
          <t>THREMOLIA-S1-F083</t>
        </is>
      </c>
      <c r="B329" s="16" t="inlineStr">
        <is>
          <t>THREMOLIA</t>
        </is>
      </c>
      <c r="C329" s="16" t="inlineStr">
        <is>
          <t>S1</t>
        </is>
      </c>
      <c r="D329" s="16" t="inlineStr">
        <is>
          <t>prompt_injection_direct</t>
        </is>
      </c>
      <c r="E329" s="17" t="inlineStr"/>
      <c r="F329" s="16" t="inlineStr">
        <is>
          <t>DF11: Chatbot Question</t>
        </is>
      </c>
      <c r="G329" s="16" t="inlineStr"/>
      <c r="H329" s="16" t="inlineStr">
        <is>
          <t>THREMOLIA/S1</t>
        </is>
      </c>
    </row>
    <row r="330" ht="16" customHeight="1">
      <c r="A330" s="16" t="inlineStr">
        <is>
          <t>THREMOLIA-S1-F084</t>
        </is>
      </c>
      <c r="B330" s="16" t="inlineStr">
        <is>
          <t>THREMOLIA</t>
        </is>
      </c>
      <c r="C330" s="16" t="inlineStr">
        <is>
          <t>S1</t>
        </is>
      </c>
      <c r="D330" s="16" t="inlineStr">
        <is>
          <t>transit_data_general</t>
        </is>
      </c>
      <c r="E330" s="17" t="inlineStr"/>
      <c r="F330" s="16" t="inlineStr">
        <is>
          <t>DF11: Chatbot Question</t>
        </is>
      </c>
      <c r="G330" s="16" t="inlineStr"/>
      <c r="H330" s="16" t="inlineStr">
        <is>
          <t>THREMOLIA/S1</t>
        </is>
      </c>
    </row>
    <row r="331" ht="16" customHeight="1">
      <c r="A331" s="16" t="inlineStr">
        <is>
          <t>THREMOLIA-S1-F085</t>
        </is>
      </c>
      <c r="B331" s="16" t="inlineStr">
        <is>
          <t>THREMOLIA</t>
        </is>
      </c>
      <c r="C331" s="16" t="inlineStr">
        <is>
          <t>S1</t>
        </is>
      </c>
      <c r="D331" s="16" t="inlineStr">
        <is>
          <t>dos_service</t>
        </is>
      </c>
      <c r="E331" s="17" t="inlineStr"/>
      <c r="F331" s="16" t="inlineStr">
        <is>
          <t>DF11: Chatbot Question</t>
        </is>
      </c>
      <c r="G331" s="16" t="inlineStr"/>
      <c r="H331" s="16" t="inlineStr">
        <is>
          <t>THREMOLIA/S1</t>
        </is>
      </c>
    </row>
    <row r="332" ht="16" customHeight="1">
      <c r="A332" s="16" t="inlineStr">
        <is>
          <t>THREMOLIA-S1-F086</t>
        </is>
      </c>
      <c r="B332" s="16" t="inlineStr">
        <is>
          <t>THREMOLIA</t>
        </is>
      </c>
      <c r="C332" s="16" t="inlineStr">
        <is>
          <t>S1</t>
        </is>
      </c>
      <c r="D332" s="16" t="inlineStr">
        <is>
          <t>model_substitution</t>
        </is>
      </c>
      <c r="E332" s="17" t="inlineStr"/>
      <c r="F332" s="16" t="inlineStr">
        <is>
          <t>DF12: Prompt Request</t>
        </is>
      </c>
      <c r="G332" s="16" t="inlineStr"/>
      <c r="H332" s="16" t="inlineStr">
        <is>
          <t>THREMOLIA/S1</t>
        </is>
      </c>
    </row>
    <row r="333" ht="16" customHeight="1">
      <c r="A333" s="16" t="inlineStr">
        <is>
          <t>THREMOLIA-S1-F087</t>
        </is>
      </c>
      <c r="B333" s="16" t="inlineStr">
        <is>
          <t>THREMOLIA</t>
        </is>
      </c>
      <c r="C333" s="16" t="inlineStr">
        <is>
          <t>S1</t>
        </is>
      </c>
      <c r="D333" s="16" t="inlineStr">
        <is>
          <t>sensitive_to_llm</t>
        </is>
      </c>
      <c r="E333" s="17" t="inlineStr"/>
      <c r="F333" s="16" t="inlineStr">
        <is>
          <t>DF12: Prompt Request</t>
        </is>
      </c>
      <c r="G333" s="16" t="inlineStr"/>
      <c r="H333" s="16" t="inlineStr">
        <is>
          <t>THREMOLIA/S1</t>
        </is>
      </c>
    </row>
    <row r="334" ht="16" customHeight="1">
      <c r="A334" s="16" t="inlineStr">
        <is>
          <t>THREMOLIA-S1-F088</t>
        </is>
      </c>
      <c r="B334" s="16" t="inlineStr">
        <is>
          <t>THREMOLIA</t>
        </is>
      </c>
      <c r="C334" s="16" t="inlineStr">
        <is>
          <t>S1</t>
        </is>
      </c>
      <c r="D334" s="16" t="inlineStr">
        <is>
          <t>dos_service</t>
        </is>
      </c>
      <c r="E334" s="17" t="inlineStr"/>
      <c r="F334" s="16" t="inlineStr">
        <is>
          <t>DF12: Prompt Request</t>
        </is>
      </c>
      <c r="G334" s="16" t="inlineStr"/>
      <c r="H334" s="16" t="inlineStr">
        <is>
          <t>THREMOLIA/S1</t>
        </is>
      </c>
    </row>
    <row r="335" ht="16" customHeight="1">
      <c r="A335" s="16" t="inlineStr">
        <is>
          <t>THREMOLIA-S1-F089</t>
        </is>
      </c>
      <c r="B335" s="16" t="inlineStr">
        <is>
          <t>THREMOLIA</t>
        </is>
      </c>
      <c r="C335" s="16" t="inlineStr">
        <is>
          <t>S1</t>
        </is>
      </c>
      <c r="D335" s="16" t="inlineStr"/>
      <c r="E335" s="17" t="inlineStr"/>
      <c r="F335" s="16" t="inlineStr">
        <is>
          <t>SF3: Approved Context Query</t>
        </is>
      </c>
      <c r="G335" s="16" t="inlineStr"/>
      <c r="H335" s="16" t="inlineStr">
        <is>
          <t>THREMOLIA/S1</t>
        </is>
      </c>
    </row>
    <row r="336" ht="16" customHeight="1">
      <c r="A336" s="16" t="inlineStr">
        <is>
          <t>THREMOLIA-S1-F090</t>
        </is>
      </c>
      <c r="B336" s="16" t="inlineStr">
        <is>
          <t>THREMOLIA</t>
        </is>
      </c>
      <c r="C336" s="16" t="inlineStr">
        <is>
          <t>S1</t>
        </is>
      </c>
      <c r="D336" s="16" t="inlineStr">
        <is>
          <t>transit_data_general</t>
        </is>
      </c>
      <c r="E336" s="17" t="inlineStr"/>
      <c r="F336" s="16" t="inlineStr">
        <is>
          <t>SF3: Approved Context Query</t>
        </is>
      </c>
      <c r="G336" s="16" t="inlineStr"/>
      <c r="H336" s="16" t="inlineStr">
        <is>
          <t>THREMOLIA/S1</t>
        </is>
      </c>
    </row>
    <row r="337" ht="16" customHeight="1">
      <c r="A337" s="16" t="inlineStr">
        <is>
          <t>THREMOLIA-S1-F091</t>
        </is>
      </c>
      <c r="B337" s="16" t="inlineStr">
        <is>
          <t>THREMOLIA</t>
        </is>
      </c>
      <c r="C337" s="16" t="inlineStr">
        <is>
          <t>S1</t>
        </is>
      </c>
      <c r="D337" s="16" t="inlineStr">
        <is>
          <t>dos_service</t>
        </is>
      </c>
      <c r="E337" s="17" t="inlineStr"/>
      <c r="F337" s="16" t="inlineStr">
        <is>
          <t>SF3: Approved Context Query</t>
        </is>
      </c>
      <c r="G337" s="16" t="inlineStr"/>
      <c r="H337" s="16" t="inlineStr">
        <is>
          <t>THREMOLIA/S1</t>
        </is>
      </c>
    </row>
    <row r="338" ht="16" customHeight="1">
      <c r="A338" s="16" t="inlineStr">
        <is>
          <t>THREMOLIA-S1-F092</t>
        </is>
      </c>
      <c r="B338" s="16" t="inlineStr">
        <is>
          <t>THREMOLIA</t>
        </is>
      </c>
      <c r="C338" s="16" t="inlineStr">
        <is>
          <t>S1</t>
        </is>
      </c>
      <c r="D338" s="16" t="inlineStr">
        <is>
          <t>prompt_injection_indirect</t>
        </is>
      </c>
      <c r="E338" s="17" t="inlineStr"/>
      <c r="F338" s="16" t="inlineStr">
        <is>
          <t>SF4: Approved Context Data</t>
        </is>
      </c>
      <c r="G338" s="16" t="inlineStr"/>
      <c r="H338" s="16" t="inlineStr">
        <is>
          <t>THREMOLIA/S1</t>
        </is>
      </c>
    </row>
    <row r="339" ht="16" customHeight="1">
      <c r="A339" s="16" t="inlineStr">
        <is>
          <t>THREMOLIA-S1-F093</t>
        </is>
      </c>
      <c r="B339" s="16" t="inlineStr">
        <is>
          <t>THREMOLIA</t>
        </is>
      </c>
      <c r="C339" s="16" t="inlineStr">
        <is>
          <t>S1</t>
        </is>
      </c>
      <c r="D339" s="16" t="inlineStr">
        <is>
          <t>transit_data_general</t>
        </is>
      </c>
      <c r="E339" s="17" t="inlineStr"/>
      <c r="F339" s="16" t="inlineStr">
        <is>
          <t>SF4: Approved Context Data</t>
        </is>
      </c>
      <c r="G339" s="16" t="inlineStr"/>
      <c r="H339" s="16" t="inlineStr">
        <is>
          <t>THREMOLIA/S1</t>
        </is>
      </c>
    </row>
    <row r="340" ht="16" customHeight="1">
      <c r="A340" s="16" t="inlineStr">
        <is>
          <t>THREMOLIA-S1-F094</t>
        </is>
      </c>
      <c r="B340" s="16" t="inlineStr">
        <is>
          <t>THREMOLIA</t>
        </is>
      </c>
      <c r="C340" s="16" t="inlineStr">
        <is>
          <t>S1</t>
        </is>
      </c>
      <c r="D340" s="16" t="inlineStr">
        <is>
          <t>dos_service</t>
        </is>
      </c>
      <c r="E340" s="17" t="inlineStr"/>
      <c r="F340" s="16" t="inlineStr">
        <is>
          <t>SF4: Approved Context Data</t>
        </is>
      </c>
      <c r="G340" s="16" t="inlineStr"/>
      <c r="H340" s="16" t="inlineStr">
        <is>
          <t>THREMOLIA/S1</t>
        </is>
      </c>
    </row>
    <row r="341" ht="16" customHeight="1">
      <c r="A341" s="16" t="inlineStr">
        <is>
          <t>THREMOLIA-S1-F095</t>
        </is>
      </c>
      <c r="B341" s="16" t="inlineStr">
        <is>
          <t>THREMOLIA</t>
        </is>
      </c>
      <c r="C341" s="16" t="inlineStr">
        <is>
          <t>S1</t>
        </is>
      </c>
      <c r="D341" s="16" t="inlineStr">
        <is>
          <t>sensitive_to_llm</t>
        </is>
      </c>
      <c r="E341" s="17" t="inlineStr"/>
      <c r="F341" s="16" t="inlineStr">
        <is>
          <t>DF13: Prompt and Context Data</t>
        </is>
      </c>
      <c r="G341" s="16" t="inlineStr"/>
      <c r="H341" s="16" t="inlineStr">
        <is>
          <t>THREMOLIA/S1</t>
        </is>
      </c>
    </row>
    <row r="342" ht="16" customHeight="1">
      <c r="A342" s="16" t="inlineStr">
        <is>
          <t>THREMOLIA-S1-F096</t>
        </is>
      </c>
      <c r="B342" s="16" t="inlineStr">
        <is>
          <t>THREMOLIA</t>
        </is>
      </c>
      <c r="C342" s="16" t="inlineStr">
        <is>
          <t>S1</t>
        </is>
      </c>
      <c r="D342" s="16" t="inlineStr">
        <is>
          <t>sensitive_to_llm</t>
        </is>
      </c>
      <c r="E342" s="17" t="inlineStr"/>
      <c r="F342" s="16" t="inlineStr">
        <is>
          <t>DF13: Prompt and Context Data</t>
        </is>
      </c>
      <c r="G342" s="16" t="inlineStr"/>
      <c r="H342" s="16" t="inlineStr">
        <is>
          <t>THREMOLIA/S1</t>
        </is>
      </c>
    </row>
    <row r="343" ht="16" customHeight="1">
      <c r="A343" s="16" t="inlineStr">
        <is>
          <t>THREMOLIA-S1-F097</t>
        </is>
      </c>
      <c r="B343" s="16" t="inlineStr">
        <is>
          <t>THREMOLIA</t>
        </is>
      </c>
      <c r="C343" s="16" t="inlineStr">
        <is>
          <t>S1</t>
        </is>
      </c>
      <c r="D343" s="16" t="inlineStr">
        <is>
          <t>llm_unavailable</t>
        </is>
      </c>
      <c r="E343" s="17" t="inlineStr"/>
      <c r="F343" s="16" t="inlineStr">
        <is>
          <t>DF13: Prompt and Context Data</t>
        </is>
      </c>
      <c r="G343" s="16" t="inlineStr"/>
      <c r="H343" s="16" t="inlineStr">
        <is>
          <t>THREMOLIA/S1</t>
        </is>
      </c>
    </row>
    <row r="344" ht="16" customHeight="1">
      <c r="A344" s="16" t="inlineStr">
        <is>
          <t>THREMOLIA-S1-F098</t>
        </is>
      </c>
      <c r="B344" s="16" t="inlineStr">
        <is>
          <t>THREMOLIA</t>
        </is>
      </c>
      <c r="C344" s="16" t="inlineStr">
        <is>
          <t>S1</t>
        </is>
      </c>
      <c r="D344" s="16" t="inlineStr">
        <is>
          <t>model_substitution</t>
        </is>
      </c>
      <c r="E344" s="17" t="inlineStr"/>
      <c r="F344" s="16" t="inlineStr">
        <is>
          <t>DF14: Generated Response</t>
        </is>
      </c>
      <c r="G344" s="16" t="inlineStr"/>
      <c r="H344" s="16" t="inlineStr">
        <is>
          <t>THREMOLIA/S1</t>
        </is>
      </c>
    </row>
    <row r="345" ht="16" customHeight="1">
      <c r="A345" s="16" t="inlineStr">
        <is>
          <t>THREMOLIA-S1-F099</t>
        </is>
      </c>
      <c r="B345" s="16" t="inlineStr">
        <is>
          <t>THREMOLIA</t>
        </is>
      </c>
      <c r="C345" s="16" t="inlineStr">
        <is>
          <t>S1</t>
        </is>
      </c>
      <c r="D345" s="16" t="inlineStr">
        <is>
          <t>kb_disclosure</t>
        </is>
      </c>
      <c r="E345" s="17" t="inlineStr"/>
      <c r="F345" s="16" t="inlineStr">
        <is>
          <t>DF14: Generated Response</t>
        </is>
      </c>
      <c r="G345" s="16" t="inlineStr"/>
      <c r="H345" s="16" t="inlineStr">
        <is>
          <t>THREMOLIA/S1</t>
        </is>
      </c>
    </row>
    <row r="346" ht="16" customHeight="1">
      <c r="A346" s="16" t="inlineStr">
        <is>
          <t>THREMOLIA-S1-F100</t>
        </is>
      </c>
      <c r="B346" s="16" t="inlineStr">
        <is>
          <t>THREMOLIA</t>
        </is>
      </c>
      <c r="C346" s="16" t="inlineStr">
        <is>
          <t>S1</t>
        </is>
      </c>
      <c r="D346" s="16" t="inlineStr">
        <is>
          <t>llm_unavailable</t>
        </is>
      </c>
      <c r="E346" s="17" t="inlineStr"/>
      <c r="F346" s="16" t="inlineStr">
        <is>
          <t>DF14: Generated Response</t>
        </is>
      </c>
      <c r="G346" s="16" t="inlineStr"/>
      <c r="H346" s="16" t="inlineStr">
        <is>
          <t>THREMOLIA/S1</t>
        </is>
      </c>
    </row>
    <row r="347" ht="16" customHeight="1">
      <c r="A347" s="16" t="inlineStr">
        <is>
          <t>THREMOLIA-S1-F101</t>
        </is>
      </c>
      <c r="B347" s="16" t="inlineStr">
        <is>
          <t>THREMOLIA</t>
        </is>
      </c>
      <c r="C347" s="16" t="inlineStr">
        <is>
          <t>S1</t>
        </is>
      </c>
      <c r="D347" s="16" t="inlineStr">
        <is>
          <t>model_substitution</t>
        </is>
      </c>
      <c r="E347" s="17" t="inlineStr"/>
      <c r="F347" s="16" t="inlineStr">
        <is>
          <t>DF15: Processed Response</t>
        </is>
      </c>
      <c r="G347" s="16" t="inlineStr"/>
      <c r="H347" s="16" t="inlineStr">
        <is>
          <t>THREMOLIA/S1</t>
        </is>
      </c>
    </row>
    <row r="348" ht="16" customHeight="1">
      <c r="A348" s="16" t="inlineStr">
        <is>
          <t>THREMOLIA-S1-F102</t>
        </is>
      </c>
      <c r="B348" s="16" t="inlineStr">
        <is>
          <t>THREMOLIA</t>
        </is>
      </c>
      <c r="C348" s="16" t="inlineStr">
        <is>
          <t>S1</t>
        </is>
      </c>
      <c r="D348" s="16" t="inlineStr">
        <is>
          <t>transit_data_general</t>
        </is>
      </c>
      <c r="E348" s="17" t="inlineStr"/>
      <c r="F348" s="16" t="inlineStr">
        <is>
          <t>DF15: Processed Response</t>
        </is>
      </c>
      <c r="G348" s="16" t="inlineStr"/>
      <c r="H348" s="16" t="inlineStr">
        <is>
          <t>THREMOLIA/S1</t>
        </is>
      </c>
    </row>
    <row r="349" ht="16" customHeight="1">
      <c r="A349" s="16" t="inlineStr">
        <is>
          <t>THREMOLIA-S1-F103</t>
        </is>
      </c>
      <c r="B349" s="16" t="inlineStr">
        <is>
          <t>THREMOLIA</t>
        </is>
      </c>
      <c r="C349" s="16" t="inlineStr">
        <is>
          <t>S1</t>
        </is>
      </c>
      <c r="D349" s="16" t="inlineStr"/>
      <c r="E349" s="17" t="inlineStr"/>
      <c r="F349" s="16" t="inlineStr">
        <is>
          <t>DF15: Processed Response</t>
        </is>
      </c>
      <c r="G349" s="16" t="inlineStr"/>
      <c r="H349" s="16" t="inlineStr">
        <is>
          <t>THREMOLIA/S1</t>
        </is>
      </c>
    </row>
    <row r="350" ht="16" customHeight="1">
      <c r="A350" s="16" t="inlineStr">
        <is>
          <t>THREMOLIA-S1-F104</t>
        </is>
      </c>
      <c r="B350" s="16" t="inlineStr">
        <is>
          <t>THREMOLIA</t>
        </is>
      </c>
      <c r="C350" s="16" t="inlineStr">
        <is>
          <t>S1</t>
        </is>
      </c>
      <c r="D350" s="16" t="inlineStr">
        <is>
          <t>unsafe_output</t>
        </is>
      </c>
      <c r="E350" s="17" t="inlineStr"/>
      <c r="F350" s="16" t="inlineStr">
        <is>
          <t>DF16: Chatbot Answer</t>
        </is>
      </c>
      <c r="G350" s="16" t="inlineStr"/>
      <c r="H350" s="16" t="inlineStr">
        <is>
          <t>THREMOLIA/S1</t>
        </is>
      </c>
    </row>
    <row r="351" ht="16" customHeight="1">
      <c r="A351" s="16" t="inlineStr">
        <is>
          <t>THREMOLIA-S1-F105</t>
        </is>
      </c>
      <c r="B351" s="16" t="inlineStr">
        <is>
          <t>THREMOLIA</t>
        </is>
      </c>
      <c r="C351" s="16" t="inlineStr">
        <is>
          <t>S1</t>
        </is>
      </c>
      <c r="D351" s="16" t="inlineStr">
        <is>
          <t>transit_data_general</t>
        </is>
      </c>
      <c r="E351" s="17" t="inlineStr"/>
      <c r="F351" s="16" t="inlineStr">
        <is>
          <t>DF16: Chatbot Answer</t>
        </is>
      </c>
      <c r="G351" s="16" t="inlineStr"/>
      <c r="H351" s="16" t="inlineStr">
        <is>
          <t>THREMOLIA/S1</t>
        </is>
      </c>
    </row>
    <row r="352" ht="16" customHeight="1">
      <c r="A352" s="16" t="inlineStr">
        <is>
          <t>THREMOLIA-S1-F106</t>
        </is>
      </c>
      <c r="B352" s="16" t="inlineStr">
        <is>
          <t>THREMOLIA</t>
        </is>
      </c>
      <c r="C352" s="16" t="inlineStr">
        <is>
          <t>S1</t>
        </is>
      </c>
      <c r="D352" s="16" t="inlineStr">
        <is>
          <t>dos_service</t>
        </is>
      </c>
      <c r="E352" s="17" t="inlineStr"/>
      <c r="F352" s="16" t="inlineStr">
        <is>
          <t>DF16: Chatbot Answer</t>
        </is>
      </c>
      <c r="G352" s="16" t="inlineStr"/>
      <c r="H352" s="16" t="inlineStr">
        <is>
          <t>THREMOLIA/S1</t>
        </is>
      </c>
    </row>
    <row r="353" ht="16" customHeight="1">
      <c r="A353" s="16" t="inlineStr">
        <is>
          <t>OWASP-S2-F001</t>
        </is>
      </c>
      <c r="B353" s="16" t="inlineStr">
        <is>
          <t>OWASP</t>
        </is>
      </c>
      <c r="C353" s="16" t="inlineStr">
        <is>
          <t>S2</t>
        </is>
      </c>
      <c r="D353" s="16" t="inlineStr">
        <is>
          <t>captcha</t>
        </is>
      </c>
      <c r="E353" s="17" t="inlineStr">
        <is>
          <t>CAPTCHA defeat</t>
        </is>
      </c>
      <c r="F353" s="16" t="inlineStr">
        <is>
          <t>EE1 End User (untrusted external client)</t>
        </is>
      </c>
      <c r="G353" s="16" t="inlineStr"/>
      <c r="H353" s="16" t="inlineStr">
        <is>
          <t>OWASP/S2</t>
        </is>
      </c>
    </row>
    <row r="354" ht="16" customHeight="1">
      <c r="A354" s="16" t="inlineStr">
        <is>
          <t>OWASP-S2-F002</t>
        </is>
      </c>
      <c r="B354" s="16" t="inlineStr">
        <is>
          <t>OWASP</t>
        </is>
      </c>
      <c r="C354" s="16" t="inlineStr">
        <is>
          <t>S2</t>
        </is>
      </c>
      <c r="D354" s="16" t="inlineStr">
        <is>
          <t>credential_stuffing</t>
        </is>
      </c>
      <c r="E354" s="17" t="inlineStr">
        <is>
          <t>Credential stuffing</t>
        </is>
      </c>
      <c r="F354" s="16" t="inlineStr">
        <is>
          <t>EE1 End User (untrusted external client)</t>
        </is>
      </c>
      <c r="G354" s="16" t="inlineStr"/>
      <c r="H354" s="16" t="inlineStr">
        <is>
          <t>OWASP/S2</t>
        </is>
      </c>
    </row>
    <row r="355" ht="16" customHeight="1">
      <c r="A355" s="16" t="inlineStr">
        <is>
          <t>OWASP-S2-F003</t>
        </is>
      </c>
      <c r="B355" s="16" t="inlineStr">
        <is>
          <t>OWASP</t>
        </is>
      </c>
      <c r="C355" s="16" t="inlineStr">
        <is>
          <t>S2</t>
        </is>
      </c>
      <c r="D355" s="16" t="inlineStr">
        <is>
          <t>excessive_db_scope</t>
        </is>
      </c>
      <c r="E355" s="17" t="inlineStr">
        <is>
          <t>Least privilege</t>
        </is>
      </c>
      <c r="F355" s="16" t="inlineStr">
        <is>
          <t>P1 Web Frontend Interface</t>
        </is>
      </c>
      <c r="G355" s="16" t="inlineStr"/>
      <c r="H355" s="16" t="inlineStr">
        <is>
          <t>OWASP/S2</t>
        </is>
      </c>
    </row>
    <row r="356" ht="16" customHeight="1">
      <c r="A356" s="16" t="inlineStr">
        <is>
          <t>OWASP-S2-F004</t>
        </is>
      </c>
      <c r="B356" s="16" t="inlineStr">
        <is>
          <t>OWASP</t>
        </is>
      </c>
      <c r="C356" s="16" t="inlineStr">
        <is>
          <t>S2</t>
        </is>
      </c>
      <c r="D356" s="16" t="inlineStr">
        <is>
          <t>expedition</t>
        </is>
      </c>
      <c r="E356" s="17" t="inlineStr">
        <is>
          <t>Expedition</t>
        </is>
      </c>
      <c r="F356" s="16" t="inlineStr">
        <is>
          <t>P1 Web Frontend Interface</t>
        </is>
      </c>
      <c r="G356" s="16" t="inlineStr"/>
      <c r="H356" s="16" t="inlineStr">
        <is>
          <t>OWASP/S2</t>
        </is>
      </c>
    </row>
    <row r="357" ht="16" customHeight="1">
      <c r="A357" s="16" t="inlineStr">
        <is>
          <t>OWASP-S2-F005</t>
        </is>
      </c>
      <c r="B357" s="16" t="inlineStr">
        <is>
          <t>OWASP</t>
        </is>
      </c>
      <c r="C357" s="16" t="inlineStr">
        <is>
          <t>S2</t>
        </is>
      </c>
      <c r="D357" s="16" t="inlineStr">
        <is>
          <t>recon</t>
        </is>
      </c>
      <c r="E357" s="17" t="inlineStr">
        <is>
          <t>Vulnerability scanning</t>
        </is>
      </c>
      <c r="F357" s="16" t="inlineStr">
        <is>
          <t>P1 Web Frontend Interface</t>
        </is>
      </c>
      <c r="G357" s="16" t="inlineStr"/>
      <c r="H357" s="16" t="inlineStr">
        <is>
          <t>OWASP/S2</t>
        </is>
      </c>
    </row>
    <row r="358" ht="16" customHeight="1">
      <c r="A358" s="16" t="inlineStr">
        <is>
          <t>OWASP-S2-F006</t>
        </is>
      </c>
      <c r="B358" s="16" t="inlineStr">
        <is>
          <t>OWASP</t>
        </is>
      </c>
      <c r="C358" s="16" t="inlineStr">
        <is>
          <t>S2</t>
        </is>
      </c>
      <c r="D358" s="16" t="inlineStr">
        <is>
          <t>dos_service</t>
        </is>
      </c>
      <c r="E358" s="17" t="inlineStr">
        <is>
          <t>Denial of Service</t>
        </is>
      </c>
      <c r="F358" s="16" t="inlineStr">
        <is>
          <t>P1 Web Frontend Interface</t>
        </is>
      </c>
      <c r="G358" s="16" t="inlineStr"/>
      <c r="H358" s="16" t="inlineStr">
        <is>
          <t>OWASP/S2</t>
        </is>
      </c>
    </row>
    <row r="359" ht="16" customHeight="1">
      <c r="A359" s="16" t="inlineStr">
        <is>
          <t>OWASP-S2-F007</t>
        </is>
      </c>
      <c r="B359" s="16" t="inlineStr">
        <is>
          <t>OWASP</t>
        </is>
      </c>
      <c r="C359" s="16" t="inlineStr">
        <is>
          <t>S2</t>
        </is>
      </c>
      <c r="D359" s="16" t="inlineStr">
        <is>
          <t>recon</t>
        </is>
      </c>
      <c r="E359" s="17" t="inlineStr">
        <is>
          <t>Footprinting</t>
        </is>
      </c>
      <c r="F359" s="16" t="inlineStr">
        <is>
          <t>P1 Web Frontend Interface</t>
        </is>
      </c>
      <c r="G359" s="16" t="inlineStr"/>
      <c r="H359" s="16" t="inlineStr">
        <is>
          <t>OWASP/S2</t>
        </is>
      </c>
    </row>
    <row r="360" ht="16" customHeight="1">
      <c r="A360" s="16" t="inlineStr">
        <is>
          <t>OWASP-S2-F008</t>
        </is>
      </c>
      <c r="B360" s="16" t="inlineStr">
        <is>
          <t>OWASP</t>
        </is>
      </c>
      <c r="C360" s="16" t="inlineStr">
        <is>
          <t>S2</t>
        </is>
      </c>
      <c r="D360" s="16" t="inlineStr">
        <is>
          <t>excessive_db_scope</t>
        </is>
      </c>
      <c r="E360" s="17" t="inlineStr">
        <is>
          <t>Least privilege</t>
        </is>
      </c>
      <c r="F360" s="16" t="inlineStr">
        <is>
          <t>P2 File Management Service</t>
        </is>
      </c>
      <c r="G360" s="16" t="inlineStr"/>
      <c r="H360" s="16" t="inlineStr">
        <is>
          <t>OWASP/S2</t>
        </is>
      </c>
    </row>
    <row r="361" ht="16" customHeight="1">
      <c r="A361" s="16" t="inlineStr">
        <is>
          <t>OWASP-S2-F009</t>
        </is>
      </c>
      <c r="B361" s="16" t="inlineStr">
        <is>
          <t>OWASP</t>
        </is>
      </c>
      <c r="C361" s="16" t="inlineStr">
        <is>
          <t>S2</t>
        </is>
      </c>
      <c r="D361" s="16" t="inlineStr">
        <is>
          <t>expedition</t>
        </is>
      </c>
      <c r="E361" s="17" t="inlineStr">
        <is>
          <t>Expedition</t>
        </is>
      </c>
      <c r="F361" s="16" t="inlineStr">
        <is>
          <t>P2 File Management Service</t>
        </is>
      </c>
      <c r="G361" s="16" t="inlineStr"/>
      <c r="H361" s="16" t="inlineStr">
        <is>
          <t>OWASP/S2</t>
        </is>
      </c>
    </row>
    <row r="362" ht="16" customHeight="1">
      <c r="A362" s="16" t="inlineStr">
        <is>
          <t>OWASP-S2-F010</t>
        </is>
      </c>
      <c r="B362" s="16" t="inlineStr">
        <is>
          <t>OWASP</t>
        </is>
      </c>
      <c r="C362" s="16" t="inlineStr">
        <is>
          <t>S2</t>
        </is>
      </c>
      <c r="D362" s="16" t="inlineStr">
        <is>
          <t>recon</t>
        </is>
      </c>
      <c r="E362" s="17" t="inlineStr">
        <is>
          <t>Vulnerability scanning</t>
        </is>
      </c>
      <c r="F362" s="16" t="inlineStr">
        <is>
          <t>P2 File Management Service</t>
        </is>
      </c>
      <c r="G362" s="16" t="inlineStr"/>
      <c r="H362" s="16" t="inlineStr">
        <is>
          <t>OWASP/S2</t>
        </is>
      </c>
    </row>
    <row r="363" ht="16" customHeight="1">
      <c r="A363" s="16" t="inlineStr">
        <is>
          <t>OWASP-S2-F011</t>
        </is>
      </c>
      <c r="B363" s="16" t="inlineStr">
        <is>
          <t>OWASP</t>
        </is>
      </c>
      <c r="C363" s="16" t="inlineStr">
        <is>
          <t>S2</t>
        </is>
      </c>
      <c r="D363" s="16" t="inlineStr">
        <is>
          <t>dos_service</t>
        </is>
      </c>
      <c r="E363" s="17" t="inlineStr">
        <is>
          <t>Denial of Service</t>
        </is>
      </c>
      <c r="F363" s="16" t="inlineStr">
        <is>
          <t>P2 File Management Service</t>
        </is>
      </c>
      <c r="G363" s="16" t="inlineStr"/>
      <c r="H363" s="16" t="inlineStr">
        <is>
          <t>OWASP/S2</t>
        </is>
      </c>
    </row>
    <row r="364" ht="16" customHeight="1">
      <c r="A364" s="16" t="inlineStr">
        <is>
          <t>OWASP-S2-F012</t>
        </is>
      </c>
      <c r="B364" s="16" t="inlineStr">
        <is>
          <t>OWASP</t>
        </is>
      </c>
      <c r="C364" s="16" t="inlineStr">
        <is>
          <t>S2</t>
        </is>
      </c>
      <c r="D364" s="16" t="inlineStr">
        <is>
          <t>recon</t>
        </is>
      </c>
      <c r="E364" s="17" t="inlineStr">
        <is>
          <t>Footprinting</t>
        </is>
      </c>
      <c r="F364" s="16" t="inlineStr">
        <is>
          <t>P2 File Management Service</t>
        </is>
      </c>
      <c r="G364" s="16" t="inlineStr"/>
      <c r="H364" s="16" t="inlineStr">
        <is>
          <t>OWASP/S2</t>
        </is>
      </c>
    </row>
    <row r="365" ht="16" customHeight="1">
      <c r="A365" s="16" t="inlineStr">
        <is>
          <t>OWASP-S2-F013</t>
        </is>
      </c>
      <c r="B365" s="16" t="inlineStr">
        <is>
          <t>OWASP</t>
        </is>
      </c>
      <c r="C365" s="16" t="inlineStr">
        <is>
          <t>S2</t>
        </is>
      </c>
      <c r="D365" s="16" t="inlineStr">
        <is>
          <t>transit_creds</t>
        </is>
      </c>
      <c r="E365" s="17" t="inlineStr">
        <is>
          <t>Vulnerable transport protocol</t>
        </is>
      </c>
      <c r="F365" s="16" t="inlineStr">
        <is>
          <t>P2 File Management Service</t>
        </is>
      </c>
      <c r="G365" s="16" t="inlineStr"/>
      <c r="H365" s="16" t="inlineStr">
        <is>
          <t>OWASP/S2</t>
        </is>
      </c>
    </row>
    <row r="366" ht="16" customHeight="1">
      <c r="A366" s="16" t="inlineStr">
        <is>
          <t>OWASP-S2-F014</t>
        </is>
      </c>
      <c r="B366" s="16" t="inlineStr">
        <is>
          <t>OWASP</t>
        </is>
      </c>
      <c r="C366" s="16" t="inlineStr">
        <is>
          <t>S2</t>
        </is>
      </c>
      <c r="D366" s="16" t="inlineStr">
        <is>
          <t>recon</t>
        </is>
      </c>
      <c r="E366" s="17" t="inlineStr">
        <is>
          <t>Fingerprinting</t>
        </is>
      </c>
      <c r="F366" s="16" t="inlineStr">
        <is>
          <t>P2 File Management Service</t>
        </is>
      </c>
      <c r="G366" s="16" t="inlineStr"/>
      <c r="H366" s="16" t="inlineStr">
        <is>
          <t>OWASP/S2</t>
        </is>
      </c>
    </row>
    <row r="367" ht="16" customHeight="1">
      <c r="A367" s="16" t="inlineStr">
        <is>
          <t>OWASP-S2-F015</t>
        </is>
      </c>
      <c r="B367" s="16" t="inlineStr">
        <is>
          <t>OWASP</t>
        </is>
      </c>
      <c r="C367" s="16" t="inlineStr">
        <is>
          <t>S2</t>
        </is>
      </c>
      <c r="D367" s="16" t="inlineStr">
        <is>
          <t>transit_creds</t>
        </is>
      </c>
      <c r="E367" s="17" t="inlineStr">
        <is>
          <t>Vulnerable transport protocol</t>
        </is>
      </c>
      <c r="F367" s="16" t="inlineStr">
        <is>
          <t>P2 File Management Service</t>
        </is>
      </c>
      <c r="G367" s="16" t="inlineStr"/>
      <c r="H367" s="16" t="inlineStr">
        <is>
          <t>OWASP/S2</t>
        </is>
      </c>
    </row>
    <row r="368" ht="16" customHeight="1">
      <c r="A368" s="16" t="inlineStr">
        <is>
          <t>OWASP-S2-F016</t>
        </is>
      </c>
      <c r="B368" s="16" t="inlineStr">
        <is>
          <t>OWASP</t>
        </is>
      </c>
      <c r="C368" s="16" t="inlineStr">
        <is>
          <t>S2</t>
        </is>
      </c>
      <c r="D368" s="16" t="inlineStr">
        <is>
          <t>recon</t>
        </is>
      </c>
      <c r="E368" s="17" t="inlineStr">
        <is>
          <t>Fingerprinting</t>
        </is>
      </c>
      <c r="F368" s="16" t="inlineStr">
        <is>
          <t>P2 File Management Service</t>
        </is>
      </c>
      <c r="G368" s="16" t="inlineStr"/>
      <c r="H368" s="16" t="inlineStr">
        <is>
          <t>OWASP/S2</t>
        </is>
      </c>
    </row>
    <row r="369" ht="16" customHeight="1">
      <c r="A369" s="16" t="inlineStr">
        <is>
          <t>OWASP-S2-F017</t>
        </is>
      </c>
      <c r="B369" s="16" t="inlineStr">
        <is>
          <t>OWASP</t>
        </is>
      </c>
      <c r="C369" s="16" t="inlineStr">
        <is>
          <t>S2</t>
        </is>
      </c>
      <c r="D369" s="16" t="inlineStr">
        <is>
          <t>transit_creds</t>
        </is>
      </c>
      <c r="E369" s="17" t="inlineStr">
        <is>
          <t>Vulnerable transport protocol</t>
        </is>
      </c>
      <c r="F369" s="16" t="inlineStr">
        <is>
          <t>P2 File Management Service</t>
        </is>
      </c>
      <c r="G369" s="16" t="inlineStr"/>
      <c r="H369" s="16" t="inlineStr">
        <is>
          <t>OWASP/S2</t>
        </is>
      </c>
    </row>
    <row r="370" ht="16" customHeight="1">
      <c r="A370" s="16" t="inlineStr">
        <is>
          <t>OWASP-S2-F018</t>
        </is>
      </c>
      <c r="B370" s="16" t="inlineStr">
        <is>
          <t>OWASP</t>
        </is>
      </c>
      <c r="C370" s="16" t="inlineStr">
        <is>
          <t>S2</t>
        </is>
      </c>
      <c r="D370" s="16" t="inlineStr">
        <is>
          <t>recon</t>
        </is>
      </c>
      <c r="E370" s="17" t="inlineStr">
        <is>
          <t>Fingerprinting</t>
        </is>
      </c>
      <c r="F370" s="16" t="inlineStr">
        <is>
          <t>P2 File Management Service</t>
        </is>
      </c>
      <c r="G370" s="16" t="inlineStr"/>
      <c r="H370" s="16" t="inlineStr">
        <is>
          <t>OWASP/S2</t>
        </is>
      </c>
    </row>
    <row r="371" ht="16" customHeight="1">
      <c r="A371" s="16" t="inlineStr">
        <is>
          <t>OWASP-S2-F019</t>
        </is>
      </c>
      <c r="B371" s="16" t="inlineStr">
        <is>
          <t>OWASP</t>
        </is>
      </c>
      <c r="C371" s="16" t="inlineStr">
        <is>
          <t>S2</t>
        </is>
      </c>
      <c r="D371" s="16" t="inlineStr">
        <is>
          <t>transit_creds</t>
        </is>
      </c>
      <c r="E371" s="17" t="inlineStr">
        <is>
          <t>Vulnerable transport protocol</t>
        </is>
      </c>
      <c r="F371" s="16" t="inlineStr">
        <is>
          <t>P2 File Management Service</t>
        </is>
      </c>
      <c r="G371" s="16" t="inlineStr"/>
      <c r="H371" s="16" t="inlineStr">
        <is>
          <t>OWASP/S2</t>
        </is>
      </c>
    </row>
    <row r="372" ht="16" customHeight="1">
      <c r="A372" s="16" t="inlineStr">
        <is>
          <t>OWASP-S2-F020</t>
        </is>
      </c>
      <c r="B372" s="16" t="inlineStr">
        <is>
          <t>OWASP</t>
        </is>
      </c>
      <c r="C372" s="16" t="inlineStr">
        <is>
          <t>S2</t>
        </is>
      </c>
      <c r="D372" s="16" t="inlineStr">
        <is>
          <t>no_suggestion</t>
        </is>
      </c>
      <c r="E372" s="17" t="inlineStr">
        <is>
          <t>No Suggestions available</t>
        </is>
      </c>
      <c r="F372" s="16" t="inlineStr">
        <is>
          <t>P2 File Management Service</t>
        </is>
      </c>
      <c r="G372" s="16" t="inlineStr"/>
      <c r="H372" s="16" t="inlineStr">
        <is>
          <t>OWASP/S2</t>
        </is>
      </c>
    </row>
    <row r="373" ht="16" customHeight="1">
      <c r="A373" s="16" t="inlineStr">
        <is>
          <t>OWASP-S2-F021</t>
        </is>
      </c>
      <c r="B373" s="16" t="inlineStr">
        <is>
          <t>OWASP</t>
        </is>
      </c>
      <c r="C373" s="16" t="inlineStr">
        <is>
          <t>S2</t>
        </is>
      </c>
      <c r="D373" s="16" t="inlineStr">
        <is>
          <t>no_suggestion</t>
        </is>
      </c>
      <c r="E373" s="17" t="inlineStr">
        <is>
          <t>No Suggestions available</t>
        </is>
      </c>
      <c r="F373" s="16" t="inlineStr">
        <is>
          <t>P2 File Management Service</t>
        </is>
      </c>
      <c r="G373" s="16" t="inlineStr"/>
      <c r="H373" s="16" t="inlineStr">
        <is>
          <t>OWASP/S2</t>
        </is>
      </c>
    </row>
    <row r="374" ht="16" customHeight="1">
      <c r="A374" s="16" t="inlineStr">
        <is>
          <t>OWASP-S2-F022</t>
        </is>
      </c>
      <c r="B374" s="16" t="inlineStr">
        <is>
          <t>OWASP</t>
        </is>
      </c>
      <c r="C374" s="16" t="inlineStr">
        <is>
          <t>S2</t>
        </is>
      </c>
      <c r="D374" s="16" t="inlineStr">
        <is>
          <t>excessive_db_scope</t>
        </is>
      </c>
      <c r="E374" s="17" t="inlineStr">
        <is>
          <t>Least privilege</t>
        </is>
      </c>
      <c r="F374" s="16" t="inlineStr">
        <is>
          <t>P3 File Validation Module</t>
        </is>
      </c>
      <c r="G374" s="16" t="inlineStr"/>
      <c r="H374" s="16" t="inlineStr">
        <is>
          <t>OWASP/S2</t>
        </is>
      </c>
    </row>
    <row r="375" ht="16" customHeight="1">
      <c r="A375" s="16" t="inlineStr">
        <is>
          <t>OWASP-S2-F023</t>
        </is>
      </c>
      <c r="B375" s="16" t="inlineStr">
        <is>
          <t>OWASP</t>
        </is>
      </c>
      <c r="C375" s="16" t="inlineStr">
        <is>
          <t>S2</t>
        </is>
      </c>
      <c r="D375" s="16" t="inlineStr">
        <is>
          <t>expedition</t>
        </is>
      </c>
      <c r="E375" s="17" t="inlineStr">
        <is>
          <t>Expedition</t>
        </is>
      </c>
      <c r="F375" s="16" t="inlineStr">
        <is>
          <t>P3 File Validation Module</t>
        </is>
      </c>
      <c r="G375" s="16" t="inlineStr"/>
      <c r="H375" s="16" t="inlineStr">
        <is>
          <t>OWASP/S2</t>
        </is>
      </c>
    </row>
    <row r="376" ht="16" customHeight="1">
      <c r="A376" s="16" t="inlineStr">
        <is>
          <t>OWASP-S2-F024</t>
        </is>
      </c>
      <c r="B376" s="16" t="inlineStr">
        <is>
          <t>OWASP</t>
        </is>
      </c>
      <c r="C376" s="16" t="inlineStr">
        <is>
          <t>S2</t>
        </is>
      </c>
      <c r="D376" s="16" t="inlineStr">
        <is>
          <t>recon</t>
        </is>
      </c>
      <c r="E376" s="17" t="inlineStr">
        <is>
          <t>Vulnerability scanning</t>
        </is>
      </c>
      <c r="F376" s="16" t="inlineStr">
        <is>
          <t>P3 File Validation Module</t>
        </is>
      </c>
      <c r="G376" s="16" t="inlineStr"/>
      <c r="H376" s="16" t="inlineStr">
        <is>
          <t>OWASP/S2</t>
        </is>
      </c>
    </row>
    <row r="377" ht="16" customHeight="1">
      <c r="A377" s="16" t="inlineStr">
        <is>
          <t>OWASP-S2-F025</t>
        </is>
      </c>
      <c r="B377" s="16" t="inlineStr">
        <is>
          <t>OWASP</t>
        </is>
      </c>
      <c r="C377" s="16" t="inlineStr">
        <is>
          <t>S2</t>
        </is>
      </c>
      <c r="D377" s="16" t="inlineStr">
        <is>
          <t>dos_service</t>
        </is>
      </c>
      <c r="E377" s="17" t="inlineStr">
        <is>
          <t>Denial of Service</t>
        </is>
      </c>
      <c r="F377" s="16" t="inlineStr">
        <is>
          <t>P3 File Validation Module</t>
        </is>
      </c>
      <c r="G377" s="16" t="inlineStr"/>
      <c r="H377" s="16" t="inlineStr">
        <is>
          <t>OWASP/S2</t>
        </is>
      </c>
    </row>
    <row r="378" ht="16" customHeight="1">
      <c r="A378" s="16" t="inlineStr">
        <is>
          <t>OWASP-S2-F026</t>
        </is>
      </c>
      <c r="B378" s="16" t="inlineStr">
        <is>
          <t>OWASP</t>
        </is>
      </c>
      <c r="C378" s="16" t="inlineStr">
        <is>
          <t>S2</t>
        </is>
      </c>
      <c r="D378" s="16" t="inlineStr">
        <is>
          <t>excessive_db_scope</t>
        </is>
      </c>
      <c r="E378" s="17" t="inlineStr">
        <is>
          <t>Least privilege</t>
        </is>
      </c>
      <c r="F378" s="16" t="inlineStr">
        <is>
          <t>AI File Assistant</t>
        </is>
      </c>
      <c r="G378" s="16" t="inlineStr"/>
      <c r="H378" s="16" t="inlineStr">
        <is>
          <t>OWASP/S2</t>
        </is>
      </c>
    </row>
    <row r="379" ht="16" customHeight="1">
      <c r="A379" s="16" t="inlineStr">
        <is>
          <t>OWASP-S2-F027</t>
        </is>
      </c>
      <c r="B379" s="16" t="inlineStr">
        <is>
          <t>OWASP</t>
        </is>
      </c>
      <c r="C379" s="16" t="inlineStr">
        <is>
          <t>S2</t>
        </is>
      </c>
      <c r="D379" s="16" t="inlineStr">
        <is>
          <t>expedition</t>
        </is>
      </c>
      <c r="E379" s="17" t="inlineStr">
        <is>
          <t>Expedition</t>
        </is>
      </c>
      <c r="F379" s="16" t="inlineStr">
        <is>
          <t>AI File Assistant</t>
        </is>
      </c>
      <c r="G379" s="16" t="inlineStr"/>
      <c r="H379" s="16" t="inlineStr">
        <is>
          <t>OWASP/S2</t>
        </is>
      </c>
    </row>
    <row r="380" ht="16" customHeight="1">
      <c r="A380" s="16" t="inlineStr">
        <is>
          <t>OWASP-S2-F028</t>
        </is>
      </c>
      <c r="B380" s="16" t="inlineStr">
        <is>
          <t>OWASP</t>
        </is>
      </c>
      <c r="C380" s="16" t="inlineStr">
        <is>
          <t>S2</t>
        </is>
      </c>
      <c r="D380" s="16" t="inlineStr">
        <is>
          <t>recon</t>
        </is>
      </c>
      <c r="E380" s="17" t="inlineStr">
        <is>
          <t>Vulnerability scanning</t>
        </is>
      </c>
      <c r="F380" s="16" t="inlineStr">
        <is>
          <t>AI File Assistant</t>
        </is>
      </c>
      <c r="G380" s="16" t="inlineStr"/>
      <c r="H380" s="16" t="inlineStr">
        <is>
          <t>OWASP/S2</t>
        </is>
      </c>
    </row>
    <row r="381" ht="16" customHeight="1">
      <c r="A381" s="16" t="inlineStr">
        <is>
          <t>OWASP-S2-F029</t>
        </is>
      </c>
      <c r="B381" s="16" t="inlineStr">
        <is>
          <t>OWASP</t>
        </is>
      </c>
      <c r="C381" s="16" t="inlineStr">
        <is>
          <t>S2</t>
        </is>
      </c>
      <c r="D381" s="16" t="inlineStr">
        <is>
          <t>llm_consumption</t>
        </is>
      </c>
      <c r="E381" s="17" t="inlineStr">
        <is>
          <t>Denial of Service</t>
        </is>
      </c>
      <c r="F381" s="16" t="inlineStr">
        <is>
          <t>AI File Assistant</t>
        </is>
      </c>
      <c r="G381" s="16" t="inlineStr"/>
      <c r="H381" s="16" t="inlineStr">
        <is>
          <t>OWASP/S2</t>
        </is>
      </c>
    </row>
    <row r="382" ht="16" customHeight="1">
      <c r="A382" s="16" t="inlineStr">
        <is>
          <t>OWASP-S2-F030</t>
        </is>
      </c>
      <c r="B382" s="16" t="inlineStr">
        <is>
          <t>OWASP</t>
        </is>
      </c>
      <c r="C382" s="16" t="inlineStr">
        <is>
          <t>S2</t>
        </is>
      </c>
      <c r="D382" s="16" t="inlineStr">
        <is>
          <t>recon</t>
        </is>
      </c>
      <c r="E382" s="17" t="inlineStr">
        <is>
          <t>Footprinting</t>
        </is>
      </c>
      <c r="F382" s="16" t="inlineStr">
        <is>
          <t>AI File Assistant</t>
        </is>
      </c>
      <c r="G382" s="16" t="inlineStr"/>
      <c r="H382" s="16" t="inlineStr">
        <is>
          <t>OWASP/S2</t>
        </is>
      </c>
    </row>
    <row r="383" ht="16" customHeight="1">
      <c r="A383" s="16" t="inlineStr">
        <is>
          <t>OWASP-S2-F031</t>
        </is>
      </c>
      <c r="B383" s="16" t="inlineStr">
        <is>
          <t>OWASP</t>
        </is>
      </c>
      <c r="C383" s="16" t="inlineStr">
        <is>
          <t>S2</t>
        </is>
      </c>
      <c r="D383" s="16" t="inlineStr">
        <is>
          <t>expedition</t>
        </is>
      </c>
      <c r="E383" s="17" t="inlineStr">
        <is>
          <t>Expedition</t>
        </is>
      </c>
      <c r="F383" s="16" t="inlineStr">
        <is>
          <t>P5 LLM Integration Service</t>
        </is>
      </c>
      <c r="G383" s="16" t="inlineStr"/>
      <c r="H383" s="16" t="inlineStr">
        <is>
          <t>OWASP/S2</t>
        </is>
      </c>
    </row>
    <row r="384" ht="16" customHeight="1">
      <c r="A384" s="16" t="inlineStr">
        <is>
          <t>OWASP-S2-F032</t>
        </is>
      </c>
      <c r="B384" s="16" t="inlineStr">
        <is>
          <t>OWASP</t>
        </is>
      </c>
      <c r="C384" s="16" t="inlineStr">
        <is>
          <t>S2</t>
        </is>
      </c>
      <c r="D384" s="16" t="inlineStr">
        <is>
          <t>recon</t>
        </is>
      </c>
      <c r="E384" s="17" t="inlineStr">
        <is>
          <t>Vulnerability scanning</t>
        </is>
      </c>
      <c r="F384" s="16" t="inlineStr">
        <is>
          <t>P5 LLM Integration Service</t>
        </is>
      </c>
      <c r="G384" s="16" t="inlineStr"/>
      <c r="H384" s="16" t="inlineStr">
        <is>
          <t>OWASP/S2</t>
        </is>
      </c>
    </row>
    <row r="385" ht="16" customHeight="1">
      <c r="A385" s="16" t="inlineStr">
        <is>
          <t>OWASP-S2-F033</t>
        </is>
      </c>
      <c r="B385" s="16" t="inlineStr">
        <is>
          <t>OWASP</t>
        </is>
      </c>
      <c r="C385" s="16" t="inlineStr">
        <is>
          <t>S2</t>
        </is>
      </c>
      <c r="D385" s="16" t="inlineStr">
        <is>
          <t>llm_consumption</t>
        </is>
      </c>
      <c r="E385" s="17" t="inlineStr">
        <is>
          <t>Denial of Service</t>
        </is>
      </c>
      <c r="F385" s="16" t="inlineStr">
        <is>
          <t>P5 LLM Integration Service</t>
        </is>
      </c>
      <c r="G385" s="16" t="inlineStr"/>
      <c r="H385" s="16" t="inlineStr">
        <is>
          <t>OWASP/S2</t>
        </is>
      </c>
    </row>
    <row r="386" ht="16" customHeight="1">
      <c r="A386" s="16" t="inlineStr">
        <is>
          <t>OWASP-S2-F034</t>
        </is>
      </c>
      <c r="B386" s="16" t="inlineStr">
        <is>
          <t>OWASP</t>
        </is>
      </c>
      <c r="C386" s="16" t="inlineStr">
        <is>
          <t>S2</t>
        </is>
      </c>
      <c r="D386" s="16" t="inlineStr">
        <is>
          <t>mass_disclosure</t>
        </is>
      </c>
      <c r="E386" s="17" t="inlineStr">
        <is>
          <t>Scraping</t>
        </is>
      </c>
      <c r="F386" s="16" t="inlineStr">
        <is>
          <t>DS2 User Permission Database</t>
        </is>
      </c>
      <c r="G386" s="16" t="inlineStr"/>
      <c r="H386" s="16" t="inlineStr">
        <is>
          <t>OWASP/S2</t>
        </is>
      </c>
    </row>
    <row r="387" ht="16" customHeight="1">
      <c r="A387" s="16" t="inlineStr">
        <is>
          <t>OWASP-S2-F035</t>
        </is>
      </c>
      <c r="B387" s="16" t="inlineStr">
        <is>
          <t>OWASP</t>
        </is>
      </c>
      <c r="C387" s="16" t="inlineStr">
        <is>
          <t>S2</t>
        </is>
      </c>
      <c r="D387" s="16" t="inlineStr">
        <is>
          <t>skew_spam</t>
        </is>
      </c>
      <c r="E387" s="17" t="inlineStr">
        <is>
          <t>Skewing</t>
        </is>
      </c>
      <c r="F387" s="16" t="inlineStr">
        <is>
          <t>DS2 User Permission Database</t>
        </is>
      </c>
      <c r="G387" s="16" t="inlineStr"/>
      <c r="H387" s="16" t="inlineStr">
        <is>
          <t>OWASP/S2</t>
        </is>
      </c>
    </row>
    <row r="388" ht="16" customHeight="1">
      <c r="A388" s="16" t="inlineStr">
        <is>
          <t>OWASP-S2-F036</t>
        </is>
      </c>
      <c r="B388" s="16" t="inlineStr">
        <is>
          <t>OWASP</t>
        </is>
      </c>
      <c r="C388" s="16" t="inlineStr">
        <is>
          <t>S2</t>
        </is>
      </c>
      <c r="D388" s="16" t="inlineStr">
        <is>
          <t>stored_active_content</t>
        </is>
      </c>
      <c r="E388" s="17" t="inlineStr">
        <is>
          <t>Spamming</t>
        </is>
      </c>
      <c r="F388" s="16" t="inlineStr">
        <is>
          <t>DS2 User Permission Database</t>
        </is>
      </c>
      <c r="G388" s="16" t="inlineStr"/>
      <c r="H388" s="16" t="inlineStr">
        <is>
          <t>OWASP/S2</t>
        </is>
      </c>
    </row>
    <row r="389" ht="16" customHeight="1">
      <c r="A389" s="16" t="inlineStr">
        <is>
          <t>OWASP-S2-F037</t>
        </is>
      </c>
      <c r="B389" s="16" t="inlineStr">
        <is>
          <t>OWASP</t>
        </is>
      </c>
      <c r="C389" s="16" t="inlineStr">
        <is>
          <t>S2</t>
        </is>
      </c>
      <c r="D389" s="16" t="inlineStr">
        <is>
          <t>mass_disclosure</t>
        </is>
      </c>
      <c r="E389" s="17" t="inlineStr">
        <is>
          <t>Scraping</t>
        </is>
      </c>
      <c r="F389" s="16" t="inlineStr">
        <is>
          <t>P2 File Management Service</t>
        </is>
      </c>
      <c r="G389" s="16" t="inlineStr"/>
      <c r="H389" s="16" t="inlineStr">
        <is>
          <t>OWASP/S2</t>
        </is>
      </c>
    </row>
    <row r="390" ht="16" customHeight="1">
      <c r="A390" s="16" t="inlineStr">
        <is>
          <t>OWASP-S2-F038</t>
        </is>
      </c>
      <c r="B390" s="16" t="inlineStr">
        <is>
          <t>OWASP</t>
        </is>
      </c>
      <c r="C390" s="16" t="inlineStr">
        <is>
          <t>S2</t>
        </is>
      </c>
      <c r="D390" s="16" t="inlineStr">
        <is>
          <t>skew_spam</t>
        </is>
      </c>
      <c r="E390" s="17" t="inlineStr">
        <is>
          <t>Skewing</t>
        </is>
      </c>
      <c r="F390" s="16" t="inlineStr">
        <is>
          <t>P2 File Management Service</t>
        </is>
      </c>
      <c r="G390" s="16" t="inlineStr"/>
      <c r="H390" s="16" t="inlineStr">
        <is>
          <t>OWASP/S2</t>
        </is>
      </c>
    </row>
    <row r="391" ht="16" customHeight="1">
      <c r="A391" s="16" t="inlineStr">
        <is>
          <t>OWASP-S2-F039</t>
        </is>
      </c>
      <c r="B391" s="16" t="inlineStr">
        <is>
          <t>OWASP</t>
        </is>
      </c>
      <c r="C391" s="16" t="inlineStr">
        <is>
          <t>S2</t>
        </is>
      </c>
      <c r="D391" s="16" t="inlineStr">
        <is>
          <t>malicious_upload</t>
        </is>
      </c>
      <c r="E391" s="17" t="inlineStr">
        <is>
          <t>Spamming</t>
        </is>
      </c>
      <c r="F391" s="16" t="inlineStr">
        <is>
          <t>P2 File Management Service</t>
        </is>
      </c>
      <c r="G391" s="16" t="inlineStr"/>
      <c r="H391" s="16" t="inlineStr">
        <is>
          <t>OWASP/S2</t>
        </is>
      </c>
    </row>
    <row r="392" ht="16" customHeight="1">
      <c r="A392" s="16" t="inlineStr">
        <is>
          <t>TMT-S2-F001</t>
        </is>
      </c>
      <c r="B392" s="16" t="inlineStr">
        <is>
          <t>TMT</t>
        </is>
      </c>
      <c r="C392" s="16" t="inlineStr">
        <is>
          <t>S2</t>
        </is>
      </c>
      <c r="D392" s="16" t="inlineStr"/>
      <c r="E392" s="17" t="inlineStr">
        <is>
          <t>EE1 Authenticated User Process Memory Tampered</t>
        </is>
      </c>
      <c r="F392" s="16" t="inlineStr">
        <is>
          <t>scenario 2</t>
        </is>
      </c>
      <c r="G392" s="16" t="inlineStr">
        <is>
          <t>File Upload Submission</t>
        </is>
      </c>
      <c r="H392" s="16" t="inlineStr">
        <is>
          <t>TMT/S2</t>
        </is>
      </c>
    </row>
    <row r="393" ht="16" customHeight="1">
      <c r="A393" s="16" t="inlineStr">
        <is>
          <t>TMT-S2-F002</t>
        </is>
      </c>
      <c r="B393" s="16" t="inlineStr">
        <is>
          <t>TMT</t>
        </is>
      </c>
      <c r="C393" s="16" t="inlineStr">
        <is>
          <t>S2</t>
        </is>
      </c>
      <c r="D393" s="16" t="inlineStr"/>
      <c r="E393" s="17" t="inlineStr">
        <is>
          <t>Cross Site Scripting</t>
        </is>
      </c>
      <c r="F393" s="16" t="inlineStr">
        <is>
          <t>scenario 2</t>
        </is>
      </c>
      <c r="G393" s="16" t="inlineStr">
        <is>
          <t>File Upload Submission</t>
        </is>
      </c>
      <c r="H393" s="16" t="inlineStr">
        <is>
          <t>TMT/S2</t>
        </is>
      </c>
    </row>
    <row r="394" ht="16" customHeight="1">
      <c r="A394" s="16" t="inlineStr">
        <is>
          <t>TMT-S2-F003</t>
        </is>
      </c>
      <c r="B394" s="16" t="inlineStr">
        <is>
          <t>TMT</t>
        </is>
      </c>
      <c r="C394" s="16" t="inlineStr">
        <is>
          <t>S2</t>
        </is>
      </c>
      <c r="D394" s="16" t="inlineStr"/>
      <c r="E394" s="17" t="inlineStr">
        <is>
          <t>Elevation Using Impersonation</t>
        </is>
      </c>
      <c r="F394" s="16" t="inlineStr">
        <is>
          <t>scenario 2</t>
        </is>
      </c>
      <c r="G394" s="16" t="inlineStr">
        <is>
          <t>File Upload Submission</t>
        </is>
      </c>
      <c r="H394" s="16" t="inlineStr">
        <is>
          <t>TMT/S2</t>
        </is>
      </c>
    </row>
    <row r="395" ht="16" customHeight="1">
      <c r="A395" s="16" t="inlineStr">
        <is>
          <t>TMT-S2-F004</t>
        </is>
      </c>
      <c r="B395" s="16" t="inlineStr">
        <is>
          <t>TMT</t>
        </is>
      </c>
      <c r="C395" s="16" t="inlineStr">
        <is>
          <t>S2</t>
        </is>
      </c>
      <c r="D395" s="16" t="inlineStr"/>
      <c r="E395" s="17" t="inlineStr">
        <is>
          <t>P1 Web Frontend Process Memory Tampered</t>
        </is>
      </c>
      <c r="F395" s="16" t="inlineStr">
        <is>
          <t>scenario 2</t>
        </is>
      </c>
      <c r="G395" s="16" t="inlineStr">
        <is>
          <t>Forwarded Uploaded file</t>
        </is>
      </c>
      <c r="H395" s="16" t="inlineStr">
        <is>
          <t>TMT/S2</t>
        </is>
      </c>
    </row>
    <row r="396" ht="16" customHeight="1">
      <c r="A396" s="16" t="inlineStr">
        <is>
          <t>TMT-S2-F005</t>
        </is>
      </c>
      <c r="B396" s="16" t="inlineStr">
        <is>
          <t>TMT</t>
        </is>
      </c>
      <c r="C396" s="16" t="inlineStr">
        <is>
          <t>S2</t>
        </is>
      </c>
      <c r="D396" s="16" t="inlineStr"/>
      <c r="E396" s="17" t="inlineStr">
        <is>
          <t>Elevation Using Impersonation</t>
        </is>
      </c>
      <c r="F396" s="16" t="inlineStr">
        <is>
          <t>scenario 2</t>
        </is>
      </c>
      <c r="G396" s="16" t="inlineStr">
        <is>
          <t>Forwarded Uploaded file</t>
        </is>
      </c>
      <c r="H396" s="16" t="inlineStr">
        <is>
          <t>TMT/S2</t>
        </is>
      </c>
    </row>
    <row r="397" ht="16" customHeight="1">
      <c r="A397" s="16" t="inlineStr">
        <is>
          <t>TMT-S2-F006</t>
        </is>
      </c>
      <c r="B397" s="16" t="inlineStr">
        <is>
          <t>TMT</t>
        </is>
      </c>
      <c r="C397" s="16" t="inlineStr">
        <is>
          <t>S2</t>
        </is>
      </c>
      <c r="D397" s="16" t="inlineStr"/>
      <c r="E397" s="17" t="inlineStr">
        <is>
          <t>P2 Backend File Processing Service Process Memory Tampered</t>
        </is>
      </c>
      <c r="F397" s="16" t="inlineStr">
        <is>
          <t>scenario 2</t>
        </is>
      </c>
      <c r="G397" s="16" t="inlineStr">
        <is>
          <t>File for validation</t>
        </is>
      </c>
      <c r="H397" s="16" t="inlineStr">
        <is>
          <t>TMT/S2</t>
        </is>
      </c>
    </row>
    <row r="398" ht="16" customHeight="1">
      <c r="A398" s="16" t="inlineStr">
        <is>
          <t>TMT-S2-F007</t>
        </is>
      </c>
      <c r="B398" s="16" t="inlineStr">
        <is>
          <t>TMT</t>
        </is>
      </c>
      <c r="C398" s="16" t="inlineStr">
        <is>
          <t>S2</t>
        </is>
      </c>
      <c r="D398" s="16" t="inlineStr"/>
      <c r="E398" s="17" t="inlineStr">
        <is>
          <t>Elevation Using Impersonation</t>
        </is>
      </c>
      <c r="F398" s="16" t="inlineStr">
        <is>
          <t>scenario 2</t>
        </is>
      </c>
      <c r="G398" s="16" t="inlineStr">
        <is>
          <t>File for validation</t>
        </is>
      </c>
      <c r="H398" s="16" t="inlineStr">
        <is>
          <t>TMT/S2</t>
        </is>
      </c>
    </row>
    <row r="399" ht="16" customHeight="1">
      <c r="A399" s="16" t="inlineStr">
        <is>
          <t>TMT-S2-F008</t>
        </is>
      </c>
      <c r="B399" s="16" t="inlineStr">
        <is>
          <t>TMT</t>
        </is>
      </c>
      <c r="C399" s="16" t="inlineStr">
        <is>
          <t>S2</t>
        </is>
      </c>
      <c r="D399" s="16" t="inlineStr">
        <is>
          <t>dos_service</t>
        </is>
      </c>
      <c r="E399" s="17" t="inlineStr">
        <is>
          <t>Potential Excessive Resource Consumption for P2 Backend File Processing Service or DS1 Server Storage Repository</t>
        </is>
      </c>
      <c r="F399" s="16" t="inlineStr">
        <is>
          <t>scenario 2</t>
        </is>
      </c>
      <c r="G399" s="16" t="inlineStr">
        <is>
          <t>Validated file + metadata for storage</t>
        </is>
      </c>
      <c r="H399" s="16" t="inlineStr">
        <is>
          <t>TMT/S2</t>
        </is>
      </c>
    </row>
    <row r="400" ht="16" customHeight="1">
      <c r="A400" s="16" t="inlineStr">
        <is>
          <t>TMT-S2-F009</t>
        </is>
      </c>
      <c r="B400" s="16" t="inlineStr">
        <is>
          <t>TMT</t>
        </is>
      </c>
      <c r="C400" s="16" t="inlineStr">
        <is>
          <t>S2</t>
        </is>
      </c>
      <c r="D400" s="16" t="inlineStr"/>
      <c r="E400" s="17" t="inlineStr">
        <is>
          <t>Spoofing of Destination Data Store DS1 Server Storage Repository</t>
        </is>
      </c>
      <c r="F400" s="16" t="inlineStr">
        <is>
          <t>scenario 2</t>
        </is>
      </c>
      <c r="G400" s="16" t="inlineStr">
        <is>
          <t>Validated file + metadata for storage</t>
        </is>
      </c>
      <c r="H400" s="16" t="inlineStr">
        <is>
          <t>TMT/S2</t>
        </is>
      </c>
    </row>
    <row r="401" ht="16" customHeight="1">
      <c r="A401" s="16" t="inlineStr">
        <is>
          <t>TMT-S2-F010</t>
        </is>
      </c>
      <c r="B401" s="16" t="inlineStr">
        <is>
          <t>TMT</t>
        </is>
      </c>
      <c r="C401" s="16" t="inlineStr">
        <is>
          <t>S2</t>
        </is>
      </c>
      <c r="D401" s="16" t="inlineStr"/>
      <c r="E401" s="17" t="inlineStr">
        <is>
          <t>P4 File Retrieval Handler Process Memory Tampered</t>
        </is>
      </c>
      <c r="F401" s="16" t="inlineStr">
        <is>
          <t>scenario 2</t>
        </is>
      </c>
      <c r="G401" s="16" t="inlineStr">
        <is>
          <t>Retrieved file</t>
        </is>
      </c>
      <c r="H401" s="16" t="inlineStr">
        <is>
          <t>TMT/S2</t>
        </is>
      </c>
    </row>
    <row r="402" ht="16" customHeight="1">
      <c r="A402" s="16" t="inlineStr">
        <is>
          <t>TMT-S2-F011</t>
        </is>
      </c>
      <c r="B402" s="16" t="inlineStr">
        <is>
          <t>TMT</t>
        </is>
      </c>
      <c r="C402" s="16" t="inlineStr">
        <is>
          <t>S2</t>
        </is>
      </c>
      <c r="D402" s="16" t="inlineStr">
        <is>
          <t>mass_disclosure</t>
        </is>
      </c>
      <c r="E402" s="17" t="inlineStr">
        <is>
          <t>Weak Access Control for a Resource</t>
        </is>
      </c>
      <c r="F402" s="16" t="inlineStr">
        <is>
          <t>scenario 2</t>
        </is>
      </c>
      <c r="G402" s="16" t="inlineStr">
        <is>
          <t>File reference identifier</t>
        </is>
      </c>
      <c r="H402" s="16" t="inlineStr">
        <is>
          <t>TMT/S2</t>
        </is>
      </c>
    </row>
    <row r="403" ht="16" customHeight="1">
      <c r="A403" s="16" t="inlineStr">
        <is>
          <t>TMT-S2-F012</t>
        </is>
      </c>
      <c r="B403" s="16" t="inlineStr">
        <is>
          <t>TMT</t>
        </is>
      </c>
      <c r="C403" s="16" t="inlineStr">
        <is>
          <t>S2</t>
        </is>
      </c>
      <c r="D403" s="16" t="inlineStr"/>
      <c r="E403" s="17" t="inlineStr">
        <is>
          <t>Spoofing of Source Data Store DS1 Server Storage Repository</t>
        </is>
      </c>
      <c r="F403" s="16" t="inlineStr">
        <is>
          <t>scenario 2</t>
        </is>
      </c>
      <c r="G403" s="16" t="inlineStr">
        <is>
          <t>File reference identifier</t>
        </is>
      </c>
      <c r="H403" s="16" t="inlineStr">
        <is>
          <t>TMT/S2</t>
        </is>
      </c>
    </row>
    <row r="404" ht="16" customHeight="1">
      <c r="A404" s="16" t="inlineStr">
        <is>
          <t>TMT-S2-F013</t>
        </is>
      </c>
      <c r="B404" s="16" t="inlineStr">
        <is>
          <t>TMT</t>
        </is>
      </c>
      <c r="C404" s="16" t="inlineStr">
        <is>
          <t>S2</t>
        </is>
      </c>
      <c r="D404" s="16" t="inlineStr"/>
      <c r="E404" s="17" t="inlineStr">
        <is>
          <t>Elevation Using Impersonation</t>
        </is>
      </c>
      <c r="F404" s="16" t="inlineStr">
        <is>
          <t>scenario 2</t>
        </is>
      </c>
      <c r="G404" s="16" t="inlineStr">
        <is>
          <t>Download request with file identifier</t>
        </is>
      </c>
      <c r="H404" s="16" t="inlineStr">
        <is>
          <t>TMT/S2</t>
        </is>
      </c>
    </row>
    <row r="405" ht="16" customHeight="1">
      <c r="A405" s="16" t="inlineStr">
        <is>
          <t>TMT-S2-F014</t>
        </is>
      </c>
      <c r="B405" s="16" t="inlineStr">
        <is>
          <t>TMT</t>
        </is>
      </c>
      <c r="C405" s="16" t="inlineStr">
        <is>
          <t>S2</t>
        </is>
      </c>
      <c r="D405" s="16" t="inlineStr"/>
      <c r="E405" s="17" t="inlineStr">
        <is>
          <t>P1 Web Frontend Process Memory Tampered</t>
        </is>
      </c>
      <c r="F405" s="16" t="inlineStr">
        <is>
          <t>scenario 2</t>
        </is>
      </c>
      <c r="G405" s="16" t="inlineStr">
        <is>
          <t>Download request with file identifier</t>
        </is>
      </c>
      <c r="H405" s="16" t="inlineStr">
        <is>
          <t>TMT/S2</t>
        </is>
      </c>
    </row>
    <row r="406" ht="16" customHeight="1">
      <c r="A406" s="16" t="inlineStr">
        <is>
          <t>TMT-S2-F015</t>
        </is>
      </c>
      <c r="B406" s="16" t="inlineStr">
        <is>
          <t>TMT</t>
        </is>
      </c>
      <c r="C406" s="16" t="inlineStr">
        <is>
          <t>S2</t>
        </is>
      </c>
      <c r="D406" s="16" t="inlineStr">
        <is>
          <t>stored_active_content</t>
        </is>
      </c>
      <c r="E406" s="17" t="inlineStr">
        <is>
          <t>Cross Site Scripting</t>
        </is>
      </c>
      <c r="F406" s="16" t="inlineStr">
        <is>
          <t>scenario 2</t>
        </is>
      </c>
      <c r="G406" s="16" t="inlineStr">
        <is>
          <t>Retrieved file</t>
        </is>
      </c>
      <c r="H406" s="16" t="inlineStr">
        <is>
          <t>TMT/S2</t>
        </is>
      </c>
    </row>
    <row r="407" ht="16" customHeight="1">
      <c r="A407" s="16" t="inlineStr">
        <is>
          <t>TMT-S2-F016</t>
        </is>
      </c>
      <c r="B407" s="16" t="inlineStr">
        <is>
          <t>TMT</t>
        </is>
      </c>
      <c r="C407" s="16" t="inlineStr">
        <is>
          <t>S2</t>
        </is>
      </c>
      <c r="D407" s="16" t="inlineStr"/>
      <c r="E407" s="17" t="inlineStr">
        <is>
          <t>Elevation Using Impersonation</t>
        </is>
      </c>
      <c r="F407" s="16" t="inlineStr">
        <is>
          <t>scenario 2</t>
        </is>
      </c>
      <c r="G407" s="16" t="inlineStr">
        <is>
          <t>Retrieved file</t>
        </is>
      </c>
      <c r="H407" s="16" t="inlineStr">
        <is>
          <t>TMT/S2</t>
        </is>
      </c>
    </row>
    <row r="408" ht="16" customHeight="1">
      <c r="A408" s="16" t="inlineStr">
        <is>
          <t>TMT-S2-F017</t>
        </is>
      </c>
      <c r="B408" s="16" t="inlineStr">
        <is>
          <t>TMT</t>
        </is>
      </c>
      <c r="C408" s="16" t="inlineStr">
        <is>
          <t>S2</t>
        </is>
      </c>
      <c r="D408" s="16" t="inlineStr"/>
      <c r="E408" s="17" t="inlineStr">
        <is>
          <t>EE1 Authenticated User Process Memory Tampered</t>
        </is>
      </c>
      <c r="F408" s="16" t="inlineStr">
        <is>
          <t>scenario 2</t>
        </is>
      </c>
      <c r="G408" s="16" t="inlineStr">
        <is>
          <t>Download request with file identifier</t>
        </is>
      </c>
      <c r="H408" s="16" t="inlineStr">
        <is>
          <t>TMT/S2</t>
        </is>
      </c>
    </row>
    <row r="409" ht="16" customHeight="1">
      <c r="A409" s="16" t="inlineStr">
        <is>
          <t>TMT-S2-F018</t>
        </is>
      </c>
      <c r="B409" s="16" t="inlineStr">
        <is>
          <t>TMT</t>
        </is>
      </c>
      <c r="C409" s="16" t="inlineStr">
        <is>
          <t>S2</t>
        </is>
      </c>
      <c r="D409" s="16" t="inlineStr"/>
      <c r="E409" s="17" t="inlineStr">
        <is>
          <t>Cross Site Scripting</t>
        </is>
      </c>
      <c r="F409" s="16" t="inlineStr">
        <is>
          <t>scenario 2</t>
        </is>
      </c>
      <c r="G409" s="16" t="inlineStr">
        <is>
          <t>Download request with file identifier</t>
        </is>
      </c>
      <c r="H409" s="16" t="inlineStr">
        <is>
          <t>TMT/S2</t>
        </is>
      </c>
    </row>
    <row r="410" ht="16" customHeight="1">
      <c r="A410" s="16" t="inlineStr">
        <is>
          <t>TMT-S2-F019</t>
        </is>
      </c>
      <c r="B410" s="16" t="inlineStr">
        <is>
          <t>TMT</t>
        </is>
      </c>
      <c r="C410" s="16" t="inlineStr">
        <is>
          <t>S2</t>
        </is>
      </c>
      <c r="D410" s="16" t="inlineStr"/>
      <c r="E410" s="17" t="inlineStr">
        <is>
          <t>Elevation Using Impersonation</t>
        </is>
      </c>
      <c r="F410" s="16" t="inlineStr">
        <is>
          <t>scenario 2</t>
        </is>
      </c>
      <c r="G410" s="16" t="inlineStr">
        <is>
          <t>Download request with file identifier</t>
        </is>
      </c>
      <c r="H410" s="16" t="inlineStr">
        <is>
          <t>TMT/S2</t>
        </is>
      </c>
    </row>
    <row r="411" ht="16" customHeight="1">
      <c r="A411" s="16" t="inlineStr">
        <is>
          <t>TMT-S2-F020</t>
        </is>
      </c>
      <c r="B411" s="16" t="inlineStr">
        <is>
          <t>TMT</t>
        </is>
      </c>
      <c r="C411" s="16" t="inlineStr">
        <is>
          <t>S2</t>
        </is>
      </c>
      <c r="D411" s="16" t="inlineStr"/>
      <c r="E411" s="17" t="inlineStr">
        <is>
          <t>P1 Web Frontend Process Memory Tampered</t>
        </is>
      </c>
      <c r="F411" s="16" t="inlineStr">
        <is>
          <t>scenario 2</t>
        </is>
      </c>
      <c r="G411" s="16" t="inlineStr">
        <is>
          <t>Retrieved File</t>
        </is>
      </c>
      <c r="H411" s="16" t="inlineStr">
        <is>
          <t>TMT/S2</t>
        </is>
      </c>
    </row>
    <row r="412" ht="16" customHeight="1">
      <c r="A412" s="16" t="inlineStr">
        <is>
          <t>TMT-S2-F021</t>
        </is>
      </c>
      <c r="B412" s="16" t="inlineStr">
        <is>
          <t>TMT</t>
        </is>
      </c>
      <c r="C412" s="16" t="inlineStr">
        <is>
          <t>S2</t>
        </is>
      </c>
      <c r="D412" s="16" t="inlineStr"/>
      <c r="E412" s="17" t="inlineStr">
        <is>
          <t>Elevation Using Impersonation</t>
        </is>
      </c>
      <c r="F412" s="16" t="inlineStr">
        <is>
          <t>scenario 2</t>
        </is>
      </c>
      <c r="G412" s="16" t="inlineStr">
        <is>
          <t>Retrieved File</t>
        </is>
      </c>
      <c r="H412" s="16" t="inlineStr">
        <is>
          <t>TMT/S2</t>
        </is>
      </c>
    </row>
    <row r="413" ht="16" customHeight="1">
      <c r="A413" s="16" t="inlineStr">
        <is>
          <t>TMT-S2-F022</t>
        </is>
      </c>
      <c r="B413" s="16" t="inlineStr">
        <is>
          <t>TMT</t>
        </is>
      </c>
      <c r="C413" s="16" t="inlineStr">
        <is>
          <t>S2</t>
        </is>
      </c>
      <c r="D413" s="16" t="inlineStr"/>
      <c r="E413" s="17" t="inlineStr">
        <is>
          <t>Elevation Using Impersonation</t>
        </is>
      </c>
      <c r="F413" s="16" t="inlineStr">
        <is>
          <t>scenario 2</t>
        </is>
      </c>
      <c r="G413" s="16" t="inlineStr">
        <is>
          <t>Validation result</t>
        </is>
      </c>
      <c r="H413" s="16" t="inlineStr">
        <is>
          <t>TMT/S2</t>
        </is>
      </c>
    </row>
    <row r="414" ht="16" customHeight="1">
      <c r="A414" s="16" t="inlineStr">
        <is>
          <t>TMT-S2-F023</t>
        </is>
      </c>
      <c r="B414" s="16" t="inlineStr">
        <is>
          <t>TMT</t>
        </is>
      </c>
      <c r="C414" s="16" t="inlineStr">
        <is>
          <t>S2</t>
        </is>
      </c>
      <c r="D414" s="16" t="inlineStr"/>
      <c r="E414" s="17" t="inlineStr">
        <is>
          <t>P3 File Validation Module Process Memory Tampered</t>
        </is>
      </c>
      <c r="F414" s="16" t="inlineStr">
        <is>
          <t>scenario 2</t>
        </is>
      </c>
      <c r="G414" s="16" t="inlineStr">
        <is>
          <t>Validation result</t>
        </is>
      </c>
      <c r="H414" s="16" t="inlineStr">
        <is>
          <t>TMT/S2</t>
        </is>
      </c>
    </row>
    <row r="415" ht="16" customHeight="1">
      <c r="A415" s="16" t="inlineStr">
        <is>
          <t>TMT-S2-F024</t>
        </is>
      </c>
      <c r="B415" s="16" t="inlineStr">
        <is>
          <t>TMT</t>
        </is>
      </c>
      <c r="C415" s="16" t="inlineStr">
        <is>
          <t>S2</t>
        </is>
      </c>
      <c r="D415" s="16" t="inlineStr">
        <is>
          <t>mass_disclosure</t>
        </is>
      </c>
      <c r="E415" s="17" t="inlineStr">
        <is>
          <t>Weak Access Control for a Resource</t>
        </is>
      </c>
      <c r="F415" s="16" t="inlineStr">
        <is>
          <t>scenario 2</t>
        </is>
      </c>
      <c r="G415" s="16" t="inlineStr">
        <is>
          <t>requested file</t>
        </is>
      </c>
      <c r="H415" s="16" t="inlineStr">
        <is>
          <t>TMT/S2</t>
        </is>
      </c>
    </row>
    <row r="416" ht="16" customHeight="1">
      <c r="A416" s="16" t="inlineStr">
        <is>
          <t>TMT-S2-F025</t>
        </is>
      </c>
      <c r="B416" s="16" t="inlineStr">
        <is>
          <t>TMT</t>
        </is>
      </c>
      <c r="C416" s="16" t="inlineStr">
        <is>
          <t>S2</t>
        </is>
      </c>
      <c r="D416" s="16" t="inlineStr"/>
      <c r="E416" s="17" t="inlineStr">
        <is>
          <t>Spoofing of Source Data Store DS1 Server Storage Repository</t>
        </is>
      </c>
      <c r="F416" s="16" t="inlineStr">
        <is>
          <t>scenario 2</t>
        </is>
      </c>
      <c r="G416" s="16" t="inlineStr">
        <is>
          <t>requested file</t>
        </is>
      </c>
      <c r="H416" s="16" t="inlineStr">
        <is>
          <t>TMT/S2</t>
        </is>
      </c>
    </row>
    <row r="417" ht="16" customHeight="1">
      <c r="A417" s="16" t="inlineStr">
        <is>
          <t>TMT-S2-F026</t>
        </is>
      </c>
      <c r="B417" s="16" t="inlineStr">
        <is>
          <t>TMT</t>
        </is>
      </c>
      <c r="C417" s="16" t="inlineStr">
        <is>
          <t>S2</t>
        </is>
      </c>
      <c r="D417" s="16" t="inlineStr">
        <is>
          <t>dos_service</t>
        </is>
      </c>
      <c r="E417" s="17" t="inlineStr">
        <is>
          <t>Potential Excessive Resource Consumption for P4 File Retrieval Handler or DS1 Server Storage Repository</t>
        </is>
      </c>
      <c r="F417" s="16" t="inlineStr">
        <is>
          <t>scenario 2</t>
        </is>
      </c>
      <c r="G417" s="16" t="inlineStr">
        <is>
          <t>file lookup request</t>
        </is>
      </c>
      <c r="H417" s="16" t="inlineStr">
        <is>
          <t>TMT/S2</t>
        </is>
      </c>
    </row>
    <row r="418" ht="16" customHeight="1">
      <c r="A418" s="16" t="inlineStr">
        <is>
          <t>TMT-S2-F027</t>
        </is>
      </c>
      <c r="B418" s="16" t="inlineStr">
        <is>
          <t>TMT</t>
        </is>
      </c>
      <c r="C418" s="16" t="inlineStr">
        <is>
          <t>S2</t>
        </is>
      </c>
      <c r="D418" s="16" t="inlineStr"/>
      <c r="E418" s="17" t="inlineStr">
        <is>
          <t>Spoofing of Destination Data Store DS1 Server Storage Repository</t>
        </is>
      </c>
      <c r="F418" s="16" t="inlineStr">
        <is>
          <t>scenario 2</t>
        </is>
      </c>
      <c r="G418" s="16" t="inlineStr">
        <is>
          <t>file lookup request</t>
        </is>
      </c>
      <c r="H418" s="16" t="inlineStr">
        <is>
          <t>TMT/S2</t>
        </is>
      </c>
    </row>
    <row r="419" ht="16" customHeight="1">
      <c r="A419" s="16" t="inlineStr">
        <is>
          <t>TMT-S2-F028</t>
        </is>
      </c>
      <c r="B419" s="16" t="inlineStr">
        <is>
          <t>TMT</t>
        </is>
      </c>
      <c r="C419" s="16" t="inlineStr">
        <is>
          <t>S2</t>
        </is>
      </c>
      <c r="D419" s="16" t="inlineStr"/>
      <c r="E419" s="17" t="inlineStr">
        <is>
          <t>Elevation by Changing the Execution Flow in P1 Web Frontend</t>
        </is>
      </c>
      <c r="F419" s="16" t="inlineStr">
        <is>
          <t>scenario 2</t>
        </is>
      </c>
      <c r="G419" s="16" t="inlineStr">
        <is>
          <t>Download request with file identifier</t>
        </is>
      </c>
      <c r="H419" s="16" t="inlineStr">
        <is>
          <t>TMT/S2</t>
        </is>
      </c>
    </row>
    <row r="420" ht="16" customHeight="1">
      <c r="A420" s="16" t="inlineStr">
        <is>
          <t>TMT-S2-F029</t>
        </is>
      </c>
      <c r="B420" s="16" t="inlineStr">
        <is>
          <t>TMT</t>
        </is>
      </c>
      <c r="C420" s="16" t="inlineStr">
        <is>
          <t>S2</t>
        </is>
      </c>
      <c r="D420" s="16" t="inlineStr"/>
      <c r="E420" s="17" t="inlineStr">
        <is>
          <t>P1 Web Frontend May be Subject to Elevation of Privilege Using Remote Code Execution</t>
        </is>
      </c>
      <c r="F420" s="16" t="inlineStr">
        <is>
          <t>scenario 2</t>
        </is>
      </c>
      <c r="G420" s="16" t="inlineStr">
        <is>
          <t>Download request with file identifier</t>
        </is>
      </c>
      <c r="H420" s="16" t="inlineStr">
        <is>
          <t>TMT/S2</t>
        </is>
      </c>
    </row>
    <row r="421" ht="16" customHeight="1">
      <c r="A421" s="16" t="inlineStr">
        <is>
          <t>TMT-S2-F030</t>
        </is>
      </c>
      <c r="B421" s="16" t="inlineStr">
        <is>
          <t>TMT</t>
        </is>
      </c>
      <c r="C421" s="16" t="inlineStr">
        <is>
          <t>S2</t>
        </is>
      </c>
      <c r="D421" s="16" t="inlineStr">
        <is>
          <t>dos_service</t>
        </is>
      </c>
      <c r="E421" s="17" t="inlineStr">
        <is>
          <t>Data Flow Download request with file identifier Is Potentially Interrupted</t>
        </is>
      </c>
      <c r="F421" s="16" t="inlineStr">
        <is>
          <t>scenario 2</t>
        </is>
      </c>
      <c r="G421" s="16" t="inlineStr">
        <is>
          <t>Download request with file identifier</t>
        </is>
      </c>
      <c r="H421" s="16" t="inlineStr">
        <is>
          <t>TMT/S2</t>
        </is>
      </c>
    </row>
    <row r="422" ht="16" customHeight="1">
      <c r="A422" s="16" t="inlineStr">
        <is>
          <t>TMT-S2-F031</t>
        </is>
      </c>
      <c r="B422" s="16" t="inlineStr">
        <is>
          <t>TMT</t>
        </is>
      </c>
      <c r="C422" s="16" t="inlineStr">
        <is>
          <t>S2</t>
        </is>
      </c>
      <c r="D422" s="16" t="inlineStr"/>
      <c r="E422" s="17" t="inlineStr">
        <is>
          <t>Potential Process Crash or Stop for P1 Web Frontend</t>
        </is>
      </c>
      <c r="F422" s="16" t="inlineStr">
        <is>
          <t>scenario 2</t>
        </is>
      </c>
      <c r="G422" s="16" t="inlineStr">
        <is>
          <t>Download request with file identifier</t>
        </is>
      </c>
      <c r="H422" s="16" t="inlineStr">
        <is>
          <t>TMT/S2</t>
        </is>
      </c>
    </row>
    <row r="423" ht="16" customHeight="1">
      <c r="A423" s="16" t="inlineStr">
        <is>
          <t>TMT-S2-F032</t>
        </is>
      </c>
      <c r="B423" s="16" t="inlineStr">
        <is>
          <t>TMT</t>
        </is>
      </c>
      <c r="C423" s="16" t="inlineStr">
        <is>
          <t>S2</t>
        </is>
      </c>
      <c r="D423" s="16" t="inlineStr">
        <is>
          <t>repudiation</t>
        </is>
      </c>
      <c r="E423" s="17" t="inlineStr">
        <is>
          <t>Potential Data Repudiation by P1 Web Frontend</t>
        </is>
      </c>
      <c r="F423" s="16" t="inlineStr">
        <is>
          <t>scenario 2</t>
        </is>
      </c>
      <c r="G423" s="16" t="inlineStr">
        <is>
          <t>Download request with file identifier</t>
        </is>
      </c>
      <c r="H423" s="16" t="inlineStr">
        <is>
          <t>TMT/S2</t>
        </is>
      </c>
    </row>
    <row r="424" ht="16" customHeight="1">
      <c r="A424" s="16" t="inlineStr">
        <is>
          <t>TMT-S2-F033</t>
        </is>
      </c>
      <c r="B424" s="16" t="inlineStr">
        <is>
          <t>TMT</t>
        </is>
      </c>
      <c r="C424" s="16" t="inlineStr">
        <is>
          <t>S2</t>
        </is>
      </c>
      <c r="D424" s="16" t="inlineStr"/>
      <c r="E424" s="17" t="inlineStr">
        <is>
          <t>Cross Site Request Forgery</t>
        </is>
      </c>
      <c r="F424" s="16" t="inlineStr">
        <is>
          <t>scenario 2</t>
        </is>
      </c>
      <c r="G424" s="16" t="inlineStr">
        <is>
          <t>File Upload Submission</t>
        </is>
      </c>
      <c r="H424" s="16" t="inlineStr">
        <is>
          <t>TMT/S2</t>
        </is>
      </c>
    </row>
    <row r="425" ht="16" customHeight="1">
      <c r="A425" s="16" t="inlineStr">
        <is>
          <t>TMT-S2-F034</t>
        </is>
      </c>
      <c r="B425" s="16" t="inlineStr">
        <is>
          <t>TMT</t>
        </is>
      </c>
      <c r="C425" s="16" t="inlineStr">
        <is>
          <t>S2</t>
        </is>
      </c>
      <c r="D425" s="16" t="inlineStr"/>
      <c r="E425" s="17" t="inlineStr">
        <is>
          <t>Elevation by Changing the Execution Flow in P1 Web Frontend</t>
        </is>
      </c>
      <c r="F425" s="16" t="inlineStr">
        <is>
          <t>scenario 2</t>
        </is>
      </c>
      <c r="G425" s="16" t="inlineStr">
        <is>
          <t>File Upload Submission</t>
        </is>
      </c>
      <c r="H425" s="16" t="inlineStr">
        <is>
          <t>TMT/S2</t>
        </is>
      </c>
    </row>
    <row r="426" ht="16" customHeight="1">
      <c r="A426" s="16" t="inlineStr">
        <is>
          <t>TMT-S2-F035</t>
        </is>
      </c>
      <c r="B426" s="16" t="inlineStr">
        <is>
          <t>TMT</t>
        </is>
      </c>
      <c r="C426" s="16" t="inlineStr">
        <is>
          <t>S2</t>
        </is>
      </c>
      <c r="D426" s="16" t="inlineStr"/>
      <c r="E426" s="17" t="inlineStr">
        <is>
          <t>P1 Web Frontend May be Subject to Elevation of Privilege Using Remote Code Execution</t>
        </is>
      </c>
      <c r="F426" s="16" t="inlineStr">
        <is>
          <t>scenario 2</t>
        </is>
      </c>
      <c r="G426" s="16" t="inlineStr">
        <is>
          <t>File Upload Submission</t>
        </is>
      </c>
      <c r="H426" s="16" t="inlineStr">
        <is>
          <t>TMT/S2</t>
        </is>
      </c>
    </row>
    <row r="427" ht="16" customHeight="1">
      <c r="A427" s="16" t="inlineStr">
        <is>
          <t>TMT-S2-F036</t>
        </is>
      </c>
      <c r="B427" s="16" t="inlineStr">
        <is>
          <t>TMT</t>
        </is>
      </c>
      <c r="C427" s="16" t="inlineStr">
        <is>
          <t>S2</t>
        </is>
      </c>
      <c r="D427" s="16" t="inlineStr">
        <is>
          <t>dos_service</t>
        </is>
      </c>
      <c r="E427" s="17" t="inlineStr">
        <is>
          <t>Data Flow File Upload Submission Is Potentially Interrupted</t>
        </is>
      </c>
      <c r="F427" s="16" t="inlineStr">
        <is>
          <t>scenario 2</t>
        </is>
      </c>
      <c r="G427" s="16" t="inlineStr">
        <is>
          <t>File Upload Submission</t>
        </is>
      </c>
      <c r="H427" s="16" t="inlineStr">
        <is>
          <t>TMT/S2</t>
        </is>
      </c>
    </row>
    <row r="428" ht="16" customHeight="1">
      <c r="A428" s="16" t="inlineStr">
        <is>
          <t>TMT-S2-F037</t>
        </is>
      </c>
      <c r="B428" s="16" t="inlineStr">
        <is>
          <t>TMT</t>
        </is>
      </c>
      <c r="C428" s="16" t="inlineStr">
        <is>
          <t>S2</t>
        </is>
      </c>
      <c r="D428" s="16" t="inlineStr"/>
      <c r="E428" s="17" t="inlineStr">
        <is>
          <t>Potential Process Crash or Stop for P1 Web Frontend</t>
        </is>
      </c>
      <c r="F428" s="16" t="inlineStr">
        <is>
          <t>scenario 2</t>
        </is>
      </c>
      <c r="G428" s="16" t="inlineStr">
        <is>
          <t>File Upload Submission</t>
        </is>
      </c>
      <c r="H428" s="16" t="inlineStr">
        <is>
          <t>TMT/S2</t>
        </is>
      </c>
    </row>
    <row r="429" ht="16" customHeight="1">
      <c r="A429" s="16" t="inlineStr">
        <is>
          <t>TMT-S2-F038</t>
        </is>
      </c>
      <c r="B429" s="16" t="inlineStr">
        <is>
          <t>TMT</t>
        </is>
      </c>
      <c r="C429" s="16" t="inlineStr">
        <is>
          <t>S2</t>
        </is>
      </c>
      <c r="D429" s="16" t="inlineStr">
        <is>
          <t>repudiation</t>
        </is>
      </c>
      <c r="E429" s="17" t="inlineStr">
        <is>
          <t>Potential Data Repudiation by P1 Web Frontend</t>
        </is>
      </c>
      <c r="F429" s="16" t="inlineStr">
        <is>
          <t>scenario 2</t>
        </is>
      </c>
      <c r="G429" s="16" t="inlineStr">
        <is>
          <t>File Upload Submission</t>
        </is>
      </c>
      <c r="H429" s="16" t="inlineStr">
        <is>
          <t>TMT/S2</t>
        </is>
      </c>
    </row>
    <row r="430" ht="16" customHeight="1">
      <c r="A430" s="16" t="inlineStr">
        <is>
          <t>TMT-S2-F039</t>
        </is>
      </c>
      <c r="B430" s="16" t="inlineStr">
        <is>
          <t>TMT</t>
        </is>
      </c>
      <c r="C430" s="16" t="inlineStr">
        <is>
          <t>S2</t>
        </is>
      </c>
      <c r="D430" s="16" t="inlineStr"/>
      <c r="E430" s="17" t="inlineStr">
        <is>
          <t>Elevation by Changing the Execution Flow in EE1 Authenticated User</t>
        </is>
      </c>
      <c r="F430" s="16" t="inlineStr">
        <is>
          <t>scenario 2</t>
        </is>
      </c>
      <c r="G430" s="16" t="inlineStr">
        <is>
          <t>Retrieved File</t>
        </is>
      </c>
      <c r="H430" s="16" t="inlineStr">
        <is>
          <t>TMT/S2</t>
        </is>
      </c>
    </row>
    <row r="431" ht="16" customHeight="1">
      <c r="A431" s="16" t="inlineStr">
        <is>
          <t>TMT-S2-F040</t>
        </is>
      </c>
      <c r="B431" s="16" t="inlineStr">
        <is>
          <t>TMT</t>
        </is>
      </c>
      <c r="C431" s="16" t="inlineStr">
        <is>
          <t>S2</t>
        </is>
      </c>
      <c r="D431" s="16" t="inlineStr"/>
      <c r="E431" s="17" t="inlineStr">
        <is>
          <t>EE1 Authenticated User May be Subject to Elevation of Privilege Using Remote Code Execution</t>
        </is>
      </c>
      <c r="F431" s="16" t="inlineStr">
        <is>
          <t>scenario 2</t>
        </is>
      </c>
      <c r="G431" s="16" t="inlineStr">
        <is>
          <t>Retrieved File</t>
        </is>
      </c>
      <c r="H431" s="16" t="inlineStr">
        <is>
          <t>TMT/S2</t>
        </is>
      </c>
    </row>
    <row r="432" ht="16" customHeight="1">
      <c r="A432" s="16" t="inlineStr">
        <is>
          <t>TMT-S2-F041</t>
        </is>
      </c>
      <c r="B432" s="16" t="inlineStr">
        <is>
          <t>TMT</t>
        </is>
      </c>
      <c r="C432" s="16" t="inlineStr">
        <is>
          <t>S2</t>
        </is>
      </c>
      <c r="D432" s="16" t="inlineStr">
        <is>
          <t>dos_service</t>
        </is>
      </c>
      <c r="E432" s="17" t="inlineStr">
        <is>
          <t>Data Flow Retrieved File Is Potentially Interrupted</t>
        </is>
      </c>
      <c r="F432" s="16" t="inlineStr">
        <is>
          <t>scenario 2</t>
        </is>
      </c>
      <c r="G432" s="16" t="inlineStr">
        <is>
          <t>Retrieved File</t>
        </is>
      </c>
      <c r="H432" s="16" t="inlineStr">
        <is>
          <t>TMT/S2</t>
        </is>
      </c>
    </row>
    <row r="433" ht="16" customHeight="1">
      <c r="A433" s="16" t="inlineStr">
        <is>
          <t>TMT-S2-F042</t>
        </is>
      </c>
      <c r="B433" s="16" t="inlineStr">
        <is>
          <t>TMT</t>
        </is>
      </c>
      <c r="C433" s="16" t="inlineStr">
        <is>
          <t>S2</t>
        </is>
      </c>
      <c r="D433" s="16" t="inlineStr"/>
      <c r="E433" s="17" t="inlineStr">
        <is>
          <t>Potential Process Crash or Stop for EE1 Authenticated User</t>
        </is>
      </c>
      <c r="F433" s="16" t="inlineStr">
        <is>
          <t>scenario 2</t>
        </is>
      </c>
      <c r="G433" s="16" t="inlineStr">
        <is>
          <t>Retrieved File</t>
        </is>
      </c>
      <c r="H433" s="16" t="inlineStr">
        <is>
          <t>TMT/S2</t>
        </is>
      </c>
    </row>
    <row r="434" ht="16" customHeight="1">
      <c r="A434" s="16" t="inlineStr">
        <is>
          <t>TMT-S2-F043</t>
        </is>
      </c>
      <c r="B434" s="16" t="inlineStr">
        <is>
          <t>TMT</t>
        </is>
      </c>
      <c r="C434" s="16" t="inlineStr">
        <is>
          <t>S2</t>
        </is>
      </c>
      <c r="D434" s="16" t="inlineStr">
        <is>
          <t>repudiation</t>
        </is>
      </c>
      <c r="E434" s="17" t="inlineStr">
        <is>
          <t>Potential Data Repudiation by EE1 Authenticated User</t>
        </is>
      </c>
      <c r="F434" s="16" t="inlineStr">
        <is>
          <t>scenario 2</t>
        </is>
      </c>
      <c r="G434" s="16" t="inlineStr">
        <is>
          <t>Retrieved File</t>
        </is>
      </c>
      <c r="H434" s="16" t="inlineStr">
        <is>
          <t>TMT/S2</t>
        </is>
      </c>
    </row>
    <row r="435" ht="16" customHeight="1">
      <c r="A435" s="16" t="inlineStr">
        <is>
          <t>TMT-S2-F044</t>
        </is>
      </c>
      <c r="B435" s="16" t="inlineStr">
        <is>
          <t>TMT</t>
        </is>
      </c>
      <c r="C435" s="16" t="inlineStr">
        <is>
          <t>S2</t>
        </is>
      </c>
      <c r="D435" s="16" t="inlineStr"/>
      <c r="E435" s="17" t="inlineStr">
        <is>
          <t>Cross Site Request Forgery</t>
        </is>
      </c>
      <c r="F435" s="16" t="inlineStr">
        <is>
          <t>scenario 2</t>
        </is>
      </c>
      <c r="G435" s="16" t="inlineStr">
        <is>
          <t>Download request with file identifier</t>
        </is>
      </c>
      <c r="H435" s="16" t="inlineStr">
        <is>
          <t>TMT/S2</t>
        </is>
      </c>
    </row>
    <row r="436" ht="16" customHeight="1">
      <c r="A436" s="16" t="inlineStr">
        <is>
          <t>TMT-S2-F045</t>
        </is>
      </c>
      <c r="B436" s="16" t="inlineStr">
        <is>
          <t>TMT</t>
        </is>
      </c>
      <c r="C436" s="16" t="inlineStr">
        <is>
          <t>S2</t>
        </is>
      </c>
      <c r="D436" s="16" t="inlineStr"/>
      <c r="E436" s="17" t="inlineStr">
        <is>
          <t>Cross Site Request Forgery</t>
        </is>
      </c>
      <c r="F436" s="16" t="inlineStr">
        <is>
          <t>scenario 2</t>
        </is>
      </c>
      <c r="G436" s="16" t="inlineStr">
        <is>
          <t>Document Question</t>
        </is>
      </c>
      <c r="H436" s="16" t="inlineStr">
        <is>
          <t>TMT/S2</t>
        </is>
      </c>
    </row>
    <row r="437" ht="16" customHeight="1">
      <c r="A437" s="16" t="inlineStr">
        <is>
          <t>TMT-S2-F046</t>
        </is>
      </c>
      <c r="B437" s="16" t="inlineStr">
        <is>
          <t>TMT</t>
        </is>
      </c>
      <c r="C437" s="16" t="inlineStr">
        <is>
          <t>S2</t>
        </is>
      </c>
      <c r="D437" s="16" t="inlineStr"/>
      <c r="E437" s="17" t="inlineStr">
        <is>
          <t>Elevation by Changing the Execution Flow in P5 AI File Assistant</t>
        </is>
      </c>
      <c r="F437" s="16" t="inlineStr">
        <is>
          <t>scenario 2</t>
        </is>
      </c>
      <c r="G437" s="16" t="inlineStr">
        <is>
          <t>Document Question</t>
        </is>
      </c>
      <c r="H437" s="16" t="inlineStr">
        <is>
          <t>TMT/S2</t>
        </is>
      </c>
    </row>
    <row r="438" ht="16" customHeight="1">
      <c r="A438" s="16" t="inlineStr">
        <is>
          <t>TMT-S2-F047</t>
        </is>
      </c>
      <c r="B438" s="16" t="inlineStr">
        <is>
          <t>TMT</t>
        </is>
      </c>
      <c r="C438" s="16" t="inlineStr">
        <is>
          <t>S2</t>
        </is>
      </c>
      <c r="D438" s="16" t="inlineStr"/>
      <c r="E438" s="17" t="inlineStr">
        <is>
          <t>P5 AI File Assistant May be Subject to Elevation of Privilege Using Remote Code Execution</t>
        </is>
      </c>
      <c r="F438" s="16" t="inlineStr">
        <is>
          <t>scenario 2</t>
        </is>
      </c>
      <c r="G438" s="16" t="inlineStr">
        <is>
          <t>Document Question</t>
        </is>
      </c>
      <c r="H438" s="16" t="inlineStr">
        <is>
          <t>TMT/S2</t>
        </is>
      </c>
    </row>
    <row r="439" ht="16" customHeight="1">
      <c r="A439" s="16" t="inlineStr">
        <is>
          <t>TMT-S2-F048</t>
        </is>
      </c>
      <c r="B439" s="16" t="inlineStr">
        <is>
          <t>TMT</t>
        </is>
      </c>
      <c r="C439" s="16" t="inlineStr">
        <is>
          <t>S2</t>
        </is>
      </c>
      <c r="D439" s="16" t="inlineStr"/>
      <c r="E439" s="17" t="inlineStr">
        <is>
          <t>Elevation Using Impersonation</t>
        </is>
      </c>
      <c r="F439" s="16" t="inlineStr">
        <is>
          <t>scenario 2</t>
        </is>
      </c>
      <c r="G439" s="16" t="inlineStr">
        <is>
          <t>Document Question</t>
        </is>
      </c>
      <c r="H439" s="16" t="inlineStr">
        <is>
          <t>TMT/S2</t>
        </is>
      </c>
    </row>
    <row r="440" ht="16" customHeight="1">
      <c r="A440" s="16" t="inlineStr">
        <is>
          <t>TMT-S2-F049</t>
        </is>
      </c>
      <c r="B440" s="16" t="inlineStr">
        <is>
          <t>TMT</t>
        </is>
      </c>
      <c r="C440" s="16" t="inlineStr">
        <is>
          <t>S2</t>
        </is>
      </c>
      <c r="D440" s="16" t="inlineStr"/>
      <c r="E440" s="17" t="inlineStr">
        <is>
          <t>Data Flow Document Question Is Potentially Interrupted</t>
        </is>
      </c>
      <c r="F440" s="16" t="inlineStr">
        <is>
          <t>scenario 2</t>
        </is>
      </c>
      <c r="G440" s="16" t="inlineStr">
        <is>
          <t>Document Question</t>
        </is>
      </c>
      <c r="H440" s="16" t="inlineStr">
        <is>
          <t>TMT/S2</t>
        </is>
      </c>
    </row>
    <row r="441" ht="16" customHeight="1">
      <c r="A441" s="16" t="inlineStr">
        <is>
          <t>TMT-S2-F050</t>
        </is>
      </c>
      <c r="B441" s="16" t="inlineStr">
        <is>
          <t>TMT</t>
        </is>
      </c>
      <c r="C441" s="16" t="inlineStr">
        <is>
          <t>S2</t>
        </is>
      </c>
      <c r="D441" s="16" t="inlineStr"/>
      <c r="E441" s="17" t="inlineStr">
        <is>
          <t>Potential Process Crash or Stop for P5 AI File Assistant</t>
        </is>
      </c>
      <c r="F441" s="16" t="inlineStr">
        <is>
          <t>scenario 2</t>
        </is>
      </c>
      <c r="G441" s="16" t="inlineStr">
        <is>
          <t>Document Question</t>
        </is>
      </c>
      <c r="H441" s="16" t="inlineStr">
        <is>
          <t>TMT/S2</t>
        </is>
      </c>
    </row>
    <row r="442" ht="16" customHeight="1">
      <c r="A442" s="16" t="inlineStr">
        <is>
          <t>TMT-S2-F051</t>
        </is>
      </c>
      <c r="B442" s="16" t="inlineStr">
        <is>
          <t>TMT</t>
        </is>
      </c>
      <c r="C442" s="16" t="inlineStr">
        <is>
          <t>S2</t>
        </is>
      </c>
      <c r="D442" s="16" t="inlineStr">
        <is>
          <t>transit_creds</t>
        </is>
      </c>
      <c r="E442" s="17" t="inlineStr">
        <is>
          <t>Data Flow Sniffing</t>
        </is>
      </c>
      <c r="F442" s="16" t="inlineStr">
        <is>
          <t>scenario 2</t>
        </is>
      </c>
      <c r="G442" s="16" t="inlineStr">
        <is>
          <t>Document Question</t>
        </is>
      </c>
      <c r="H442" s="16" t="inlineStr">
        <is>
          <t>TMT/S2</t>
        </is>
      </c>
    </row>
    <row r="443" ht="16" customHeight="1">
      <c r="A443" s="16" t="inlineStr">
        <is>
          <t>TMT-S2-F052</t>
        </is>
      </c>
      <c r="B443" s="16" t="inlineStr">
        <is>
          <t>TMT</t>
        </is>
      </c>
      <c r="C443" s="16" t="inlineStr">
        <is>
          <t>S2</t>
        </is>
      </c>
      <c r="D443" s="16" t="inlineStr">
        <is>
          <t>repudiation</t>
        </is>
      </c>
      <c r="E443" s="17" t="inlineStr">
        <is>
          <t>Potential Data Repudiation by P5 AI File Assistant</t>
        </is>
      </c>
      <c r="F443" s="16" t="inlineStr">
        <is>
          <t>scenario 2</t>
        </is>
      </c>
      <c r="G443" s="16" t="inlineStr">
        <is>
          <t>Document Question</t>
        </is>
      </c>
      <c r="H443" s="16" t="inlineStr">
        <is>
          <t>TMT/S2</t>
        </is>
      </c>
    </row>
    <row r="444" ht="16" customHeight="1">
      <c r="A444" s="16" t="inlineStr">
        <is>
          <t>TMT-S2-F053</t>
        </is>
      </c>
      <c r="B444" s="16" t="inlineStr">
        <is>
          <t>TMT</t>
        </is>
      </c>
      <c r="C444" s="16" t="inlineStr">
        <is>
          <t>S2</t>
        </is>
      </c>
      <c r="D444" s="16" t="inlineStr"/>
      <c r="E444" s="17" t="inlineStr">
        <is>
          <t>EE1 Authenticated User Process Memory Tampered</t>
        </is>
      </c>
      <c r="F444" s="16" t="inlineStr">
        <is>
          <t>scenario 2</t>
        </is>
      </c>
      <c r="G444" s="16" t="inlineStr">
        <is>
          <t>Document Question</t>
        </is>
      </c>
      <c r="H444" s="16" t="inlineStr">
        <is>
          <t>TMT/S2</t>
        </is>
      </c>
    </row>
    <row r="445" ht="16" customHeight="1">
      <c r="A445" s="16" t="inlineStr">
        <is>
          <t>TMT-S2-F054</t>
        </is>
      </c>
      <c r="B445" s="16" t="inlineStr">
        <is>
          <t>TMT</t>
        </is>
      </c>
      <c r="C445" s="16" t="inlineStr">
        <is>
          <t>S2</t>
        </is>
      </c>
      <c r="D445" s="16" t="inlineStr">
        <is>
          <t>prompt_injection_direct</t>
        </is>
      </c>
      <c r="E445" s="17" t="inlineStr">
        <is>
          <t>Potential Lack of Input Validation for P5 AI File Assistant</t>
        </is>
      </c>
      <c r="F445" s="16" t="inlineStr">
        <is>
          <t>scenario 2</t>
        </is>
      </c>
      <c r="G445" s="16" t="inlineStr">
        <is>
          <t>Document Question</t>
        </is>
      </c>
      <c r="H445" s="16" t="inlineStr">
        <is>
          <t>TMT/S2</t>
        </is>
      </c>
    </row>
    <row r="446" ht="16" customHeight="1">
      <c r="A446" s="16" t="inlineStr">
        <is>
          <t>TMT-S2-F055</t>
        </is>
      </c>
      <c r="B446" s="16" t="inlineStr">
        <is>
          <t>TMT</t>
        </is>
      </c>
      <c r="C446" s="16" t="inlineStr">
        <is>
          <t>S2</t>
        </is>
      </c>
      <c r="D446" s="16" t="inlineStr"/>
      <c r="E446" s="17" t="inlineStr">
        <is>
          <t>Spoofing the P5 AI File Assistant Process</t>
        </is>
      </c>
      <c r="F446" s="16" t="inlineStr">
        <is>
          <t>scenario 2</t>
        </is>
      </c>
      <c r="G446" s="16" t="inlineStr">
        <is>
          <t>Document Question</t>
        </is>
      </c>
      <c r="H446" s="16" t="inlineStr">
        <is>
          <t>TMT/S2</t>
        </is>
      </c>
    </row>
    <row r="447" ht="16" customHeight="1">
      <c r="A447" s="16" t="inlineStr">
        <is>
          <t>TMT-S2-F056</t>
        </is>
      </c>
      <c r="B447" s="16" t="inlineStr">
        <is>
          <t>TMT</t>
        </is>
      </c>
      <c r="C447" s="16" t="inlineStr">
        <is>
          <t>S2</t>
        </is>
      </c>
      <c r="D447" s="16" t="inlineStr">
        <is>
          <t>assistant_authz</t>
        </is>
      </c>
      <c r="E447" s="17" t="inlineStr">
        <is>
          <t>Spoofing the EE1 Authenticated User Process</t>
        </is>
      </c>
      <c r="F447" s="16" t="inlineStr">
        <is>
          <t>scenario 2</t>
        </is>
      </c>
      <c r="G447" s="16" t="inlineStr">
        <is>
          <t>Document Question</t>
        </is>
      </c>
      <c r="H447" s="16" t="inlineStr">
        <is>
          <t>TMT/S2</t>
        </is>
      </c>
    </row>
    <row r="448" ht="16" customHeight="1">
      <c r="A448" s="16" t="inlineStr">
        <is>
          <t>TMT-S2-F057</t>
        </is>
      </c>
      <c r="B448" s="16" t="inlineStr">
        <is>
          <t>TMT</t>
        </is>
      </c>
      <c r="C448" s="16" t="inlineStr">
        <is>
          <t>S2</t>
        </is>
      </c>
      <c r="D448" s="16" t="inlineStr"/>
      <c r="E448" s="17" t="inlineStr">
        <is>
          <t>Spoofing the P5 AI File Assistant Process</t>
        </is>
      </c>
      <c r="F448" s="16" t="inlineStr">
        <is>
          <t>scenario 2</t>
        </is>
      </c>
      <c r="G448" s="16" t="inlineStr">
        <is>
          <t>AI Answer</t>
        </is>
      </c>
      <c r="H448" s="16" t="inlineStr">
        <is>
          <t>TMT/S2</t>
        </is>
      </c>
    </row>
    <row r="449" ht="16" customHeight="1">
      <c r="A449" s="16" t="inlineStr">
        <is>
          <t>TMT-S2-F058</t>
        </is>
      </c>
      <c r="B449" s="16" t="inlineStr">
        <is>
          <t>TMT</t>
        </is>
      </c>
      <c r="C449" s="16" t="inlineStr">
        <is>
          <t>S2</t>
        </is>
      </c>
      <c r="D449" s="16" t="inlineStr">
        <is>
          <t>assistant_authz</t>
        </is>
      </c>
      <c r="E449" s="17" t="inlineStr">
        <is>
          <t>Spoofing the EE1 Authenticated User Process</t>
        </is>
      </c>
      <c r="F449" s="16" t="inlineStr">
        <is>
          <t>scenario 2</t>
        </is>
      </c>
      <c r="G449" s="16" t="inlineStr">
        <is>
          <t>AI Answer</t>
        </is>
      </c>
      <c r="H449" s="16" t="inlineStr">
        <is>
          <t>TMT/S2</t>
        </is>
      </c>
    </row>
    <row r="450" ht="16" customHeight="1">
      <c r="A450" s="16" t="inlineStr">
        <is>
          <t>TMT-S2-F059</t>
        </is>
      </c>
      <c r="B450" s="16" t="inlineStr">
        <is>
          <t>TMT</t>
        </is>
      </c>
      <c r="C450" s="16" t="inlineStr">
        <is>
          <t>S2</t>
        </is>
      </c>
      <c r="D450" s="16" t="inlineStr"/>
      <c r="E450" s="17" t="inlineStr">
        <is>
          <t>Potential Lack of Input Validation for EE1 Authenticated User</t>
        </is>
      </c>
      <c r="F450" s="16" t="inlineStr">
        <is>
          <t>scenario 2</t>
        </is>
      </c>
      <c r="G450" s="16" t="inlineStr">
        <is>
          <t>AI Answer</t>
        </is>
      </c>
      <c r="H450" s="16" t="inlineStr">
        <is>
          <t>TMT/S2</t>
        </is>
      </c>
    </row>
    <row r="451" ht="16" customHeight="1">
      <c r="A451" s="16" t="inlineStr">
        <is>
          <t>TMT-S2-F060</t>
        </is>
      </c>
      <c r="B451" s="16" t="inlineStr">
        <is>
          <t>TMT</t>
        </is>
      </c>
      <c r="C451" s="16" t="inlineStr">
        <is>
          <t>S2</t>
        </is>
      </c>
      <c r="D451" s="16" t="inlineStr"/>
      <c r="E451" s="17" t="inlineStr">
        <is>
          <t>P5 AI File Assistant Process Memory Tampered</t>
        </is>
      </c>
      <c r="F451" s="16" t="inlineStr">
        <is>
          <t>scenario 2</t>
        </is>
      </c>
      <c r="G451" s="16" t="inlineStr">
        <is>
          <t>AI Answer</t>
        </is>
      </c>
      <c r="H451" s="16" t="inlineStr">
        <is>
          <t>TMT/S2</t>
        </is>
      </c>
    </row>
    <row r="452" ht="16" customHeight="1">
      <c r="A452" s="16" t="inlineStr">
        <is>
          <t>TMT-S2-F061</t>
        </is>
      </c>
      <c r="B452" s="16" t="inlineStr">
        <is>
          <t>TMT</t>
        </is>
      </c>
      <c r="C452" s="16" t="inlineStr">
        <is>
          <t>S2</t>
        </is>
      </c>
      <c r="D452" s="16" t="inlineStr">
        <is>
          <t>repudiation</t>
        </is>
      </c>
      <c r="E452" s="17" t="inlineStr">
        <is>
          <t>Potential Data Repudiation by EE1 Authenticated User</t>
        </is>
      </c>
      <c r="F452" s="16" t="inlineStr">
        <is>
          <t>scenario 2</t>
        </is>
      </c>
      <c r="G452" s="16" t="inlineStr">
        <is>
          <t>AI Answer</t>
        </is>
      </c>
      <c r="H452" s="16" t="inlineStr">
        <is>
          <t>TMT/S2</t>
        </is>
      </c>
    </row>
    <row r="453" ht="16" customHeight="1">
      <c r="A453" s="16" t="inlineStr">
        <is>
          <t>TMT-S2-F062</t>
        </is>
      </c>
      <c r="B453" s="16" t="inlineStr">
        <is>
          <t>TMT</t>
        </is>
      </c>
      <c r="C453" s="16" t="inlineStr">
        <is>
          <t>S2</t>
        </is>
      </c>
      <c r="D453" s="16" t="inlineStr">
        <is>
          <t>transit_creds</t>
        </is>
      </c>
      <c r="E453" s="17" t="inlineStr">
        <is>
          <t>Data Flow Sniffing</t>
        </is>
      </c>
      <c r="F453" s="16" t="inlineStr">
        <is>
          <t>scenario 2</t>
        </is>
      </c>
      <c r="G453" s="16" t="inlineStr">
        <is>
          <t>AI Answer</t>
        </is>
      </c>
      <c r="H453" s="16" t="inlineStr">
        <is>
          <t>TMT/S2</t>
        </is>
      </c>
    </row>
    <row r="454" ht="16" customHeight="1">
      <c r="A454" s="16" t="inlineStr">
        <is>
          <t>TMT-S2-F063</t>
        </is>
      </c>
      <c r="B454" s="16" t="inlineStr">
        <is>
          <t>TMT</t>
        </is>
      </c>
      <c r="C454" s="16" t="inlineStr">
        <is>
          <t>S2</t>
        </is>
      </c>
      <c r="D454" s="16" t="inlineStr"/>
      <c r="E454" s="17" t="inlineStr">
        <is>
          <t>Potential Process Crash or Stop for EE1 Authenticated User</t>
        </is>
      </c>
      <c r="F454" s="16" t="inlineStr">
        <is>
          <t>scenario 2</t>
        </is>
      </c>
      <c r="G454" s="16" t="inlineStr">
        <is>
          <t>AI Answer</t>
        </is>
      </c>
      <c r="H454" s="16" t="inlineStr">
        <is>
          <t>TMT/S2</t>
        </is>
      </c>
    </row>
    <row r="455" ht="16" customHeight="1">
      <c r="A455" s="16" t="inlineStr">
        <is>
          <t>TMT-S2-F064</t>
        </is>
      </c>
      <c r="B455" s="16" t="inlineStr">
        <is>
          <t>TMT</t>
        </is>
      </c>
      <c r="C455" s="16" t="inlineStr">
        <is>
          <t>S2</t>
        </is>
      </c>
      <c r="D455" s="16" t="inlineStr"/>
      <c r="E455" s="17" t="inlineStr">
        <is>
          <t>Data Flow AI Answer Is Potentially Interrupted</t>
        </is>
      </c>
      <c r="F455" s="16" t="inlineStr">
        <is>
          <t>scenario 2</t>
        </is>
      </c>
      <c r="G455" s="16" t="inlineStr">
        <is>
          <t>AI Answer</t>
        </is>
      </c>
      <c r="H455" s="16" t="inlineStr">
        <is>
          <t>TMT/S2</t>
        </is>
      </c>
    </row>
    <row r="456" ht="16" customHeight="1">
      <c r="A456" s="16" t="inlineStr">
        <is>
          <t>TMT-S2-F065</t>
        </is>
      </c>
      <c r="B456" s="16" t="inlineStr">
        <is>
          <t>TMT</t>
        </is>
      </c>
      <c r="C456" s="16" t="inlineStr">
        <is>
          <t>S2</t>
        </is>
      </c>
      <c r="D456" s="16" t="inlineStr"/>
      <c r="E456" s="17" t="inlineStr">
        <is>
          <t>Elevation Using Impersonation</t>
        </is>
      </c>
      <c r="F456" s="16" t="inlineStr">
        <is>
          <t>scenario 2</t>
        </is>
      </c>
      <c r="G456" s="16" t="inlineStr">
        <is>
          <t>AI Answer</t>
        </is>
      </c>
      <c r="H456" s="16" t="inlineStr">
        <is>
          <t>TMT/S2</t>
        </is>
      </c>
    </row>
    <row r="457" ht="16" customHeight="1">
      <c r="A457" s="16" t="inlineStr">
        <is>
          <t>TMT-S2-F066</t>
        </is>
      </c>
      <c r="B457" s="16" t="inlineStr">
        <is>
          <t>TMT</t>
        </is>
      </c>
      <c r="C457" s="16" t="inlineStr">
        <is>
          <t>S2</t>
        </is>
      </c>
      <c r="D457" s="16" t="inlineStr"/>
      <c r="E457" s="17" t="inlineStr">
        <is>
          <t>EE1 Authenticated User May be Subject to Elevation of Privilege Using Remote Code Execution</t>
        </is>
      </c>
      <c r="F457" s="16" t="inlineStr">
        <is>
          <t>scenario 2</t>
        </is>
      </c>
      <c r="G457" s="16" t="inlineStr">
        <is>
          <t>AI Answer</t>
        </is>
      </c>
      <c r="H457" s="16" t="inlineStr">
        <is>
          <t>TMT/S2</t>
        </is>
      </c>
    </row>
    <row r="458" ht="16" customHeight="1">
      <c r="A458" s="16" t="inlineStr">
        <is>
          <t>TMT-S2-F067</t>
        </is>
      </c>
      <c r="B458" s="16" t="inlineStr">
        <is>
          <t>TMT</t>
        </is>
      </c>
      <c r="C458" s="16" t="inlineStr">
        <is>
          <t>S2</t>
        </is>
      </c>
      <c r="D458" s="16" t="inlineStr"/>
      <c r="E458" s="17" t="inlineStr">
        <is>
          <t>Elevation by Changing the Execution Flow in EE1 Authenticated User</t>
        </is>
      </c>
      <c r="F458" s="16" t="inlineStr">
        <is>
          <t>scenario 2</t>
        </is>
      </c>
      <c r="G458" s="16" t="inlineStr">
        <is>
          <t>AI Answer</t>
        </is>
      </c>
      <c r="H458" s="16" t="inlineStr">
        <is>
          <t>TMT/S2</t>
        </is>
      </c>
    </row>
    <row r="459" ht="16" customHeight="1">
      <c r="A459" s="16" t="inlineStr">
        <is>
          <t>TMT-S2-F068</t>
        </is>
      </c>
      <c r="B459" s="16" t="inlineStr">
        <is>
          <t>TMT</t>
        </is>
      </c>
      <c r="C459" s="16" t="inlineStr">
        <is>
          <t>S2</t>
        </is>
      </c>
      <c r="D459" s="16" t="inlineStr"/>
      <c r="E459" s="17" t="inlineStr">
        <is>
          <t>P5 AI File Assistant Process Memory Tampered</t>
        </is>
      </c>
      <c r="F459" s="16" t="inlineStr">
        <is>
          <t>scenario 2</t>
        </is>
      </c>
      <c r="G459" s="16" t="inlineStr">
        <is>
          <t>Prompt + Approved Document Context</t>
        </is>
      </c>
      <c r="H459" s="16" t="inlineStr">
        <is>
          <t>TMT/S2</t>
        </is>
      </c>
    </row>
    <row r="460" ht="16" customHeight="1">
      <c r="A460" s="16" t="inlineStr">
        <is>
          <t>TMT-S2-F069</t>
        </is>
      </c>
      <c r="B460" s="16" t="inlineStr">
        <is>
          <t>TMT</t>
        </is>
      </c>
      <c r="C460" s="16" t="inlineStr">
        <is>
          <t>S2</t>
        </is>
      </c>
      <c r="D460" s="16" t="inlineStr"/>
      <c r="E460" s="17" t="inlineStr">
        <is>
          <t>Elevation Using Impersonation</t>
        </is>
      </c>
      <c r="F460" s="16" t="inlineStr">
        <is>
          <t>scenario 2</t>
        </is>
      </c>
      <c r="G460" s="16" t="inlineStr">
        <is>
          <t>Prompt + Approved Document Context</t>
        </is>
      </c>
      <c r="H460" s="16" t="inlineStr">
        <is>
          <t>TMT/S2</t>
        </is>
      </c>
    </row>
    <row r="461" ht="16" customHeight="1">
      <c r="A461" s="16" t="inlineStr">
        <is>
          <t>TMT-S2-F070</t>
        </is>
      </c>
      <c r="B461" s="16" t="inlineStr">
        <is>
          <t>TMT</t>
        </is>
      </c>
      <c r="C461" s="16" t="inlineStr">
        <is>
          <t>S2</t>
        </is>
      </c>
      <c r="D461" s="16" t="inlineStr"/>
      <c r="E461" s="17" t="inlineStr">
        <is>
          <t>P6 LLM Integration Service Process Memory Tampered</t>
        </is>
      </c>
      <c r="F461" s="16" t="inlineStr">
        <is>
          <t>scenario 2</t>
        </is>
      </c>
      <c r="G461" s="16" t="inlineStr">
        <is>
          <t>Processed AI Response</t>
        </is>
      </c>
      <c r="H461" s="16" t="inlineStr">
        <is>
          <t>TMT/S2</t>
        </is>
      </c>
    </row>
    <row r="462" ht="16" customHeight="1">
      <c r="A462" s="16" t="inlineStr">
        <is>
          <t>TMT-S2-F071</t>
        </is>
      </c>
      <c r="B462" s="16" t="inlineStr">
        <is>
          <t>TMT</t>
        </is>
      </c>
      <c r="C462" s="16" t="inlineStr">
        <is>
          <t>S2</t>
        </is>
      </c>
      <c r="D462" s="16" t="inlineStr"/>
      <c r="E462" s="17" t="inlineStr">
        <is>
          <t>Elevation Using Impersonation</t>
        </is>
      </c>
      <c r="F462" s="16" t="inlineStr">
        <is>
          <t>scenario 2</t>
        </is>
      </c>
      <c r="G462" s="16" t="inlineStr">
        <is>
          <t>Processed AI Response</t>
        </is>
      </c>
      <c r="H462" s="16" t="inlineStr">
        <is>
          <t>TMT/S2</t>
        </is>
      </c>
    </row>
    <row r="463" ht="16" customHeight="1">
      <c r="A463" s="16" t="inlineStr">
        <is>
          <t>TMT-S2-F072</t>
        </is>
      </c>
      <c r="B463" s="16" t="inlineStr">
        <is>
          <t>TMT</t>
        </is>
      </c>
      <c r="C463" s="16" t="inlineStr">
        <is>
          <t>S2</t>
        </is>
      </c>
      <c r="D463" s="16" t="inlineStr"/>
      <c r="E463" s="17" t="inlineStr">
        <is>
          <t>P5 AI File Assistant Process Memory Tampered</t>
        </is>
      </c>
      <c r="F463" s="16" t="inlineStr">
        <is>
          <t>scenario 2</t>
        </is>
      </c>
      <c r="G463" s="16" t="inlineStr">
        <is>
          <t>Approved Context Request</t>
        </is>
      </c>
      <c r="H463" s="16" t="inlineStr">
        <is>
          <t>TMT/S2</t>
        </is>
      </c>
    </row>
    <row r="464" ht="16" customHeight="1">
      <c r="A464" s="16" t="inlineStr">
        <is>
          <t>TMT-S2-F073</t>
        </is>
      </c>
      <c r="B464" s="16" t="inlineStr">
        <is>
          <t>TMT</t>
        </is>
      </c>
      <c r="C464" s="16" t="inlineStr">
        <is>
          <t>S2</t>
        </is>
      </c>
      <c r="D464" s="16" t="inlineStr"/>
      <c r="E464" s="17" t="inlineStr">
        <is>
          <t>Elevation Using Impersonation</t>
        </is>
      </c>
      <c r="F464" s="16" t="inlineStr">
        <is>
          <t>scenario 2</t>
        </is>
      </c>
      <c r="G464" s="16" t="inlineStr">
        <is>
          <t>Approved Context Request</t>
        </is>
      </c>
      <c r="H464" s="16" t="inlineStr">
        <is>
          <t>TMT/S2</t>
        </is>
      </c>
    </row>
    <row r="465" ht="16" customHeight="1">
      <c r="A465" s="16" t="inlineStr">
        <is>
          <t>TMT-S2-F074</t>
        </is>
      </c>
      <c r="B465" s="16" t="inlineStr">
        <is>
          <t>TMT</t>
        </is>
      </c>
      <c r="C465" s="16" t="inlineStr">
        <is>
          <t>S2</t>
        </is>
      </c>
      <c r="D465" s="16" t="inlineStr"/>
      <c r="E465" s="17" t="inlineStr">
        <is>
          <t>P4 File Retrieval Handler Process Memory Tampered</t>
        </is>
      </c>
      <c r="F465" s="16" t="inlineStr">
        <is>
          <t>scenario 2</t>
        </is>
      </c>
      <c r="G465" s="16" t="inlineStr">
        <is>
          <t>Retrieved File Content</t>
        </is>
      </c>
      <c r="H465" s="16" t="inlineStr">
        <is>
          <t>TMT/S2</t>
        </is>
      </c>
    </row>
    <row r="466" ht="16" customHeight="1">
      <c r="A466" s="16" t="inlineStr">
        <is>
          <t>TMT-S2-F075</t>
        </is>
      </c>
      <c r="B466" s="16" t="inlineStr">
        <is>
          <t>TMT</t>
        </is>
      </c>
      <c r="C466" s="16" t="inlineStr">
        <is>
          <t>S2</t>
        </is>
      </c>
      <c r="D466" s="16" t="inlineStr"/>
      <c r="E466" s="17" t="inlineStr">
        <is>
          <t>Elevation Using Impersonation</t>
        </is>
      </c>
      <c r="F466" s="16" t="inlineStr">
        <is>
          <t>scenario 2</t>
        </is>
      </c>
      <c r="G466" s="16" t="inlineStr">
        <is>
          <t>Retrieved File Content</t>
        </is>
      </c>
      <c r="H466" s="16" t="inlineStr">
        <is>
          <t>TMT/S2</t>
        </is>
      </c>
    </row>
    <row r="467" ht="16" customHeight="1">
      <c r="A467" s="16" t="inlineStr">
        <is>
          <t>TMT-S2-F076</t>
        </is>
      </c>
      <c r="B467" s="16" t="inlineStr">
        <is>
          <t>TMT</t>
        </is>
      </c>
      <c r="C467" s="16" t="inlineStr">
        <is>
          <t>S2</t>
        </is>
      </c>
      <c r="D467" s="16" t="inlineStr">
        <is>
          <t>model_substitution</t>
        </is>
      </c>
      <c r="E467" s="17" t="inlineStr">
        <is>
          <t>Spoofing of the EE2 External LLM Provider External Destination Entity</t>
        </is>
      </c>
      <c r="F467" s="16" t="inlineStr">
        <is>
          <t>scenario 2</t>
        </is>
      </c>
      <c r="G467" s="16" t="inlineStr">
        <is>
          <t>Prompt + Approved Document Context</t>
        </is>
      </c>
      <c r="H467" s="16" t="inlineStr">
        <is>
          <t>TMT/S2</t>
        </is>
      </c>
    </row>
    <row r="468" ht="16" customHeight="1">
      <c r="A468" s="16" t="inlineStr">
        <is>
          <t>TMT-S2-F077</t>
        </is>
      </c>
      <c r="B468" s="16" t="inlineStr">
        <is>
          <t>TMT</t>
        </is>
      </c>
      <c r="C468" s="16" t="inlineStr">
        <is>
          <t>S2</t>
        </is>
      </c>
      <c r="D468" s="16" t="inlineStr"/>
      <c r="E468" s="17" t="inlineStr">
        <is>
          <t>External Entity EE2 External LLM Provider Potentially Denies Receiving Data</t>
        </is>
      </c>
      <c r="F468" s="16" t="inlineStr">
        <is>
          <t>scenario 2</t>
        </is>
      </c>
      <c r="G468" s="16" t="inlineStr">
        <is>
          <t>Prompt + Approved Document Context</t>
        </is>
      </c>
      <c r="H468" s="16" t="inlineStr">
        <is>
          <t>TMT/S2</t>
        </is>
      </c>
    </row>
    <row r="469" ht="16" customHeight="1">
      <c r="A469" s="16" t="inlineStr">
        <is>
          <t>TMT-S2-F078</t>
        </is>
      </c>
      <c r="B469" s="16" t="inlineStr">
        <is>
          <t>TMT</t>
        </is>
      </c>
      <c r="C469" s="16" t="inlineStr">
        <is>
          <t>S2</t>
        </is>
      </c>
      <c r="D469" s="16" t="inlineStr">
        <is>
          <t>llm_unavailable</t>
        </is>
      </c>
      <c r="E469" s="17" t="inlineStr">
        <is>
          <t>Data Flow Prompt + Approved Document Context Is Potentially Interrupted</t>
        </is>
      </c>
      <c r="F469" s="16" t="inlineStr">
        <is>
          <t>scenario 2</t>
        </is>
      </c>
      <c r="G469" s="16" t="inlineStr">
        <is>
          <t>Prompt + Approved Document Context</t>
        </is>
      </c>
      <c r="H469" s="16" t="inlineStr">
        <is>
          <t>TMT/S2</t>
        </is>
      </c>
    </row>
    <row r="470" ht="16" customHeight="1">
      <c r="A470" s="16" t="inlineStr">
        <is>
          <t>TMT-S2-F079</t>
        </is>
      </c>
      <c r="B470" s="16" t="inlineStr">
        <is>
          <t>TMT</t>
        </is>
      </c>
      <c r="C470" s="16" t="inlineStr">
        <is>
          <t>S2</t>
        </is>
      </c>
      <c r="D470" s="16" t="inlineStr"/>
      <c r="E470" s="17" t="inlineStr">
        <is>
          <t>Spoofing the P6 LLM Integration Service Process</t>
        </is>
      </c>
      <c r="F470" s="16" t="inlineStr">
        <is>
          <t>scenario 2</t>
        </is>
      </c>
      <c r="G470" s="16" t="inlineStr">
        <is>
          <t>Generated LLM Response</t>
        </is>
      </c>
      <c r="H470" s="16" t="inlineStr">
        <is>
          <t>TMT/S2</t>
        </is>
      </c>
    </row>
    <row r="471" ht="16" customHeight="1">
      <c r="A471" s="16" t="inlineStr">
        <is>
          <t>TMT-S2-F080</t>
        </is>
      </c>
      <c r="B471" s="16" t="inlineStr">
        <is>
          <t>TMT</t>
        </is>
      </c>
      <c r="C471" s="16" t="inlineStr">
        <is>
          <t>S2</t>
        </is>
      </c>
      <c r="D471" s="16" t="inlineStr">
        <is>
          <t>model_substitution</t>
        </is>
      </c>
      <c r="E471" s="17" t="inlineStr">
        <is>
          <t>Spoofing the EE2 External LLM Provider External Entity</t>
        </is>
      </c>
      <c r="F471" s="16" t="inlineStr">
        <is>
          <t>scenario 2</t>
        </is>
      </c>
      <c r="G471" s="16" t="inlineStr">
        <is>
          <t>Generated LLM Response</t>
        </is>
      </c>
      <c r="H471" s="16" t="inlineStr">
        <is>
          <t>TMT/S2</t>
        </is>
      </c>
    </row>
    <row r="472" ht="16" customHeight="1">
      <c r="A472" s="16" t="inlineStr">
        <is>
          <t>TMT-S2-F081</t>
        </is>
      </c>
      <c r="B472" s="16" t="inlineStr">
        <is>
          <t>TMT</t>
        </is>
      </c>
      <c r="C472" s="16" t="inlineStr">
        <is>
          <t>S2</t>
        </is>
      </c>
      <c r="D472" s="16" t="inlineStr">
        <is>
          <t>unsafe_output</t>
        </is>
      </c>
      <c r="E472" s="17" t="inlineStr">
        <is>
          <t>Potential Lack of Input Validation for P6 LLM Integration Service</t>
        </is>
      </c>
      <c r="F472" s="16" t="inlineStr">
        <is>
          <t>scenario 2</t>
        </is>
      </c>
      <c r="G472" s="16" t="inlineStr">
        <is>
          <t>Generated LLM Response</t>
        </is>
      </c>
      <c r="H472" s="16" t="inlineStr">
        <is>
          <t>TMT/S2</t>
        </is>
      </c>
    </row>
    <row r="473" ht="16" customHeight="1">
      <c r="A473" s="16" t="inlineStr">
        <is>
          <t>TMT-S2-F082</t>
        </is>
      </c>
      <c r="B473" s="16" t="inlineStr">
        <is>
          <t>TMT</t>
        </is>
      </c>
      <c r="C473" s="16" t="inlineStr">
        <is>
          <t>S2</t>
        </is>
      </c>
      <c r="D473" s="16" t="inlineStr">
        <is>
          <t>repudiation</t>
        </is>
      </c>
      <c r="E473" s="17" t="inlineStr">
        <is>
          <t>Potential Data Repudiation by P6 LLM Integration Service</t>
        </is>
      </c>
      <c r="F473" s="16" t="inlineStr">
        <is>
          <t>scenario 2</t>
        </is>
      </c>
      <c r="G473" s="16" t="inlineStr">
        <is>
          <t>Generated LLM Response</t>
        </is>
      </c>
      <c r="H473" s="16" t="inlineStr">
        <is>
          <t>TMT/S2</t>
        </is>
      </c>
    </row>
    <row r="474" ht="16" customHeight="1">
      <c r="A474" s="16" t="inlineStr">
        <is>
          <t>TMT-S2-F083</t>
        </is>
      </c>
      <c r="B474" s="16" t="inlineStr">
        <is>
          <t>TMT</t>
        </is>
      </c>
      <c r="C474" s="16" t="inlineStr">
        <is>
          <t>S2</t>
        </is>
      </c>
      <c r="D474" s="16" t="inlineStr"/>
      <c r="E474" s="17" t="inlineStr">
        <is>
          <t>Data Flow Sniffing</t>
        </is>
      </c>
      <c r="F474" s="16" t="inlineStr">
        <is>
          <t>scenario 2</t>
        </is>
      </c>
      <c r="G474" s="16" t="inlineStr">
        <is>
          <t>Generated LLM Response</t>
        </is>
      </c>
      <c r="H474" s="16" t="inlineStr">
        <is>
          <t>TMT/S2</t>
        </is>
      </c>
    </row>
    <row r="475" ht="16" customHeight="1">
      <c r="A475" s="16" t="inlineStr">
        <is>
          <t>TMT-S2-F084</t>
        </is>
      </c>
      <c r="B475" s="16" t="inlineStr">
        <is>
          <t>TMT</t>
        </is>
      </c>
      <c r="C475" s="16" t="inlineStr">
        <is>
          <t>S2</t>
        </is>
      </c>
      <c r="D475" s="16" t="inlineStr"/>
      <c r="E475" s="17" t="inlineStr">
        <is>
          <t>Potential Process Crash or Stop for P6 LLM Integration Service</t>
        </is>
      </c>
      <c r="F475" s="16" t="inlineStr">
        <is>
          <t>scenario 2</t>
        </is>
      </c>
      <c r="G475" s="16" t="inlineStr">
        <is>
          <t>Generated LLM Response</t>
        </is>
      </c>
      <c r="H475" s="16" t="inlineStr">
        <is>
          <t>TMT/S2</t>
        </is>
      </c>
    </row>
    <row r="476" ht="16" customHeight="1">
      <c r="A476" s="16" t="inlineStr">
        <is>
          <t>TMT-S2-F085</t>
        </is>
      </c>
      <c r="B476" s="16" t="inlineStr">
        <is>
          <t>TMT</t>
        </is>
      </c>
      <c r="C476" s="16" t="inlineStr">
        <is>
          <t>S2</t>
        </is>
      </c>
      <c r="D476" s="16" t="inlineStr">
        <is>
          <t>llm_unavailable</t>
        </is>
      </c>
      <c r="E476" s="17" t="inlineStr">
        <is>
          <t>Data Flow Generated LLM Response Is Potentially Interrupted</t>
        </is>
      </c>
      <c r="F476" s="16" t="inlineStr">
        <is>
          <t>scenario 2</t>
        </is>
      </c>
      <c r="G476" s="16" t="inlineStr">
        <is>
          <t>Generated LLM Response</t>
        </is>
      </c>
      <c r="H476" s="16" t="inlineStr">
        <is>
          <t>TMT/S2</t>
        </is>
      </c>
    </row>
    <row r="477" ht="16" customHeight="1">
      <c r="A477" s="16" t="inlineStr">
        <is>
          <t>TMT-S2-F086</t>
        </is>
      </c>
      <c r="B477" s="16" t="inlineStr">
        <is>
          <t>TMT</t>
        </is>
      </c>
      <c r="C477" s="16" t="inlineStr">
        <is>
          <t>S2</t>
        </is>
      </c>
      <c r="D477" s="16" t="inlineStr"/>
      <c r="E477" s="17" t="inlineStr">
        <is>
          <t>Elevation Using Impersonation</t>
        </is>
      </c>
      <c r="F477" s="16" t="inlineStr">
        <is>
          <t>scenario 2</t>
        </is>
      </c>
      <c r="G477" s="16" t="inlineStr">
        <is>
          <t>Generated LLM Response</t>
        </is>
      </c>
      <c r="H477" s="16" t="inlineStr">
        <is>
          <t>TMT/S2</t>
        </is>
      </c>
    </row>
    <row r="478" ht="16" customHeight="1">
      <c r="A478" s="16" t="inlineStr">
        <is>
          <t>TMT-S2-F087</t>
        </is>
      </c>
      <c r="B478" s="16" t="inlineStr">
        <is>
          <t>TMT</t>
        </is>
      </c>
      <c r="C478" s="16" t="inlineStr">
        <is>
          <t>S2</t>
        </is>
      </c>
      <c r="D478" s="16" t="inlineStr"/>
      <c r="E478" s="17" t="inlineStr">
        <is>
          <t>P6 LLM Integration Service May be Subject to Elevation of Privilege Using Remote Code Execution</t>
        </is>
      </c>
      <c r="F478" s="16" t="inlineStr">
        <is>
          <t>scenario 2</t>
        </is>
      </c>
      <c r="G478" s="16" t="inlineStr">
        <is>
          <t>Generated LLM Response</t>
        </is>
      </c>
      <c r="H478" s="16" t="inlineStr">
        <is>
          <t>TMT/S2</t>
        </is>
      </c>
    </row>
    <row r="479" ht="16" customHeight="1">
      <c r="A479" s="16" t="inlineStr">
        <is>
          <t>TMT-S2-F088</t>
        </is>
      </c>
      <c r="B479" s="16" t="inlineStr">
        <is>
          <t>TMT</t>
        </is>
      </c>
      <c r="C479" s="16" t="inlineStr">
        <is>
          <t>S2</t>
        </is>
      </c>
      <c r="D479" s="16" t="inlineStr"/>
      <c r="E479" s="17" t="inlineStr">
        <is>
          <t>Elevation by Changing the Execution Flow in P6 LLM Integration Service</t>
        </is>
      </c>
      <c r="F479" s="16" t="inlineStr">
        <is>
          <t>scenario 2</t>
        </is>
      </c>
      <c r="G479" s="16" t="inlineStr">
        <is>
          <t>Generated LLM Response</t>
        </is>
      </c>
      <c r="H479" s="16" t="inlineStr">
        <is>
          <t>TMT/S2</t>
        </is>
      </c>
    </row>
    <row r="480" ht="16" customHeight="1">
      <c r="A480" s="16" t="inlineStr">
        <is>
          <t>TMT-S2-F089</t>
        </is>
      </c>
      <c r="B480" s="16" t="inlineStr">
        <is>
          <t>TMT</t>
        </is>
      </c>
      <c r="C480" s="16" t="inlineStr">
        <is>
          <t>S2</t>
        </is>
      </c>
      <c r="D480" s="16" t="inlineStr"/>
      <c r="E480" s="17" t="inlineStr">
        <is>
          <t>Cross Site Request Forgery</t>
        </is>
      </c>
      <c r="F480" s="16" t="inlineStr">
        <is>
          <t>scenario 2</t>
        </is>
      </c>
      <c r="G480" s="16" t="inlineStr">
        <is>
          <t>Generated LLM Response</t>
        </is>
      </c>
      <c r="H480" s="16" t="inlineStr">
        <is>
          <t>TMT/S2</t>
        </is>
      </c>
    </row>
    <row r="481" ht="16" customHeight="1">
      <c r="A481" s="16" t="inlineStr">
        <is>
          <t>CHATGPT-S2-F001</t>
        </is>
      </c>
      <c r="B481" s="16" t="inlineStr">
        <is>
          <t>CHATGPT</t>
        </is>
      </c>
      <c r="C481" s="16" t="inlineStr">
        <is>
          <t>S2</t>
        </is>
      </c>
      <c r="D481" s="16" t="inlineStr">
        <is>
          <t>mass_disclosure</t>
        </is>
      </c>
      <c r="E481" s="17" t="inlineStr">
        <is>
          <t>Unauthorized File Retrieval</t>
        </is>
      </c>
      <c r="F481" s="16" t="inlineStr">
        <is>
          <t>EE1 → P1 → P2 → DS1</t>
        </is>
      </c>
      <c r="G481" s="16" t="inlineStr"/>
      <c r="H481" s="16" t="inlineStr">
        <is>
          <t>CHATGPT/S2</t>
        </is>
      </c>
    </row>
    <row r="482" ht="16" customHeight="1">
      <c r="A482" s="16" t="inlineStr">
        <is>
          <t>CHATGPT-S2-F002</t>
        </is>
      </c>
      <c r="B482" s="16" t="inlineStr">
        <is>
          <t>CHATGPT</t>
        </is>
      </c>
      <c r="C482" s="16" t="inlineStr">
        <is>
          <t>S2</t>
        </is>
      </c>
      <c r="D482" s="16" t="inlineStr"/>
      <c r="E482" s="17" t="inlineStr">
        <is>
          <t>IDOR / Broken File-Level Authorization</t>
        </is>
      </c>
      <c r="F482" s="16" t="inlineStr">
        <is>
          <t>EE1 → P1 → P2 → DS2/DS1</t>
        </is>
      </c>
      <c r="G482" s="16" t="inlineStr"/>
      <c r="H482" s="16" t="inlineStr">
        <is>
          <t>CHATGPT/S2</t>
        </is>
      </c>
    </row>
    <row r="483" ht="16" customHeight="1">
      <c r="A483" s="16" t="inlineStr">
        <is>
          <t>CHATGPT-S2-F003</t>
        </is>
      </c>
      <c r="B483" s="16" t="inlineStr">
        <is>
          <t>CHATGPT</t>
        </is>
      </c>
      <c r="C483" s="16" t="inlineStr">
        <is>
          <t>S2</t>
        </is>
      </c>
      <c r="D483" s="16" t="inlineStr"/>
      <c r="E483" s="17" t="inlineStr">
        <is>
          <t>Manipulation of Authoritative Permissions</t>
        </is>
      </c>
      <c r="F483" s="16" t="inlineStr">
        <is>
          <t>P2 ↔ DS2</t>
        </is>
      </c>
      <c r="G483" s="16" t="inlineStr"/>
      <c r="H483" s="16" t="inlineStr">
        <is>
          <t>CHATGPT/S2</t>
        </is>
      </c>
    </row>
    <row r="484" ht="16" customHeight="1">
      <c r="A484" s="16" t="inlineStr">
        <is>
          <t>CHATGPT-S2-F004</t>
        </is>
      </c>
      <c r="B484" s="16" t="inlineStr">
        <is>
          <t>CHATGPT</t>
        </is>
      </c>
      <c r="C484" s="16" t="inlineStr">
        <is>
          <t>S2</t>
        </is>
      </c>
      <c r="D484" s="16" t="inlineStr"/>
      <c r="E484" s="17" t="inlineStr">
        <is>
          <t>AI-Based Authorization Bypass</t>
        </is>
      </c>
      <c r="F484" s="16" t="inlineStr">
        <is>
          <t>EE1 → P1 → P3 → P4 → External LLM Provider</t>
        </is>
      </c>
      <c r="G484" s="16" t="inlineStr"/>
      <c r="H484" s="16" t="inlineStr">
        <is>
          <t>CHATGPT/S2</t>
        </is>
      </c>
    </row>
    <row r="485" ht="16" customHeight="1">
      <c r="A485" s="16" t="inlineStr">
        <is>
          <t>CHATGPT-S2-F005</t>
        </is>
      </c>
      <c r="B485" s="16" t="inlineStr">
        <is>
          <t>CHATGPT</t>
        </is>
      </c>
      <c r="C485" s="16" t="inlineStr">
        <is>
          <t>S2</t>
        </is>
      </c>
      <c r="D485" s="16" t="inlineStr">
        <is>
          <t>prompt_injection_indirect</t>
        </is>
      </c>
      <c r="E485" s="17" t="inlineStr">
        <is>
          <t>Indirect Prompt Injection</t>
        </is>
      </c>
      <c r="F485" s="16" t="inlineStr">
        <is>
          <t>Uploaded file → DS1 → P2 → P3 → P4 → External LLM Provider</t>
        </is>
      </c>
      <c r="G485" s="16" t="inlineStr"/>
      <c r="H485" s="16" t="inlineStr">
        <is>
          <t>CHATGPT/S2</t>
        </is>
      </c>
    </row>
    <row r="486" ht="16" customHeight="1">
      <c r="A486" s="16" t="inlineStr">
        <is>
          <t>CHATGPT-S2-F006</t>
        </is>
      </c>
      <c r="B486" s="16" t="inlineStr">
        <is>
          <t>CHATGPT</t>
        </is>
      </c>
      <c r="C486" s="16" t="inlineStr">
        <is>
          <t>S2</t>
        </is>
      </c>
      <c r="D486" s="16" t="inlineStr">
        <is>
          <t>malicious_upload</t>
        </is>
      </c>
      <c r="E486" s="17" t="inlineStr">
        <is>
          <t>Malicious Uploaded File</t>
        </is>
      </c>
      <c r="F486" s="16" t="inlineStr">
        <is>
          <t>EE1 → P1 → P2 → DS1</t>
        </is>
      </c>
      <c r="G486" s="16" t="inlineStr"/>
      <c r="H486" s="16" t="inlineStr">
        <is>
          <t>CHATGPT/S2</t>
        </is>
      </c>
    </row>
    <row r="487" ht="16" customHeight="1">
      <c r="A487" s="16" t="inlineStr">
        <is>
          <t>CHATGPT-S2-F007</t>
        </is>
      </c>
      <c r="B487" s="16" t="inlineStr">
        <is>
          <t>CHATGPT</t>
        </is>
      </c>
      <c r="C487" s="16" t="inlineStr">
        <is>
          <t>S2</t>
        </is>
      </c>
      <c r="D487" s="16" t="inlineStr">
        <is>
          <t>kb_disclosure</t>
        </is>
      </c>
      <c r="E487" s="17" t="inlineStr">
        <is>
          <t>Unauthorized Context Disclosure</t>
        </is>
      </c>
      <c r="F487" s="16" t="inlineStr">
        <is>
          <t>P2 → P3 → P4 → EE2</t>
        </is>
      </c>
      <c r="G487" s="16" t="inlineStr"/>
      <c r="H487" s="16" t="inlineStr">
        <is>
          <t>CHATGPT/S2</t>
        </is>
      </c>
    </row>
    <row r="488" ht="16" customHeight="1">
      <c r="A488" s="16" t="inlineStr">
        <is>
          <t>CHATGPT-S2-F008</t>
        </is>
      </c>
      <c r="B488" s="16" t="inlineStr">
        <is>
          <t>CHATGPT</t>
        </is>
      </c>
      <c r="C488" s="16" t="inlineStr">
        <is>
          <t>S2</t>
        </is>
      </c>
      <c r="D488" s="16" t="inlineStr">
        <is>
          <t>sensitive_to_llm</t>
        </is>
      </c>
      <c r="E488" s="17" t="inlineStr">
        <is>
          <t>Context Mixing Between Users or Documents</t>
        </is>
      </c>
      <c r="F488" s="16" t="inlineStr">
        <is>
          <t>DS1 → P3 → P4 → External LLM Provider</t>
        </is>
      </c>
      <c r="G488" s="16" t="inlineStr"/>
      <c r="H488" s="16" t="inlineStr">
        <is>
          <t>CHATGPT/S2</t>
        </is>
      </c>
    </row>
    <row r="489" ht="16" customHeight="1">
      <c r="A489" s="16" t="inlineStr">
        <is>
          <t>CHATGPT-S2-F009</t>
        </is>
      </c>
      <c r="B489" s="16" t="inlineStr">
        <is>
          <t>CHATGPT</t>
        </is>
      </c>
      <c r="C489" s="16" t="inlineStr">
        <is>
          <t>S2</t>
        </is>
      </c>
      <c r="D489" s="16" t="inlineStr">
        <is>
          <t>sensitive_to_llm</t>
        </is>
      </c>
      <c r="E489" s="17" t="inlineStr">
        <is>
          <t>Metadata Disclosure to External LLM</t>
        </is>
      </c>
      <c r="F489" s="16" t="inlineStr">
        <is>
          <t>DS1 → P3/P4 → EE2</t>
        </is>
      </c>
      <c r="G489" s="16" t="inlineStr"/>
      <c r="H489" s="16" t="inlineStr">
        <is>
          <t>CHATGPT/S2</t>
        </is>
      </c>
    </row>
    <row r="490" ht="16" customHeight="1">
      <c r="A490" s="16" t="inlineStr">
        <is>
          <t>CHATGPT-S2-F010</t>
        </is>
      </c>
      <c r="B490" s="16" t="inlineStr">
        <is>
          <t>CHATGPT</t>
        </is>
      </c>
      <c r="C490" s="16" t="inlineStr">
        <is>
          <t>S2</t>
        </is>
      </c>
      <c r="D490" s="16" t="inlineStr">
        <is>
          <t>mass_disclosure</t>
        </is>
      </c>
      <c r="E490" s="17" t="inlineStr">
        <is>
          <t>Authorization Data Disclosure</t>
        </is>
      </c>
      <c r="F490" s="16" t="inlineStr">
        <is>
          <t>DS2 → P2</t>
        </is>
      </c>
      <c r="G490" s="16" t="inlineStr"/>
      <c r="H490" s="16" t="inlineStr">
        <is>
          <t>CHATGPT/S2</t>
        </is>
      </c>
    </row>
    <row r="491" ht="16" customHeight="1">
      <c r="A491" s="16" t="inlineStr">
        <is>
          <t>CHATGPT-S2-F011</t>
        </is>
      </c>
      <c r="B491" s="16" t="inlineStr">
        <is>
          <t>CHATGPT</t>
        </is>
      </c>
      <c r="C491" s="16" t="inlineStr">
        <is>
          <t>S2</t>
        </is>
      </c>
      <c r="D491" s="16" t="inlineStr"/>
      <c r="E491" s="17" t="inlineStr">
        <is>
          <t>Direct Prompt Injection</t>
        </is>
      </c>
      <c r="F491" s="16" t="inlineStr">
        <is>
          <t>EE1 → P1 → P3 → P4 → EE2</t>
        </is>
      </c>
      <c r="G491" s="16" t="inlineStr"/>
      <c r="H491" s="16" t="inlineStr">
        <is>
          <t>CHATGPT/S2</t>
        </is>
      </c>
    </row>
    <row r="492" ht="16" customHeight="1">
      <c r="A492" s="16" t="inlineStr">
        <is>
          <t>CHATGPT-S2-F012</t>
        </is>
      </c>
      <c r="B492" s="16" t="inlineStr">
        <is>
          <t>CHATGPT</t>
        </is>
      </c>
      <c r="C492" s="16" t="inlineStr">
        <is>
          <t>S2</t>
        </is>
      </c>
      <c r="D492" s="16" t="inlineStr"/>
      <c r="E492" s="17" t="inlineStr">
        <is>
          <t>Unreliable AI-Generated Information</t>
        </is>
      </c>
      <c r="F492" s="16" t="inlineStr">
        <is>
          <t>P4 → P3 → P1 → EE1</t>
        </is>
      </c>
      <c r="G492" s="16" t="inlineStr"/>
      <c r="H492" s="16" t="inlineStr">
        <is>
          <t>CHATGPT/S2</t>
        </is>
      </c>
    </row>
    <row r="493" ht="16" customHeight="1">
      <c r="A493" s="16" t="inlineStr">
        <is>
          <t>CHATGPT-S2-F013</t>
        </is>
      </c>
      <c r="B493" s="16" t="inlineStr">
        <is>
          <t>CHATGPT</t>
        </is>
      </c>
      <c r="C493" s="16" t="inlineStr">
        <is>
          <t>S2</t>
        </is>
      </c>
      <c r="D493" s="16" t="inlineStr"/>
      <c r="E493" s="17" t="inlineStr">
        <is>
          <t>Unsafe AI Output</t>
        </is>
      </c>
      <c r="F493" s="16" t="inlineStr">
        <is>
          <t>EE2 → P4 → P3 → P1</t>
        </is>
      </c>
      <c r="G493" s="16" t="inlineStr"/>
      <c r="H493" s="16" t="inlineStr">
        <is>
          <t>CHATGPT/S2</t>
        </is>
      </c>
    </row>
    <row r="494" ht="16" customHeight="1">
      <c r="A494" s="16" t="inlineStr">
        <is>
          <t>CHATGPT-S2-F014</t>
        </is>
      </c>
      <c r="B494" s="16" t="inlineStr">
        <is>
          <t>CHATGPT</t>
        </is>
      </c>
      <c r="C494" s="16" t="inlineStr">
        <is>
          <t>S2</t>
        </is>
      </c>
      <c r="D494" s="16" t="inlineStr">
        <is>
          <t>prompt_injection_direct</t>
        </is>
      </c>
      <c r="E494" s="17" t="inlineStr">
        <is>
          <t>Excessive AI Privilege</t>
        </is>
      </c>
      <c r="F494" s="16" t="inlineStr">
        <is>
          <t>P3/P4 ↔ P2/DS1</t>
        </is>
      </c>
      <c r="G494" s="16" t="inlineStr"/>
      <c r="H494" s="16" t="inlineStr">
        <is>
          <t>CHATGPT/S2</t>
        </is>
      </c>
    </row>
    <row r="495" ht="16" customHeight="1">
      <c r="A495" s="16" t="inlineStr">
        <is>
          <t>CHATGPT-S2-F015</t>
        </is>
      </c>
      <c r="B495" s="16" t="inlineStr">
        <is>
          <t>CHATGPT</t>
        </is>
      </c>
      <c r="C495" s="16" t="inlineStr">
        <is>
          <t>S2</t>
        </is>
      </c>
      <c r="D495" s="16" t="inlineStr">
        <is>
          <t>sensitive_to_llm</t>
        </is>
      </c>
      <c r="E495" s="17" t="inlineStr">
        <is>
          <t>External Provider Confidentiality Risk</t>
        </is>
      </c>
      <c r="F495" s="16" t="inlineStr">
        <is>
          <t>P4 → EE2</t>
        </is>
      </c>
      <c r="G495" s="16" t="inlineStr"/>
      <c r="H495" s="16" t="inlineStr">
        <is>
          <t>CHATGPT/S2</t>
        </is>
      </c>
    </row>
    <row r="496" ht="16" customHeight="1">
      <c r="A496" s="16" t="inlineStr">
        <is>
          <t>CHATGPT-S2-F016</t>
        </is>
      </c>
      <c r="B496" s="16" t="inlineStr">
        <is>
          <t>CHATGPT</t>
        </is>
      </c>
      <c r="C496" s="16" t="inlineStr">
        <is>
          <t>S2</t>
        </is>
      </c>
      <c r="D496" s="16" t="inlineStr">
        <is>
          <t>hallucination</t>
        </is>
      </c>
      <c r="E496" s="17" t="inlineStr">
        <is>
          <t>Document-Based Semantic Manipulation</t>
        </is>
      </c>
      <c r="F496" s="16" t="inlineStr">
        <is>
          <t>EE1 → DS1 → P3 → P4</t>
        </is>
      </c>
      <c r="G496" s="16" t="inlineStr"/>
      <c r="H496" s="16" t="inlineStr">
        <is>
          <t>CHATGPT/S2</t>
        </is>
      </c>
    </row>
    <row r="497" ht="16" customHeight="1">
      <c r="A497" s="16" t="inlineStr">
        <is>
          <t>CHATGPT-S2-F017</t>
        </is>
      </c>
      <c r="B497" s="16" t="inlineStr">
        <is>
          <t>CHATGPT</t>
        </is>
      </c>
      <c r="C497" s="16" t="inlineStr">
        <is>
          <t>S2</t>
        </is>
      </c>
      <c r="D497" s="16" t="inlineStr">
        <is>
          <t>idor</t>
        </is>
      </c>
      <c r="E497" s="17" t="inlineStr">
        <is>
          <t>Unauthorized File Modification</t>
        </is>
      </c>
      <c r="F497" s="16" t="inlineStr">
        <is>
          <t>EE1 → P1 → P2 → DS1</t>
        </is>
      </c>
      <c r="G497" s="16" t="inlineStr"/>
      <c r="H497" s="16" t="inlineStr">
        <is>
          <t>CHATGPT/S2</t>
        </is>
      </c>
    </row>
    <row r="498" ht="16" customHeight="1">
      <c r="A498" s="16" t="inlineStr">
        <is>
          <t>CHATGPT-S2-F018</t>
        </is>
      </c>
      <c r="B498" s="16" t="inlineStr">
        <is>
          <t>CHATGPT</t>
        </is>
      </c>
      <c r="C498" s="16" t="inlineStr">
        <is>
          <t>S2</t>
        </is>
      </c>
      <c r="D498" s="16" t="inlineStr">
        <is>
          <t>malicious_upload</t>
        </is>
      </c>
      <c r="E498" s="17" t="inlineStr">
        <is>
          <t>Malicious Filename / Path Manipulation</t>
        </is>
      </c>
      <c r="F498" s="16" t="inlineStr">
        <is>
          <t>EE1 → P1 → P2 → DS1</t>
        </is>
      </c>
      <c r="G498" s="16" t="inlineStr"/>
      <c r="H498" s="16" t="inlineStr">
        <is>
          <t>CHATGPT/S2</t>
        </is>
      </c>
    </row>
    <row r="499" ht="16" customHeight="1">
      <c r="A499" s="16" t="inlineStr">
        <is>
          <t>CHATGPT-S2-F019</t>
        </is>
      </c>
      <c r="B499" s="16" t="inlineStr">
        <is>
          <t>CHATGPT</t>
        </is>
      </c>
      <c r="C499" s="16" t="inlineStr">
        <is>
          <t>S2</t>
        </is>
      </c>
      <c r="D499" s="16" t="inlineStr">
        <is>
          <t>dos_service</t>
        </is>
      </c>
      <c r="E499" s="17" t="inlineStr">
        <is>
          <t>Resource Exhaustion</t>
        </is>
      </c>
      <c r="F499" s="16" t="inlineStr">
        <is>
          <t>EE1 → P1 → P2/P3/P4 → DS1/EE2</t>
        </is>
      </c>
      <c r="G499" s="16" t="inlineStr"/>
      <c r="H499" s="16" t="inlineStr">
        <is>
          <t>CHATGPT/S2</t>
        </is>
      </c>
    </row>
    <row r="500" ht="16" customHeight="1">
      <c r="A500" s="16" t="inlineStr">
        <is>
          <t>CHATGPT-S2-F020</t>
        </is>
      </c>
      <c r="B500" s="16" t="inlineStr">
        <is>
          <t>CHATGPT</t>
        </is>
      </c>
      <c r="C500" s="16" t="inlineStr">
        <is>
          <t>S2</t>
        </is>
      </c>
      <c r="D500" s="16" t="inlineStr">
        <is>
          <t>dos_service</t>
        </is>
      </c>
      <c r="E500" s="17" t="inlineStr">
        <is>
          <t>Excessive LLM Consumption</t>
        </is>
      </c>
      <c r="F500" s="16" t="inlineStr">
        <is>
          <t>EE1 → P3 → P4 → EE2</t>
        </is>
      </c>
      <c r="G500" s="16" t="inlineStr"/>
      <c r="H500" s="16" t="inlineStr">
        <is>
          <t>CHATGPT/S2</t>
        </is>
      </c>
    </row>
    <row r="501" ht="16" customHeight="1">
      <c r="A501" s="16" t="inlineStr">
        <is>
          <t>CHATGPT-S2-F021</t>
        </is>
      </c>
      <c r="B501" s="16" t="inlineStr">
        <is>
          <t>CHATGPT</t>
        </is>
      </c>
      <c r="C501" s="16" t="inlineStr">
        <is>
          <t>S2</t>
        </is>
      </c>
      <c r="D501" s="16" t="inlineStr">
        <is>
          <t>kb_disclosure</t>
        </is>
      </c>
      <c r="E501" s="17" t="inlineStr">
        <is>
          <t>Inference-Based Data Leakage</t>
        </is>
      </c>
      <c r="F501" s="16" t="inlineStr">
        <is>
          <t>P4 → P3 → P1 → EE1</t>
        </is>
      </c>
      <c r="G501" s="16" t="inlineStr"/>
      <c r="H501" s="16" t="inlineStr">
        <is>
          <t>CHATGPT/S2</t>
        </is>
      </c>
    </row>
    <row r="502" ht="16" customHeight="1">
      <c r="A502" s="16" t="inlineStr">
        <is>
          <t>CHATGPT-S2-F022</t>
        </is>
      </c>
      <c r="B502" s="16" t="inlineStr">
        <is>
          <t>CHATGPT</t>
        </is>
      </c>
      <c r="C502" s="16" t="inlineStr">
        <is>
          <t>S2</t>
        </is>
      </c>
      <c r="D502" s="16" t="inlineStr">
        <is>
          <t>system_prompt_extract</t>
        </is>
      </c>
      <c r="E502" s="17" t="inlineStr">
        <is>
          <t>Prompt Leakage</t>
        </is>
      </c>
      <c r="F502" s="16" t="inlineStr">
        <is>
          <t>EE1 → P3 → P4 → EE2 → P1</t>
        </is>
      </c>
      <c r="G502" s="16" t="inlineStr"/>
      <c r="H502" s="16" t="inlineStr">
        <is>
          <t>CHATGPT/S2</t>
        </is>
      </c>
    </row>
    <row r="503" ht="16" customHeight="1">
      <c r="A503" s="16" t="inlineStr">
        <is>
          <t>CHATGPT-S2-F023</t>
        </is>
      </c>
      <c r="B503" s="16" t="inlineStr">
        <is>
          <t>CHATGPT</t>
        </is>
      </c>
      <c r="C503" s="16" t="inlineStr">
        <is>
          <t>S2</t>
        </is>
      </c>
      <c r="D503" s="16" t="inlineStr">
        <is>
          <t>llm_unavailable</t>
        </is>
      </c>
      <c r="E503" s="17" t="inlineStr">
        <is>
          <t>External LLM Dependency Risk</t>
        </is>
      </c>
      <c r="F503" s="16" t="inlineStr">
        <is>
          <t>P4 ↔ EE2</t>
        </is>
      </c>
      <c r="G503" s="16" t="inlineStr"/>
      <c r="H503" s="16" t="inlineStr">
        <is>
          <t>CHATGPT/S2</t>
        </is>
      </c>
    </row>
    <row r="504" ht="16" customHeight="1">
      <c r="A504" s="16" t="inlineStr">
        <is>
          <t>CHATGPT-S2-F024</t>
        </is>
      </c>
      <c r="B504" s="16" t="inlineStr">
        <is>
          <t>CHATGPT</t>
        </is>
      </c>
      <c r="C504" s="16" t="inlineStr">
        <is>
          <t>S2</t>
        </is>
      </c>
      <c r="D504" s="16" t="inlineStr">
        <is>
          <t>access_bypass_logic</t>
        </is>
      </c>
      <c r="E504" s="17" t="inlineStr">
        <is>
          <t>Authorization Responsibility Drift</t>
        </is>
      </c>
      <c r="F504" s="16" t="inlineStr">
        <is>
          <t>P2 ↔ P3 ↔ P4</t>
        </is>
      </c>
      <c r="G504" s="16" t="inlineStr"/>
      <c r="H504" s="16" t="inlineStr">
        <is>
          <t>CHATGPT/S2</t>
        </is>
      </c>
    </row>
    <row r="505" ht="16" customHeight="1">
      <c r="A505" s="16" t="inlineStr">
        <is>
          <t>CHATGPT-S2-F025</t>
        </is>
      </c>
      <c r="B505" s="16" t="inlineStr">
        <is>
          <t>CHATGPT</t>
        </is>
      </c>
      <c r="C505" s="16" t="inlineStr">
        <is>
          <t>S2</t>
        </is>
      </c>
      <c r="D505" s="16" t="inlineStr">
        <is>
          <t>malicious_upload</t>
        </is>
      </c>
      <c r="E505" s="17" t="inlineStr">
        <is>
          <t>Context Integrity Manipulation</t>
        </is>
      </c>
      <c r="F505" s="16" t="inlineStr">
        <is>
          <t>DS1 → P3 → P4 → EE2</t>
        </is>
      </c>
      <c r="G505" s="16" t="inlineStr"/>
      <c r="H505" s="16" t="inlineStr">
        <is>
          <t>CHATGPT/S2</t>
        </is>
      </c>
    </row>
    <row r="506" ht="16" customHeight="1">
      <c r="A506" s="16" t="inlineStr">
        <is>
          <t>CHATGPT-S2-F026</t>
        </is>
      </c>
      <c r="B506" s="16" t="inlineStr">
        <is>
          <t>CHATGPT</t>
        </is>
      </c>
      <c r="C506" s="16" t="inlineStr">
        <is>
          <t>S2</t>
        </is>
      </c>
      <c r="D506" s="16" t="inlineStr">
        <is>
          <t>enumeration</t>
        </is>
      </c>
      <c r="E506" s="17" t="inlineStr">
        <is>
          <t>Authorization and File Error Leakage</t>
        </is>
      </c>
      <c r="F506" s="16" t="inlineStr">
        <is>
          <t>P2 → P1 → EE1</t>
        </is>
      </c>
      <c r="G506" s="16" t="inlineStr"/>
      <c r="H506" s="16" t="inlineStr">
        <is>
          <t>CHATGPT/S2</t>
        </is>
      </c>
    </row>
    <row r="507" ht="16" customHeight="1">
      <c r="A507" s="16" t="inlineStr">
        <is>
          <t>CHATGPT-S2-F027</t>
        </is>
      </c>
      <c r="B507" s="16" t="inlineStr">
        <is>
          <t>CHATGPT</t>
        </is>
      </c>
      <c r="C507" s="16" t="inlineStr">
        <is>
          <t>S2</t>
        </is>
      </c>
      <c r="D507" s="16" t="inlineStr">
        <is>
          <t>access_bypass_logic</t>
        </is>
      </c>
      <c r="E507" s="17" t="inlineStr">
        <is>
          <t>Identity Spoofing</t>
        </is>
      </c>
      <c r="F507" s="16" t="inlineStr">
        <is>
          <t>EE1 → P1 → P2 → DS2</t>
        </is>
      </c>
      <c r="G507" s="16" t="inlineStr"/>
      <c r="H507" s="16" t="inlineStr">
        <is>
          <t>CHATGPT/S2</t>
        </is>
      </c>
    </row>
    <row r="508" ht="16" customHeight="1">
      <c r="A508" s="16" t="inlineStr">
        <is>
          <t>CHATGPT-S2-F028</t>
        </is>
      </c>
      <c r="B508" s="16" t="inlineStr">
        <is>
          <t>CHATGPT</t>
        </is>
      </c>
      <c r="C508" s="16" t="inlineStr">
        <is>
          <t>S2</t>
        </is>
      </c>
      <c r="D508" s="16" t="inlineStr">
        <is>
          <t>repudiation</t>
        </is>
      </c>
      <c r="E508" s="17" t="inlineStr">
        <is>
          <t>Lack of Reliable Operation Attribution</t>
        </is>
      </c>
      <c r="F508" s="16" t="inlineStr">
        <is>
          <t>EE1 → P1 → P2 → DS1</t>
        </is>
      </c>
      <c r="G508" s="16" t="inlineStr"/>
      <c r="H508" s="16" t="inlineStr">
        <is>
          <t>CHATGPT/S2</t>
        </is>
      </c>
    </row>
    <row r="509" ht="16" customHeight="1">
      <c r="A509" s="16" t="inlineStr">
        <is>
          <t>CHATGPT-S2-F029</t>
        </is>
      </c>
      <c r="B509" s="16" t="inlineStr">
        <is>
          <t>CHATGPT</t>
        </is>
      </c>
      <c r="C509" s="16" t="inlineStr">
        <is>
          <t>S2</t>
        </is>
      </c>
      <c r="D509" s="16" t="inlineStr">
        <is>
          <t>dos_service</t>
        </is>
      </c>
      <c r="E509" s="17" t="inlineStr">
        <is>
          <t>Storage Exhaustion</t>
        </is>
      </c>
      <c r="F509" s="16" t="inlineStr">
        <is>
          <t>EE1 → P1 → P2 → DS1</t>
        </is>
      </c>
      <c r="G509" s="16" t="inlineStr"/>
      <c r="H509" s="16" t="inlineStr">
        <is>
          <t>CHATGPT/S2</t>
        </is>
      </c>
    </row>
    <row r="510" ht="16" customHeight="1">
      <c r="A510" s="16" t="inlineStr">
        <is>
          <t>CHATGPT-S2-F030</t>
        </is>
      </c>
      <c r="B510" s="16" t="inlineStr">
        <is>
          <t>CHATGPT</t>
        </is>
      </c>
      <c r="C510" s="16" t="inlineStr">
        <is>
          <t>S2</t>
        </is>
      </c>
      <c r="D510" s="16" t="inlineStr">
        <is>
          <t>malicious_upload</t>
        </is>
      </c>
      <c r="E510" s="17" t="inlineStr">
        <is>
          <t>File-to-LLM Attack Chain</t>
        </is>
      </c>
      <c r="F510" s="16" t="inlineStr">
        <is>
          <t>EE1 → P1 → P2 → DS1 → P3 → P4 → EE2</t>
        </is>
      </c>
      <c r="G510" s="16" t="inlineStr"/>
      <c r="H510" s="16" t="inlineStr">
        <is>
          <t>CHATGPT/S2</t>
        </is>
      </c>
    </row>
    <row r="511" ht="16" customHeight="1">
      <c r="A511" s="16" t="inlineStr">
        <is>
          <t>CHATGPT-S2-F031</t>
        </is>
      </c>
      <c r="B511" s="16" t="inlineStr">
        <is>
          <t>CHATGPT</t>
        </is>
      </c>
      <c r="C511" s="16" t="inlineStr">
        <is>
          <t>S2</t>
        </is>
      </c>
      <c r="D511" s="16" t="inlineStr">
        <is>
          <t>mass_disclosure</t>
        </is>
      </c>
      <c r="E511" s="17" t="inlineStr">
        <is>
          <t>Broken File Access Control</t>
        </is>
      </c>
      <c r="F511" s="16" t="inlineStr">
        <is>
          <t>EE1 → P1 → P2 → DS1</t>
        </is>
      </c>
      <c r="G511" s="16" t="inlineStr"/>
      <c r="H511" s="16" t="inlineStr">
        <is>
          <t>CHATGPT/S2</t>
        </is>
      </c>
    </row>
    <row r="512" ht="16" customHeight="1">
      <c r="A512" s="16" t="inlineStr">
        <is>
          <t>CHATGPT-S2-F032</t>
        </is>
      </c>
      <c r="B512" s="16" t="inlineStr">
        <is>
          <t>CHATGPT</t>
        </is>
      </c>
      <c r="C512" s="16" t="inlineStr">
        <is>
          <t>S2</t>
        </is>
      </c>
      <c r="D512" s="16" t="inlineStr">
        <is>
          <t>access_bypass_logic</t>
        </is>
      </c>
      <c r="E512" s="17" t="inlineStr">
        <is>
          <t>AI-Mediated Authorization Bypass</t>
        </is>
      </c>
      <c r="F512" s="16" t="inlineStr">
        <is>
          <t>EE1 → P1 → P3/P4 → DS1</t>
        </is>
      </c>
      <c r="G512" s="16" t="inlineStr"/>
      <c r="H512" s="16" t="inlineStr">
        <is>
          <t>CHATGPT/S2</t>
        </is>
      </c>
    </row>
    <row r="513" ht="16" customHeight="1">
      <c r="A513" s="16" t="inlineStr">
        <is>
          <t>CHATGPT-S2-F033</t>
        </is>
      </c>
      <c r="B513" s="16" t="inlineStr">
        <is>
          <t>CHATGPT</t>
        </is>
      </c>
      <c r="C513" s="16" t="inlineStr">
        <is>
          <t>S2</t>
        </is>
      </c>
      <c r="D513" s="16" t="inlineStr">
        <is>
          <t>system_prompt_extract</t>
        </is>
      </c>
      <c r="E513" s="17" t="inlineStr">
        <is>
          <t>Document-Based Prompt Injection</t>
        </is>
      </c>
      <c r="F513" s="16" t="inlineStr">
        <is>
          <t>EE1 → P1 → P2 → DS1 → P3 → P4 → EE2</t>
        </is>
      </c>
      <c r="G513" s="16" t="inlineStr"/>
      <c r="H513" s="16" t="inlineStr">
        <is>
          <t>CHATGPT/S2</t>
        </is>
      </c>
    </row>
    <row r="514" ht="16" customHeight="1">
      <c r="A514" s="16" t="inlineStr">
        <is>
          <t>CHATGPT-S2-F034</t>
        </is>
      </c>
      <c r="B514" s="16" t="inlineStr">
        <is>
          <t>CHATGPT</t>
        </is>
      </c>
      <c r="C514" s="16" t="inlineStr">
        <is>
          <t>S2</t>
        </is>
      </c>
      <c r="D514" s="16" t="inlineStr">
        <is>
          <t>prompt_injection_indirect</t>
        </is>
      </c>
      <c r="E514" s="17" t="inlineStr">
        <is>
          <t>Indirect Prompt Injection via Document Content</t>
        </is>
      </c>
      <c r="F514" s="16" t="inlineStr">
        <is>
          <t>DS1 → P3 → P4 → EE2</t>
        </is>
      </c>
      <c r="G514" s="16" t="inlineStr"/>
      <c r="H514" s="16" t="inlineStr">
        <is>
          <t>CHATGPT/S2</t>
        </is>
      </c>
    </row>
    <row r="515" ht="16" customHeight="1">
      <c r="A515" s="16" t="inlineStr">
        <is>
          <t>CHATGPT-S2-F035</t>
        </is>
      </c>
      <c r="B515" s="16" t="inlineStr">
        <is>
          <t>CHATGPT</t>
        </is>
      </c>
      <c r="C515" s="16" t="inlineStr">
        <is>
          <t>S2</t>
        </is>
      </c>
      <c r="D515" s="16" t="inlineStr">
        <is>
          <t>malicious_upload</t>
        </is>
      </c>
      <c r="E515" s="17" t="inlineStr">
        <is>
          <t>Malicious Document Payload</t>
        </is>
      </c>
      <c r="F515" s="16" t="inlineStr">
        <is>
          <t>EE1 → P1 → P2 → DS1</t>
        </is>
      </c>
      <c r="G515" s="16" t="inlineStr"/>
      <c r="H515" s="16" t="inlineStr">
        <is>
          <t>CHATGPT/S2</t>
        </is>
      </c>
    </row>
    <row r="516" ht="16" customHeight="1">
      <c r="A516" s="16" t="inlineStr">
        <is>
          <t>CHATGPT-S2-F036</t>
        </is>
      </c>
      <c r="B516" s="16" t="inlineStr">
        <is>
          <t>CHATGPT</t>
        </is>
      </c>
      <c r="C516" s="16" t="inlineStr">
        <is>
          <t>S2</t>
        </is>
      </c>
      <c r="D516" s="16" t="inlineStr">
        <is>
          <t>kb_disclosure</t>
        </is>
      </c>
      <c r="E516" s="17" t="inlineStr">
        <is>
          <t>Context Authorization Failure</t>
        </is>
      </c>
      <c r="F516" s="16" t="inlineStr">
        <is>
          <t>P2 → P3 → P4 → EE2</t>
        </is>
      </c>
      <c r="G516" s="16" t="inlineStr"/>
      <c r="H516" s="16" t="inlineStr">
        <is>
          <t>CHATGPT/S2</t>
        </is>
      </c>
    </row>
    <row r="517" ht="16" customHeight="1">
      <c r="A517" s="16" t="inlineStr">
        <is>
          <t>CHATGPT-S2-F037</t>
        </is>
      </c>
      <c r="B517" s="16" t="inlineStr">
        <is>
          <t>CHATGPT</t>
        </is>
      </c>
      <c r="C517" s="16" t="inlineStr">
        <is>
          <t>S2</t>
        </is>
      </c>
      <c r="D517" s="16" t="inlineStr">
        <is>
          <t>kb_disclosure</t>
        </is>
      </c>
      <c r="E517" s="17" t="inlineStr">
        <is>
          <t>Sensitive Context Leakage</t>
        </is>
      </c>
      <c r="F517" s="16" t="inlineStr">
        <is>
          <t>P3 → P4 → EE2 → P4/P3 → EE1</t>
        </is>
      </c>
      <c r="G517" s="16" t="inlineStr"/>
      <c r="H517" s="16" t="inlineStr">
        <is>
          <t>CHATGPT/S2</t>
        </is>
      </c>
    </row>
    <row r="518" ht="16" customHeight="1">
      <c r="A518" s="16" t="inlineStr">
        <is>
          <t>CHATGPT-S2-F038</t>
        </is>
      </c>
      <c r="B518" s="16" t="inlineStr">
        <is>
          <t>CHATGPT</t>
        </is>
      </c>
      <c r="C518" s="16" t="inlineStr">
        <is>
          <t>S2</t>
        </is>
      </c>
      <c r="D518" s="16" t="inlineStr">
        <is>
          <t>system_prompt_extract</t>
        </is>
      </c>
      <c r="E518" s="17" t="inlineStr">
        <is>
          <t>Metadata Exposure</t>
        </is>
      </c>
      <c r="F518" s="16" t="inlineStr">
        <is>
          <t>DS1 → P2/P3/P4 → EE2</t>
        </is>
      </c>
      <c r="G518" s="16" t="inlineStr"/>
      <c r="H518" s="16" t="inlineStr">
        <is>
          <t>CHATGPT/S2</t>
        </is>
      </c>
    </row>
    <row r="519" ht="16" customHeight="1">
      <c r="A519" s="16" t="inlineStr">
        <is>
          <t>CHATGPT-S2-F039</t>
        </is>
      </c>
      <c r="B519" s="16" t="inlineStr">
        <is>
          <t>CHATGPT</t>
        </is>
      </c>
      <c r="C519" s="16" t="inlineStr">
        <is>
          <t>S2</t>
        </is>
      </c>
      <c r="D519" s="16" t="inlineStr"/>
      <c r="E519" s="17" t="inlineStr">
        <is>
          <t>Authorization Data Disclosure</t>
        </is>
      </c>
      <c r="F519" s="16" t="inlineStr">
        <is>
          <t>P2 ↔ DS2</t>
        </is>
      </c>
      <c r="G519" s="16" t="inlineStr"/>
      <c r="H519" s="16" t="inlineStr">
        <is>
          <t>CHATGPT/S2</t>
        </is>
      </c>
    </row>
    <row r="520" ht="16" customHeight="1">
      <c r="A520" s="16" t="inlineStr">
        <is>
          <t>CHATGPT-S2-F040</t>
        </is>
      </c>
      <c r="B520" s="16" t="inlineStr">
        <is>
          <t>CHATGPT</t>
        </is>
      </c>
      <c r="C520" s="16" t="inlineStr">
        <is>
          <t>S2</t>
        </is>
      </c>
      <c r="D520" s="16" t="inlineStr">
        <is>
          <t>kb_disclosure</t>
        </is>
      </c>
      <c r="E520" s="17" t="inlineStr">
        <is>
          <t>Adversarial User Prompt</t>
        </is>
      </c>
      <c r="F520" s="16" t="inlineStr">
        <is>
          <t>EE1 → P1 → P3 → P4 → EE2</t>
        </is>
      </c>
      <c r="G520" s="16" t="inlineStr"/>
      <c r="H520" s="16" t="inlineStr">
        <is>
          <t>CHATGPT/S2</t>
        </is>
      </c>
    </row>
    <row r="521" ht="16" customHeight="1">
      <c r="A521" s="16" t="inlineStr">
        <is>
          <t>CHATGPT-S2-F041</t>
        </is>
      </c>
      <c r="B521" s="16" t="inlineStr">
        <is>
          <t>CHATGPT</t>
        </is>
      </c>
      <c r="C521" s="16" t="inlineStr">
        <is>
          <t>S2</t>
        </is>
      </c>
      <c r="D521" s="16" t="inlineStr">
        <is>
          <t>hallucination</t>
        </is>
      </c>
      <c r="E521" s="17" t="inlineStr">
        <is>
          <t>Untrusted LLM Output</t>
        </is>
      </c>
      <c r="F521" s="16" t="inlineStr">
        <is>
          <t>EE2 → P4 → P3 → P1 → EE1</t>
        </is>
      </c>
      <c r="G521" s="16" t="inlineStr"/>
      <c r="H521" s="16" t="inlineStr">
        <is>
          <t>CHATGPT/S2</t>
        </is>
      </c>
    </row>
    <row r="522" ht="16" customHeight="1">
      <c r="A522" s="16" t="inlineStr">
        <is>
          <t>CHATGPT-S2-F042</t>
        </is>
      </c>
      <c r="B522" s="16" t="inlineStr">
        <is>
          <t>CHATGPT</t>
        </is>
      </c>
      <c r="C522" s="16" t="inlineStr">
        <is>
          <t>S2</t>
        </is>
      </c>
      <c r="D522" s="16" t="inlineStr"/>
      <c r="E522" s="17" t="inlineStr">
        <is>
          <t>Fabricated Document Content</t>
        </is>
      </c>
      <c r="F522" s="16" t="inlineStr">
        <is>
          <t>P3/P4 → EE1</t>
        </is>
      </c>
      <c r="G522" s="16" t="inlineStr"/>
      <c r="H522" s="16" t="inlineStr">
        <is>
          <t>CHATGPT/S2</t>
        </is>
      </c>
    </row>
    <row r="523" ht="16" customHeight="1">
      <c r="A523" s="16" t="inlineStr">
        <is>
          <t>CHATGPT-S2-F043</t>
        </is>
      </c>
      <c r="B523" s="16" t="inlineStr">
        <is>
          <t>CHATGPT</t>
        </is>
      </c>
      <c r="C523" s="16" t="inlineStr">
        <is>
          <t>S2</t>
        </is>
      </c>
      <c r="D523" s="16" t="inlineStr">
        <is>
          <t>model_substitution</t>
        </is>
      </c>
      <c r="E523" s="17" t="inlineStr">
        <is>
          <t>Excessive AI Authority</t>
        </is>
      </c>
      <c r="F523" s="16" t="inlineStr">
        <is>
          <t>P3/P4 ↔ P2/DS1</t>
        </is>
      </c>
      <c r="G523" s="16" t="inlineStr"/>
      <c r="H523" s="16" t="inlineStr">
        <is>
          <t>CHATGPT/S2</t>
        </is>
      </c>
    </row>
    <row r="524" ht="16" customHeight="1">
      <c r="A524" s="16" t="inlineStr">
        <is>
          <t>CHATGPT-S2-F044</t>
        </is>
      </c>
      <c r="B524" s="16" t="inlineStr">
        <is>
          <t>CHATGPT</t>
        </is>
      </c>
      <c r="C524" s="16" t="inlineStr">
        <is>
          <t>S2</t>
        </is>
      </c>
      <c r="D524" s="16" t="inlineStr">
        <is>
          <t>idor</t>
        </is>
      </c>
      <c r="E524" s="17" t="inlineStr">
        <is>
          <t>Metadata-Based Authorization Bypass</t>
        </is>
      </c>
      <c r="F524" s="16" t="inlineStr">
        <is>
          <t>EE1 → P1 → P2 → DS2</t>
        </is>
      </c>
      <c r="G524" s="16" t="inlineStr"/>
      <c r="H524" s="16" t="inlineStr">
        <is>
          <t>CHATGPT/S2</t>
        </is>
      </c>
    </row>
    <row r="525" ht="16" customHeight="1">
      <c r="A525" s="16" t="inlineStr">
        <is>
          <t>CHATGPT-S2-F045</t>
        </is>
      </c>
      <c r="B525" s="16" t="inlineStr">
        <is>
          <t>CHATGPT</t>
        </is>
      </c>
      <c r="C525" s="16" t="inlineStr">
        <is>
          <t>S2</t>
        </is>
      </c>
      <c r="D525" s="16" t="inlineStr">
        <is>
          <t>enumeration</t>
        </is>
      </c>
      <c r="E525" s="17" t="inlineStr">
        <is>
          <t>File Reference Enumeration</t>
        </is>
      </c>
      <c r="F525" s="16" t="inlineStr">
        <is>
          <t>EE1 → P1 → P2 → DS1</t>
        </is>
      </c>
      <c r="G525" s="16" t="inlineStr"/>
      <c r="H525" s="16" t="inlineStr">
        <is>
          <t>CHATGPT/S2</t>
        </is>
      </c>
    </row>
    <row r="526" ht="16" customHeight="1">
      <c r="A526" s="16" t="inlineStr">
        <is>
          <t>CHATGPT-S2-F046</t>
        </is>
      </c>
      <c r="B526" s="16" t="inlineStr">
        <is>
          <t>CHATGPT</t>
        </is>
      </c>
      <c r="C526" s="16" t="inlineStr">
        <is>
          <t>S2</t>
        </is>
      </c>
      <c r="D526" s="16" t="inlineStr">
        <is>
          <t>metadata_tamper</t>
        </is>
      </c>
      <c r="E526" s="17" t="inlineStr">
        <is>
          <t>Unauthorized File Modification</t>
        </is>
      </c>
      <c r="F526" s="16" t="inlineStr">
        <is>
          <t>EE1 → P1 → P2 → DS1</t>
        </is>
      </c>
      <c r="G526" s="16" t="inlineStr"/>
      <c r="H526" s="16" t="inlineStr">
        <is>
          <t>CHATGPT/S2</t>
        </is>
      </c>
    </row>
    <row r="527" ht="16" customHeight="1">
      <c r="A527" s="16" t="inlineStr">
        <is>
          <t>CHATGPT-S2-F047</t>
        </is>
      </c>
      <c r="B527" s="16" t="inlineStr">
        <is>
          <t>CHATGPT</t>
        </is>
      </c>
      <c r="C527" s="16" t="inlineStr">
        <is>
          <t>S2</t>
        </is>
      </c>
      <c r="D527" s="16" t="inlineStr">
        <is>
          <t>prompt_injection_indirect</t>
        </is>
      </c>
      <c r="E527" s="17" t="inlineStr">
        <is>
          <t>Authorized-Context Poisoning</t>
        </is>
      </c>
      <c r="F527" s="16" t="inlineStr">
        <is>
          <t>EE1 → P2 → DS1 → P3/P4</t>
        </is>
      </c>
      <c r="G527" s="16" t="inlineStr"/>
      <c r="H527" s="16" t="inlineStr">
        <is>
          <t>CHATGPT/S2</t>
        </is>
      </c>
    </row>
    <row r="528" ht="16" customHeight="1">
      <c r="A528" s="16" t="inlineStr">
        <is>
          <t>CHATGPT-S2-F048</t>
        </is>
      </c>
      <c r="B528" s="16" t="inlineStr">
        <is>
          <t>CHATGPT</t>
        </is>
      </c>
      <c r="C528" s="16" t="inlineStr">
        <is>
          <t>S2</t>
        </is>
      </c>
      <c r="D528" s="16" t="inlineStr">
        <is>
          <t>prompt_injection_indirect</t>
        </is>
      </c>
      <c r="E528" s="17" t="inlineStr">
        <is>
          <t>Insecure LLM Context Construction</t>
        </is>
      </c>
      <c r="F528" s="16" t="inlineStr">
        <is>
          <t>P3 → P4 → EE2</t>
        </is>
      </c>
      <c r="G528" s="16" t="inlineStr"/>
      <c r="H528" s="16" t="inlineStr">
        <is>
          <t>CHATGPT/S2</t>
        </is>
      </c>
    </row>
    <row r="529" ht="16" customHeight="1">
      <c r="A529" s="16" t="inlineStr">
        <is>
          <t>CHATGPT-S2-F049</t>
        </is>
      </c>
      <c r="B529" s="16" t="inlineStr">
        <is>
          <t>CHATGPT</t>
        </is>
      </c>
      <c r="C529" s="16" t="inlineStr">
        <is>
          <t>S2</t>
        </is>
      </c>
      <c r="D529" s="16" t="inlineStr">
        <is>
          <t>provider_retention</t>
        </is>
      </c>
      <c r="E529" s="17" t="inlineStr">
        <is>
          <t>External Provider Confidentiality Risk</t>
        </is>
      </c>
      <c r="F529" s="16" t="inlineStr">
        <is>
          <t>P4 → EE2</t>
        </is>
      </c>
      <c r="G529" s="16" t="inlineStr"/>
      <c r="H529" s="16" t="inlineStr">
        <is>
          <t>CHATGPT/S2</t>
        </is>
      </c>
    </row>
    <row r="530" ht="16" customHeight="1">
      <c r="A530" s="16" t="inlineStr">
        <is>
          <t>CHATGPT-S2-F050</t>
        </is>
      </c>
      <c r="B530" s="16" t="inlineStr">
        <is>
          <t>CHATGPT</t>
        </is>
      </c>
      <c r="C530" s="16" t="inlineStr">
        <is>
          <t>S2</t>
        </is>
      </c>
      <c r="D530" s="16" t="inlineStr"/>
      <c r="E530" s="17" t="inlineStr">
        <is>
          <t>Compromised External LLM Provider</t>
        </is>
      </c>
      <c r="F530" s="16" t="inlineStr">
        <is>
          <t>P4 ↔ EE2</t>
        </is>
      </c>
      <c r="G530" s="16" t="inlineStr"/>
      <c r="H530" s="16" t="inlineStr">
        <is>
          <t>CHATGPT/S2</t>
        </is>
      </c>
    </row>
    <row r="531" ht="16" customHeight="1">
      <c r="A531" s="16" t="inlineStr">
        <is>
          <t>CHATGPT-S2-F051</t>
        </is>
      </c>
      <c r="B531" s="16" t="inlineStr">
        <is>
          <t>CHATGPT</t>
        </is>
      </c>
      <c r="C531" s="16" t="inlineStr">
        <is>
          <t>S2</t>
        </is>
      </c>
      <c r="D531" s="16" t="inlineStr">
        <is>
          <t>dos_service</t>
        </is>
      </c>
      <c r="E531" s="17" t="inlineStr">
        <is>
          <t>Resource Exhaustion via File Upload</t>
        </is>
      </c>
      <c r="F531" s="16" t="inlineStr">
        <is>
          <t>EE1 → P1 → P2 → DS1</t>
        </is>
      </c>
      <c r="G531" s="16" t="inlineStr"/>
      <c r="H531" s="16" t="inlineStr">
        <is>
          <t>CHATGPT/S2</t>
        </is>
      </c>
    </row>
    <row r="532" ht="16" customHeight="1">
      <c r="A532" s="16" t="inlineStr">
        <is>
          <t>CHATGPT-S2-F052</t>
        </is>
      </c>
      <c r="B532" s="16" t="inlineStr">
        <is>
          <t>CHATGPT</t>
        </is>
      </c>
      <c r="C532" s="16" t="inlineStr">
        <is>
          <t>S2</t>
        </is>
      </c>
      <c r="D532" s="16" t="inlineStr">
        <is>
          <t>dos_service</t>
        </is>
      </c>
      <c r="E532" s="17" t="inlineStr">
        <is>
          <t>LLM Resource Exhaustion</t>
        </is>
      </c>
      <c r="F532" s="16" t="inlineStr">
        <is>
          <t>EE1 → P3 → P4 → EE2</t>
        </is>
      </c>
      <c r="G532" s="16" t="inlineStr"/>
      <c r="H532" s="16" t="inlineStr">
        <is>
          <t>CHATGPT/S2</t>
        </is>
      </c>
    </row>
    <row r="533" ht="16" customHeight="1">
      <c r="A533" s="16" t="inlineStr">
        <is>
          <t>CHATGPT-S2-F053</t>
        </is>
      </c>
      <c r="B533" s="16" t="inlineStr">
        <is>
          <t>CHATGPT</t>
        </is>
      </c>
      <c r="C533" s="16" t="inlineStr">
        <is>
          <t>S2</t>
        </is>
      </c>
      <c r="D533" s="16" t="inlineStr"/>
      <c r="E533" s="17" t="inlineStr">
        <is>
          <t>Incorrect Document Interpretation</t>
        </is>
      </c>
      <c r="F533" s="16" t="inlineStr">
        <is>
          <t>DS1 → P3 → P4 → EE2 → P3 → EE1</t>
        </is>
      </c>
      <c r="G533" s="16" t="inlineStr"/>
      <c r="H533" s="16" t="inlineStr">
        <is>
          <t>CHATGPT/S2</t>
        </is>
      </c>
    </row>
    <row r="534" ht="16" customHeight="1">
      <c r="A534" s="16" t="inlineStr">
        <is>
          <t>CHATGPT-S2-F054</t>
        </is>
      </c>
      <c r="B534" s="16" t="inlineStr">
        <is>
          <t>CHATGPT</t>
        </is>
      </c>
      <c r="C534" s="16" t="inlineStr">
        <is>
          <t>S2</t>
        </is>
      </c>
      <c r="D534" s="16" t="inlineStr">
        <is>
          <t>enumeration</t>
        </is>
      </c>
      <c r="E534" s="17" t="inlineStr">
        <is>
          <t>Unauthorized Error-Based Disclosure</t>
        </is>
      </c>
      <c r="F534" s="16" t="inlineStr">
        <is>
          <t>EE1 → P1 → P2 → DS1/DS2 → P1 → EE1</t>
        </is>
      </c>
      <c r="G534" s="16" t="inlineStr"/>
      <c r="H534" s="16" t="inlineStr">
        <is>
          <t>CHATGPT/S2</t>
        </is>
      </c>
    </row>
    <row r="535" ht="16" customHeight="1">
      <c r="A535" s="16" t="inlineStr">
        <is>
          <t>CHATGPT-S2-F055</t>
        </is>
      </c>
      <c r="B535" s="16" t="inlineStr">
        <is>
          <t>CHATGPT</t>
        </is>
      </c>
      <c r="C535" s="16" t="inlineStr">
        <is>
          <t>S2</t>
        </is>
      </c>
      <c r="D535" s="16" t="inlineStr">
        <is>
          <t>kb_disclosure</t>
        </is>
      </c>
      <c r="E535" s="17" t="inlineStr">
        <is>
          <t>Adversarial Extraction From Authorized Context</t>
        </is>
      </c>
      <c r="F535" s="16" t="inlineStr">
        <is>
          <t>EE1 → P3 → P4 → EE2 → P3 → EE1</t>
        </is>
      </c>
      <c r="G535" s="16" t="inlineStr"/>
      <c r="H535" s="16" t="inlineStr">
        <is>
          <t>CHATGPT/S2</t>
        </is>
      </c>
    </row>
    <row r="536" ht="16" customHeight="1">
      <c r="A536" s="16" t="inlineStr">
        <is>
          <t>CHATGPT-S2-F056</t>
        </is>
      </c>
      <c r="B536" s="16" t="inlineStr">
        <is>
          <t>CHATGPT</t>
        </is>
      </c>
      <c r="C536" s="16" t="inlineStr">
        <is>
          <t>S2</t>
        </is>
      </c>
      <c r="D536" s="16" t="inlineStr">
        <is>
          <t>prompt_injection_direct</t>
        </is>
      </c>
      <c r="E536" s="17" t="inlineStr">
        <is>
          <t>Untrusted Client Input</t>
        </is>
      </c>
      <c r="F536" s="16" t="inlineStr">
        <is>
          <t>EE1 → P1</t>
        </is>
      </c>
      <c r="G536" s="16" t="inlineStr"/>
      <c r="H536" s="16" t="inlineStr">
        <is>
          <t>CHATGPT/S2</t>
        </is>
      </c>
    </row>
    <row r="537" ht="16" customHeight="1">
      <c r="A537" s="16" t="inlineStr">
        <is>
          <t>CHATGPT-S2-F057</t>
        </is>
      </c>
      <c r="B537" s="16" t="inlineStr">
        <is>
          <t>CHATGPT</t>
        </is>
      </c>
      <c r="C537" s="16" t="inlineStr">
        <is>
          <t>S2</t>
        </is>
      </c>
      <c r="D537" s="16" t="inlineStr"/>
      <c r="E537" s="17" t="inlineStr">
        <is>
          <t>User Identity Spoofing</t>
        </is>
      </c>
      <c r="F537" s="16" t="inlineStr">
        <is>
          <t>EE1 → P1 → P2 → DS2</t>
        </is>
      </c>
      <c r="G537" s="16" t="inlineStr"/>
      <c r="H537" s="16" t="inlineStr">
        <is>
          <t>CHATGPT/S2</t>
        </is>
      </c>
    </row>
    <row r="538" ht="16" customHeight="1">
      <c r="A538" s="16" t="inlineStr">
        <is>
          <t>CHATGPT-S2-F058</t>
        </is>
      </c>
      <c r="B538" s="16" t="inlineStr">
        <is>
          <t>CHATGPT</t>
        </is>
      </c>
      <c r="C538" s="16" t="inlineStr">
        <is>
          <t>S2</t>
        </is>
      </c>
      <c r="D538" s="16" t="inlineStr">
        <is>
          <t>malicious_upload</t>
        </is>
      </c>
      <c r="E538" s="17" t="inlineStr">
        <is>
          <t>Untraceable File Access or Upload</t>
        </is>
      </c>
      <c r="F538" s="16" t="inlineStr">
        <is>
          <t>EE1 → P1 → P2 → DS1/DS2</t>
        </is>
      </c>
      <c r="G538" s="16" t="inlineStr"/>
      <c r="H538" s="16" t="inlineStr">
        <is>
          <t>CHATGPT/S2</t>
        </is>
      </c>
    </row>
    <row r="539" ht="16" customHeight="1">
      <c r="A539" s="16" t="inlineStr">
        <is>
          <t>CHATGPT-S2-F059</t>
        </is>
      </c>
      <c r="B539" s="16" t="inlineStr">
        <is>
          <t>CHATGPT</t>
        </is>
      </c>
      <c r="C539" s="16" t="inlineStr">
        <is>
          <t>S2</t>
        </is>
      </c>
      <c r="D539" s="16" t="inlineStr">
        <is>
          <t>permission_tamper</t>
        </is>
      </c>
      <c r="E539" s="17" t="inlineStr">
        <is>
          <t>Permission Database Manipulation</t>
        </is>
      </c>
      <c r="F539" s="16" t="inlineStr">
        <is>
          <t>P2 ↔ DS2</t>
        </is>
      </c>
      <c r="G539" s="16" t="inlineStr"/>
      <c r="H539" s="16" t="inlineStr">
        <is>
          <t>CHATGPT/S2</t>
        </is>
      </c>
    </row>
    <row r="540" ht="16" customHeight="1">
      <c r="A540" s="16" t="inlineStr">
        <is>
          <t>CHATGPT-S2-F060</t>
        </is>
      </c>
      <c r="B540" s="16" t="inlineStr">
        <is>
          <t>CHATGPT</t>
        </is>
      </c>
      <c r="C540" s="16" t="inlineStr">
        <is>
          <t>S2</t>
        </is>
      </c>
      <c r="D540" s="16" t="inlineStr">
        <is>
          <t>kb_disclosure</t>
        </is>
      </c>
      <c r="E540" s="17" t="inlineStr">
        <is>
          <t>Excessive Context Disclosure</t>
        </is>
      </c>
      <c r="F540" s="16" t="inlineStr">
        <is>
          <t>P2 → P3 → P4 → EE2</t>
        </is>
      </c>
      <c r="G540" s="16" t="inlineStr"/>
      <c r="H540" s="16" t="inlineStr">
        <is>
          <t>CHATGPT/S2</t>
        </is>
      </c>
    </row>
    <row r="541" ht="16" customHeight="1">
      <c r="A541" s="16" t="inlineStr">
        <is>
          <t>OLLAMA-S2-F001</t>
        </is>
      </c>
      <c r="B541" s="16" t="inlineStr">
        <is>
          <t>OLLAMA</t>
        </is>
      </c>
      <c r="C541" s="16" t="inlineStr">
        <is>
          <t>S2</t>
        </is>
      </c>
      <c r="D541" s="16" t="inlineStr"/>
      <c r="E541" s="17" t="inlineStr">
        <is>
          <t>Unauthorized Data Access</t>
        </is>
      </c>
      <c r="F541" s="16" t="inlineStr">
        <is>
          <t>File Management Service (P2), Server Storage Repository (DS1)</t>
        </is>
      </c>
      <c r="G541" s="16" t="inlineStr"/>
      <c r="H541" s="16" t="inlineStr">
        <is>
          <t>OLLAMA/S2</t>
        </is>
      </c>
    </row>
    <row r="542" ht="16" customHeight="1">
      <c r="A542" s="16" t="inlineStr">
        <is>
          <t>OLLAMA-S2-F002</t>
        </is>
      </c>
      <c r="B542" s="16" t="inlineStr">
        <is>
          <t>OLLAMA</t>
        </is>
      </c>
      <c r="C542" s="16" t="inlineStr">
        <is>
          <t>S2</t>
        </is>
      </c>
      <c r="D542" s="16" t="inlineStr">
        <is>
          <t>metadata_tamper</t>
        </is>
      </c>
      <c r="E542" s="17" t="inlineStr">
        <is>
          <t>Data Tampering</t>
        </is>
      </c>
      <c r="F542" s="16" t="inlineStr">
        <is>
          <t>Server Storage Repository (DS1)</t>
        </is>
      </c>
      <c r="G542" s="16" t="inlineStr"/>
      <c r="H542" s="16" t="inlineStr">
        <is>
          <t>OLLAMA/S2</t>
        </is>
      </c>
    </row>
    <row r="543" ht="16" customHeight="1">
      <c r="A543" s="16" t="inlineStr">
        <is>
          <t>OLLAMA-S2-F003</t>
        </is>
      </c>
      <c r="B543" s="16" t="inlineStr">
        <is>
          <t>OLLAMA</t>
        </is>
      </c>
      <c r="C543" s="16" t="inlineStr">
        <is>
          <t>S2</t>
        </is>
      </c>
      <c r="D543" s="16" t="inlineStr">
        <is>
          <t>model_substitution</t>
        </is>
      </c>
      <c r="E543" s="17" t="inlineStr">
        <is>
          <t>Elevation of Privilege</t>
        </is>
      </c>
      <c r="F543" s="16" t="inlineStr">
        <is>
          <t>AI File Assistant (P3), LLM Integration Service (P4)</t>
        </is>
      </c>
      <c r="G543" s="16" t="inlineStr"/>
      <c r="H543" s="16" t="inlineStr">
        <is>
          <t>OLLAMA/S2</t>
        </is>
      </c>
    </row>
    <row r="544" ht="16" customHeight="1">
      <c r="A544" s="16" t="inlineStr">
        <is>
          <t>OLLAMA-S2-F004</t>
        </is>
      </c>
      <c r="B544" s="16" t="inlineStr">
        <is>
          <t>OLLAMA</t>
        </is>
      </c>
      <c r="C544" s="16" t="inlineStr">
        <is>
          <t>S2</t>
        </is>
      </c>
      <c r="D544" s="16" t="inlineStr">
        <is>
          <t>model_substitution</t>
        </is>
      </c>
      <c r="E544" s="17" t="inlineStr">
        <is>
          <t>LLM Model Poisoning</t>
        </is>
      </c>
      <c r="F544" s="16" t="inlineStr">
        <is>
          <t>External Entity EE2 (External LLM Provider)</t>
        </is>
      </c>
      <c r="G544" s="16" t="inlineStr"/>
      <c r="H544" s="16" t="inlineStr">
        <is>
          <t>OLLAMA/S2</t>
        </is>
      </c>
    </row>
    <row r="545" ht="16" customHeight="1">
      <c r="A545" s="16" t="inlineStr">
        <is>
          <t>OLLAMA-S2-F005</t>
        </is>
      </c>
      <c r="B545" s="16" t="inlineStr">
        <is>
          <t>OLLAMA</t>
        </is>
      </c>
      <c r="C545" s="16" t="inlineStr">
        <is>
          <t>S2</t>
        </is>
      </c>
      <c r="D545" s="16" t="inlineStr"/>
      <c r="E545" s="17" t="inlineStr">
        <is>
          <t>Insecure Data Processing</t>
        </is>
      </c>
      <c r="F545" s="16" t="inlineStr">
        <is>
          <t>AI File Assistant (P3), Server Storage Repository (DS1)</t>
        </is>
      </c>
      <c r="G545" s="16" t="inlineStr"/>
      <c r="H545" s="16" t="inlineStr">
        <is>
          <t>OLLAMA/S2</t>
        </is>
      </c>
    </row>
    <row r="546" ht="16" customHeight="1">
      <c r="A546" s="16" t="inlineStr">
        <is>
          <t>OLLAMA-S2-F006</t>
        </is>
      </c>
      <c r="B546" s="16" t="inlineStr">
        <is>
          <t>OLLAMA</t>
        </is>
      </c>
      <c r="C546" s="16" t="inlineStr">
        <is>
          <t>S2</t>
        </is>
      </c>
      <c r="D546" s="16" t="inlineStr"/>
      <c r="E546" s="17" t="inlineStr">
        <is>
          <t>Broken Access Control</t>
        </is>
      </c>
      <c r="F546" s="16" t="inlineStr">
        <is>
          <t>File Management Service (P2), Server Storage Repository (DS1)</t>
        </is>
      </c>
      <c r="G546" s="16" t="inlineStr"/>
      <c r="H546" s="16" t="inlineStr">
        <is>
          <t>OLLAMA/S2</t>
        </is>
      </c>
    </row>
    <row r="547" ht="16" customHeight="1">
      <c r="A547" s="16" t="inlineStr">
        <is>
          <t>OLLAMA-S2-F007</t>
        </is>
      </c>
      <c r="B547" s="16" t="inlineStr">
        <is>
          <t>OLLAMA</t>
        </is>
      </c>
      <c r="C547" s="16" t="inlineStr">
        <is>
          <t>S2</t>
        </is>
      </c>
      <c r="D547" s="16" t="inlineStr"/>
      <c r="E547" s="17" t="inlineStr">
        <is>
          <t>Data Exposure</t>
        </is>
      </c>
      <c r="F547" s="16" t="inlineStr">
        <is>
          <t>Server Storage Repository (DS1)</t>
        </is>
      </c>
      <c r="G547" s="16" t="inlineStr"/>
      <c r="H547" s="16" t="inlineStr">
        <is>
          <t>OLLAMA/S2</t>
        </is>
      </c>
    </row>
    <row r="548" ht="16" customHeight="1">
      <c r="A548" s="16" t="inlineStr">
        <is>
          <t>OLLAMA-S2-F008</t>
        </is>
      </c>
      <c r="B548" s="16" t="inlineStr">
        <is>
          <t>OLLAMA</t>
        </is>
      </c>
      <c r="C548" s="16" t="inlineStr">
        <is>
          <t>S2</t>
        </is>
      </c>
      <c r="D548" s="16" t="inlineStr">
        <is>
          <t>model_substitution</t>
        </is>
      </c>
      <c r="E548" s="17" t="inlineStr">
        <is>
          <t>Excessive AI Permissions</t>
        </is>
      </c>
      <c r="F548" s="16" t="inlineStr">
        <is>
          <t>AI File Assistant (P3), LLM Integration Service (P4)</t>
        </is>
      </c>
      <c r="G548" s="16" t="inlineStr"/>
      <c r="H548" s="16" t="inlineStr">
        <is>
          <t>OLLAMA/S2</t>
        </is>
      </c>
    </row>
    <row r="549" ht="16" customHeight="1">
      <c r="A549" s="16" t="inlineStr">
        <is>
          <t>OLLAMA-S2-F009</t>
        </is>
      </c>
      <c r="B549" s="16" t="inlineStr">
        <is>
          <t>OLLAMA</t>
        </is>
      </c>
      <c r="C549" s="16" t="inlineStr">
        <is>
          <t>S2</t>
        </is>
      </c>
      <c r="D549" s="16" t="inlineStr"/>
      <c r="E549" s="17" t="inlineStr">
        <is>
          <t>Insecure LLM Context Handling</t>
        </is>
      </c>
      <c r="F549" s="16" t="inlineStr">
        <is>
          <t>AI File Assistant (P3), Server Storage Repository (DS1)</t>
        </is>
      </c>
      <c r="G549" s="16" t="inlineStr"/>
      <c r="H549" s="16" t="inlineStr">
        <is>
          <t>OLLAMA/S2</t>
        </is>
      </c>
    </row>
    <row r="550" ht="16" customHeight="1">
      <c r="A550" s="16" t="inlineStr">
        <is>
          <t>OLLAMA-S2-F010</t>
        </is>
      </c>
      <c r="B550" s="16" t="inlineStr">
        <is>
          <t>OLLAMA</t>
        </is>
      </c>
      <c r="C550" s="16" t="inlineStr">
        <is>
          <t>S2</t>
        </is>
      </c>
      <c r="D550" s="16" t="inlineStr">
        <is>
          <t>model_substitution</t>
        </is>
      </c>
      <c r="E550" s="17" t="inlineStr">
        <is>
          <t>External Entity Exploitation</t>
        </is>
      </c>
      <c r="F550" s="16" t="inlineStr">
        <is>
          <t>External Entity EE2 (External LLM Provider)</t>
        </is>
      </c>
      <c r="G550" s="16" t="inlineStr"/>
      <c r="H550" s="16" t="inlineStr">
        <is>
          <t>OLLAMA/S2</t>
        </is>
      </c>
    </row>
    <row r="551" ht="16" customHeight="1">
      <c r="A551" s="16" t="inlineStr">
        <is>
          <t>OLLAMA-S2-F011</t>
        </is>
      </c>
      <c r="B551" s="16" t="inlineStr">
        <is>
          <t>OLLAMA</t>
        </is>
      </c>
      <c r="C551" s="16" t="inlineStr">
        <is>
          <t>S2</t>
        </is>
      </c>
      <c r="D551" s="16" t="inlineStr">
        <is>
          <t>malicious_upload</t>
        </is>
      </c>
      <c r="E551" s="17" t="inlineStr">
        <is>
          <t>Prompt Injection</t>
        </is>
      </c>
      <c r="F551" s="16" t="inlineStr">
        <is>
          <t>AI File Assistant (P3), Server Storage Repository (DS1)</t>
        </is>
      </c>
      <c r="G551" s="16" t="inlineStr"/>
      <c r="H551" s="16" t="inlineStr">
        <is>
          <t>OLLAMA/S2</t>
        </is>
      </c>
    </row>
    <row r="552" ht="16" customHeight="1">
      <c r="A552" s="16" t="inlineStr">
        <is>
          <t>OLLAMA-S2-F012</t>
        </is>
      </c>
      <c r="B552" s="16" t="inlineStr">
        <is>
          <t>OLLAMA</t>
        </is>
      </c>
      <c r="C552" s="16" t="inlineStr">
        <is>
          <t>S2</t>
        </is>
      </c>
      <c r="D552" s="16" t="inlineStr">
        <is>
          <t>malicious_upload</t>
        </is>
      </c>
      <c r="E552" s="17" t="inlineStr">
        <is>
          <t>Malicious Document Content</t>
        </is>
      </c>
      <c r="F552" s="16" t="inlineStr">
        <is>
          <t>Server Storage Repository (DS1)</t>
        </is>
      </c>
      <c r="G552" s="16" t="inlineStr"/>
      <c r="H552" s="16" t="inlineStr">
        <is>
          <t>OLLAMA/S2</t>
        </is>
      </c>
    </row>
    <row r="553" ht="16" customHeight="1">
      <c r="A553" s="16" t="inlineStr">
        <is>
          <t>OLLAMA-S2-F013</t>
        </is>
      </c>
      <c r="B553" s="16" t="inlineStr">
        <is>
          <t>OLLAMA</t>
        </is>
      </c>
      <c r="C553" s="16" t="inlineStr">
        <is>
          <t>S2</t>
        </is>
      </c>
      <c r="D553" s="16" t="inlineStr"/>
      <c r="E553" s="17" t="inlineStr">
        <is>
          <t>Unauthorized File Access</t>
        </is>
      </c>
      <c r="F553" s="16" t="inlineStr">
        <is>
          <t>File Management Service (P2), Server Storage Repository (DS1)</t>
        </is>
      </c>
      <c r="G553" s="16" t="inlineStr"/>
      <c r="H553" s="16" t="inlineStr">
        <is>
          <t>OLLAMA/S2</t>
        </is>
      </c>
    </row>
    <row r="554" ht="16" customHeight="1">
      <c r="A554" s="16" t="inlineStr">
        <is>
          <t>OLLAMA-S2-F014</t>
        </is>
      </c>
      <c r="B554" s="16" t="inlineStr">
        <is>
          <t>OLLAMA</t>
        </is>
      </c>
      <c r="C554" s="16" t="inlineStr">
        <is>
          <t>S2</t>
        </is>
      </c>
      <c r="D554" s="16" t="inlineStr">
        <is>
          <t>mass_disclosure</t>
        </is>
      </c>
      <c r="E554" s="17" t="inlineStr">
        <is>
          <t>Sensitive Document Exposure</t>
        </is>
      </c>
      <c r="F554" s="16" t="inlineStr">
        <is>
          <t>Server Storage Repository (DS1)</t>
        </is>
      </c>
      <c r="G554" s="16" t="inlineStr"/>
      <c r="H554" s="16" t="inlineStr">
        <is>
          <t>OLLAMA/S2</t>
        </is>
      </c>
    </row>
    <row r="555" ht="16" customHeight="1">
      <c r="A555" s="16" t="inlineStr">
        <is>
          <t>OLLAMA-S2-F015</t>
        </is>
      </c>
      <c r="B555" s="16" t="inlineStr">
        <is>
          <t>OLLAMA</t>
        </is>
      </c>
      <c r="C555" s="16" t="inlineStr">
        <is>
          <t>S2</t>
        </is>
      </c>
      <c r="D555" s="16" t="inlineStr">
        <is>
          <t>access_bypass_logic</t>
        </is>
      </c>
      <c r="E555" s="17" t="inlineStr">
        <is>
          <t>Unauthorized File Access</t>
        </is>
      </c>
      <c r="F555" s="16" t="inlineStr">
        <is>
          <t>DS1, P2</t>
        </is>
      </c>
      <c r="G555" s="16" t="inlineStr"/>
      <c r="H555" s="16" t="inlineStr">
        <is>
          <t>OLLAMA/S2</t>
        </is>
      </c>
    </row>
    <row r="556" ht="16" customHeight="1">
      <c r="A556" s="16" t="inlineStr">
        <is>
          <t>OLLAMA-S2-F016</t>
        </is>
      </c>
      <c r="B556" s="16" t="inlineStr">
        <is>
          <t>OLLAMA</t>
        </is>
      </c>
      <c r="C556" s="16" t="inlineStr">
        <is>
          <t>S2</t>
        </is>
      </c>
      <c r="D556" s="16" t="inlineStr"/>
      <c r="E556" s="17" t="inlineStr">
        <is>
          <t>Broken Access Control</t>
        </is>
      </c>
      <c r="F556" s="16" t="inlineStr">
        <is>
          <t>P2, DS1</t>
        </is>
      </c>
      <c r="G556" s="16" t="inlineStr"/>
      <c r="H556" s="16" t="inlineStr">
        <is>
          <t>OLLAMA/S2</t>
        </is>
      </c>
    </row>
    <row r="557" ht="16" customHeight="1">
      <c r="A557" s="16" t="inlineStr">
        <is>
          <t>OLLAMA-S2-F017</t>
        </is>
      </c>
      <c r="B557" s="16" t="inlineStr">
        <is>
          <t>OLLAMA</t>
        </is>
      </c>
      <c r="C557" s="16" t="inlineStr">
        <is>
          <t>S2</t>
        </is>
      </c>
      <c r="D557" s="16" t="inlineStr"/>
      <c r="E557" s="17" t="inlineStr">
        <is>
          <t>Data Tampering</t>
        </is>
      </c>
      <c r="F557" s="16" t="inlineStr">
        <is>
          <t>DS1</t>
        </is>
      </c>
      <c r="G557" s="16" t="inlineStr"/>
      <c r="H557" s="16" t="inlineStr">
        <is>
          <t>OLLAMA/S2</t>
        </is>
      </c>
    </row>
    <row r="558" ht="16" customHeight="1">
      <c r="A558" s="16" t="inlineStr">
        <is>
          <t>OLLAMA-S2-F018</t>
        </is>
      </c>
      <c r="B558" s="16" t="inlineStr">
        <is>
          <t>OLLAMA</t>
        </is>
      </c>
      <c r="C558" s="16" t="inlineStr">
        <is>
          <t>S2</t>
        </is>
      </c>
      <c r="D558" s="16" t="inlineStr"/>
      <c r="E558" s="17" t="inlineStr">
        <is>
          <t>Elevation of Privilege</t>
        </is>
      </c>
      <c r="F558" s="16" t="inlineStr">
        <is>
          <t>P2, EE1</t>
        </is>
      </c>
      <c r="G558" s="16" t="inlineStr"/>
      <c r="H558" s="16" t="inlineStr">
        <is>
          <t>OLLAMA/S2</t>
        </is>
      </c>
    </row>
    <row r="559" ht="16" customHeight="1">
      <c r="A559" s="16" t="inlineStr">
        <is>
          <t>OLLAMA-S2-F019</t>
        </is>
      </c>
      <c r="B559" s="16" t="inlineStr">
        <is>
          <t>OLLAMA</t>
        </is>
      </c>
      <c r="C559" s="16" t="inlineStr">
        <is>
          <t>S2</t>
        </is>
      </c>
      <c r="D559" s="16" t="inlineStr"/>
      <c r="E559" s="17" t="inlineStr">
        <is>
          <t>Session Hijacking</t>
        </is>
      </c>
      <c r="F559" s="16" t="inlineStr">
        <is>
          <t>EE1, DS1</t>
        </is>
      </c>
      <c r="G559" s="16" t="inlineStr"/>
      <c r="H559" s="16" t="inlineStr">
        <is>
          <t>OLLAMA/S2</t>
        </is>
      </c>
    </row>
    <row r="560" ht="16" customHeight="1">
      <c r="A560" s="16" t="inlineStr">
        <is>
          <t>OLLAMA-S2-F020</t>
        </is>
      </c>
      <c r="B560" s="16" t="inlineStr">
        <is>
          <t>OLLAMA</t>
        </is>
      </c>
      <c r="C560" s="16" t="inlineStr">
        <is>
          <t>S2</t>
        </is>
      </c>
      <c r="D560" s="16" t="inlineStr"/>
      <c r="E560" s="17" t="inlineStr">
        <is>
          <t>LLM Context Manipulation</t>
        </is>
      </c>
      <c r="F560" s="16" t="inlineStr">
        <is>
          <t>P3, EE2</t>
        </is>
      </c>
      <c r="G560" s="16" t="inlineStr"/>
      <c r="H560" s="16" t="inlineStr">
        <is>
          <t>OLLAMA/S2</t>
        </is>
      </c>
    </row>
    <row r="561" ht="16" customHeight="1">
      <c r="A561" s="16" t="inlineStr">
        <is>
          <t>OLLAMA-S2-F021</t>
        </is>
      </c>
      <c r="B561" s="16" t="inlineStr">
        <is>
          <t>OLLAMA</t>
        </is>
      </c>
      <c r="C561" s="16" t="inlineStr">
        <is>
          <t>S2</t>
        </is>
      </c>
      <c r="D561" s="16" t="inlineStr"/>
      <c r="E561" s="17" t="inlineStr">
        <is>
          <t>LLM Output Manipulation</t>
        </is>
      </c>
      <c r="F561" s="16" t="inlineStr">
        <is>
          <t>P3, EE2</t>
        </is>
      </c>
      <c r="G561" s="16" t="inlineStr"/>
      <c r="H561" s="16" t="inlineStr">
        <is>
          <t>OLLAMA/S2</t>
        </is>
      </c>
    </row>
    <row r="562" ht="16" customHeight="1">
      <c r="A562" s="16" t="inlineStr">
        <is>
          <t>OLLAMA-S2-F022</t>
        </is>
      </c>
      <c r="B562" s="16" t="inlineStr">
        <is>
          <t>OLLAMA</t>
        </is>
      </c>
      <c r="C562" s="16" t="inlineStr">
        <is>
          <t>S2</t>
        </is>
      </c>
      <c r="D562" s="16" t="inlineStr"/>
      <c r="E562" s="17" t="inlineStr">
        <is>
          <t>LLM Provider Risks</t>
        </is>
      </c>
      <c r="F562" s="16" t="inlineStr">
        <is>
          <t>EE2</t>
        </is>
      </c>
      <c r="G562" s="16" t="inlineStr"/>
      <c r="H562" s="16" t="inlineStr">
        <is>
          <t>OLLAMA/S2</t>
        </is>
      </c>
    </row>
    <row r="563" ht="16" customHeight="1">
      <c r="A563" s="16" t="inlineStr">
        <is>
          <t>OLLAMA-S2-F023</t>
        </is>
      </c>
      <c r="B563" s="16" t="inlineStr">
        <is>
          <t>OLLAMA</t>
        </is>
      </c>
      <c r="C563" s="16" t="inlineStr">
        <is>
          <t>S2</t>
        </is>
      </c>
      <c r="D563" s="16" t="inlineStr">
        <is>
          <t>sensitive_to_llm</t>
        </is>
      </c>
      <c r="E563" s="17" t="inlineStr">
        <is>
          <t>Insecure Data Context Handling</t>
        </is>
      </c>
      <c r="F563" s="16" t="inlineStr">
        <is>
          <t>P3, EE2</t>
        </is>
      </c>
      <c r="G563" s="16" t="inlineStr"/>
      <c r="H563" s="16" t="inlineStr">
        <is>
          <t>OLLAMA/S2</t>
        </is>
      </c>
    </row>
    <row r="564" ht="16" customHeight="1">
      <c r="A564" s="16" t="inlineStr">
        <is>
          <t>OLLAMA-S2-F024</t>
        </is>
      </c>
      <c r="B564" s="16" t="inlineStr">
        <is>
          <t>OLLAMA</t>
        </is>
      </c>
      <c r="C564" s="16" t="inlineStr">
        <is>
          <t>S2</t>
        </is>
      </c>
      <c r="D564" s="16" t="inlineStr"/>
      <c r="E564" s="17" t="inlineStr">
        <is>
          <t>Sensitive Document Exposure</t>
        </is>
      </c>
      <c r="F564" s="16" t="inlineStr">
        <is>
          <t>DS1</t>
        </is>
      </c>
      <c r="G564" s="16" t="inlineStr"/>
      <c r="H564" s="16" t="inlineStr">
        <is>
          <t>OLLAMA/S2</t>
        </is>
      </c>
    </row>
    <row r="565" ht="16" customHeight="1">
      <c r="A565" s="16" t="inlineStr">
        <is>
          <t>OLLAMA-S2-F025</t>
        </is>
      </c>
      <c r="B565" s="16" t="inlineStr">
        <is>
          <t>OLLAMA</t>
        </is>
      </c>
      <c r="C565" s="16" t="inlineStr">
        <is>
          <t>S2</t>
        </is>
      </c>
      <c r="D565" s="16" t="inlineStr">
        <is>
          <t>sensitive_to_llm</t>
        </is>
      </c>
      <c r="E565" s="17" t="inlineStr">
        <is>
          <t>Insecure LLM Context Handling</t>
        </is>
      </c>
      <c r="F565" s="16" t="inlineStr">
        <is>
          <t>P3, EE2</t>
        </is>
      </c>
      <c r="G565" s="16" t="inlineStr"/>
      <c r="H565" s="16" t="inlineStr">
        <is>
          <t>OLLAMA/S2</t>
        </is>
      </c>
    </row>
    <row r="566" ht="16" customHeight="1">
      <c r="A566" s="16" t="inlineStr">
        <is>
          <t>OLLAMA-S2-F026</t>
        </is>
      </c>
      <c r="B566" s="16" t="inlineStr">
        <is>
          <t>OLLAMA</t>
        </is>
      </c>
      <c r="C566" s="16" t="inlineStr">
        <is>
          <t>S2</t>
        </is>
      </c>
      <c r="D566" s="16" t="inlineStr">
        <is>
          <t>malicious_upload</t>
        </is>
      </c>
      <c r="E566" s="17" t="inlineStr">
        <is>
          <t>Malicious Document Content</t>
        </is>
      </c>
      <c r="F566" s="16" t="inlineStr">
        <is>
          <t>DS1</t>
        </is>
      </c>
      <c r="G566" s="16" t="inlineStr"/>
      <c r="H566" s="16" t="inlineStr">
        <is>
          <t>OLLAMA/S2</t>
        </is>
      </c>
    </row>
    <row r="567" ht="16" customHeight="1">
      <c r="A567" s="16" t="inlineStr">
        <is>
          <t>OLLAMA-S2-F027</t>
        </is>
      </c>
      <c r="B567" s="16" t="inlineStr">
        <is>
          <t>OLLAMA</t>
        </is>
      </c>
      <c r="C567" s="16" t="inlineStr">
        <is>
          <t>S2</t>
        </is>
      </c>
      <c r="D567" s="16" t="inlineStr">
        <is>
          <t>prompt_injection_indirect</t>
        </is>
      </c>
      <c r="E567" s="17" t="inlineStr">
        <is>
          <t>Prompt Injection through Documents</t>
        </is>
      </c>
      <c r="F567" s="16" t="inlineStr">
        <is>
          <t>DS1, P3</t>
        </is>
      </c>
      <c r="G567" s="16" t="inlineStr"/>
      <c r="H567" s="16" t="inlineStr">
        <is>
          <t>OLLAMA/S2</t>
        </is>
      </c>
    </row>
    <row r="568" ht="16" customHeight="1">
      <c r="A568" s="16" t="inlineStr">
        <is>
          <t>OLLAMA-S2-F028</t>
        </is>
      </c>
      <c r="B568" s="16" t="inlineStr">
        <is>
          <t>OLLAMA</t>
        </is>
      </c>
      <c r="C568" s="16" t="inlineStr">
        <is>
          <t>S2</t>
        </is>
      </c>
      <c r="D568" s="16" t="inlineStr"/>
      <c r="E568" s="17" t="inlineStr">
        <is>
          <t>Unauthorized File Access</t>
        </is>
      </c>
      <c r="F568" s="16" t="inlineStr">
        <is>
          <t>DS1, P2</t>
        </is>
      </c>
      <c r="G568" s="16" t="inlineStr"/>
      <c r="H568" s="16" t="inlineStr">
        <is>
          <t>OLLAMA/S2</t>
        </is>
      </c>
    </row>
    <row r="569" ht="16" customHeight="1">
      <c r="A569" s="16" t="inlineStr">
        <is>
          <t>THREMOLIA-S2-F001</t>
        </is>
      </c>
      <c r="B569" s="16" t="inlineStr">
        <is>
          <t>THREMOLIA</t>
        </is>
      </c>
      <c r="C569" s="16" t="inlineStr">
        <is>
          <t>S2</t>
        </is>
      </c>
      <c r="D569" s="16" t="inlineStr">
        <is>
          <t>malicious_upload</t>
        </is>
      </c>
      <c r="E569" s="17" t="inlineStr"/>
      <c r="F569" s="16" t="inlineStr">
        <is>
          <t>EE1: End User</t>
        </is>
      </c>
      <c r="G569" s="16" t="inlineStr"/>
      <c r="H569" s="16" t="inlineStr">
        <is>
          <t>THREMOLIA/S2</t>
        </is>
      </c>
    </row>
    <row r="570" ht="16" customHeight="1">
      <c r="A570" s="16" t="inlineStr">
        <is>
          <t>THREMOLIA-S2-F002</t>
        </is>
      </c>
      <c r="B570" s="16" t="inlineStr">
        <is>
          <t>THREMOLIA</t>
        </is>
      </c>
      <c r="C570" s="16" t="inlineStr">
        <is>
          <t>S2</t>
        </is>
      </c>
      <c r="D570" s="16" t="inlineStr">
        <is>
          <t>malicious_upload</t>
        </is>
      </c>
      <c r="E570" s="17" t="inlineStr"/>
      <c r="F570" s="16" t="inlineStr">
        <is>
          <t>EE1: End User</t>
        </is>
      </c>
      <c r="G570" s="16" t="inlineStr"/>
      <c r="H570" s="16" t="inlineStr">
        <is>
          <t>THREMOLIA/S2</t>
        </is>
      </c>
    </row>
    <row r="571" ht="16" customHeight="1">
      <c r="A571" s="16" t="inlineStr">
        <is>
          <t>THREMOLIA-S2-F003</t>
        </is>
      </c>
      <c r="B571" s="16" t="inlineStr">
        <is>
          <t>THREMOLIA</t>
        </is>
      </c>
      <c r="C571" s="16" t="inlineStr">
        <is>
          <t>S2</t>
        </is>
      </c>
      <c r="D571" s="16" t="inlineStr">
        <is>
          <t>malicious_upload</t>
        </is>
      </c>
      <c r="E571" s="17" t="inlineStr"/>
      <c r="F571" s="16" t="inlineStr">
        <is>
          <t>EE2: External LLM Provider</t>
        </is>
      </c>
      <c r="G571" s="16" t="inlineStr"/>
      <c r="H571" s="16" t="inlineStr">
        <is>
          <t>THREMOLIA/S2</t>
        </is>
      </c>
    </row>
    <row r="572" ht="16" customHeight="1">
      <c r="A572" s="16" t="inlineStr">
        <is>
          <t>THREMOLIA-S2-F004</t>
        </is>
      </c>
      <c r="B572" s="16" t="inlineStr">
        <is>
          <t>THREMOLIA</t>
        </is>
      </c>
      <c r="C572" s="16" t="inlineStr">
        <is>
          <t>S2</t>
        </is>
      </c>
      <c r="D572" s="16" t="inlineStr">
        <is>
          <t>mass_disclosure</t>
        </is>
      </c>
      <c r="E572" s="17" t="inlineStr"/>
      <c r="F572" s="16" t="inlineStr">
        <is>
          <t>EE2: External LLM Provider</t>
        </is>
      </c>
      <c r="G572" s="16" t="inlineStr"/>
      <c r="H572" s="16" t="inlineStr">
        <is>
          <t>THREMOLIA/S2</t>
        </is>
      </c>
    </row>
    <row r="573" ht="16" customHeight="1">
      <c r="A573" s="16" t="inlineStr">
        <is>
          <t>THREMOLIA-S2-F005</t>
        </is>
      </c>
      <c r="B573" s="16" t="inlineStr">
        <is>
          <t>THREMOLIA</t>
        </is>
      </c>
      <c r="C573" s="16" t="inlineStr">
        <is>
          <t>S2</t>
        </is>
      </c>
      <c r="D573" s="16" t="inlineStr">
        <is>
          <t>phishing</t>
        </is>
      </c>
      <c r="E573" s="17" t="inlineStr"/>
      <c r="F573" s="16" t="inlineStr">
        <is>
          <t>P1: Web Frontend Interface</t>
        </is>
      </c>
      <c r="G573" s="16" t="inlineStr"/>
      <c r="H573" s="16" t="inlineStr">
        <is>
          <t>THREMOLIA/S2</t>
        </is>
      </c>
    </row>
    <row r="574" ht="16" customHeight="1">
      <c r="A574" s="16" t="inlineStr">
        <is>
          <t>THREMOLIA-S2-F006</t>
        </is>
      </c>
      <c r="B574" s="16" t="inlineStr">
        <is>
          <t>THREMOLIA</t>
        </is>
      </c>
      <c r="C574" s="16" t="inlineStr">
        <is>
          <t>S2</t>
        </is>
      </c>
      <c r="D574" s="16" t="inlineStr">
        <is>
          <t>unsafe_output</t>
        </is>
      </c>
      <c r="E574" s="17" t="inlineStr"/>
      <c r="F574" s="16" t="inlineStr">
        <is>
          <t>P1: Web Frontend Interface</t>
        </is>
      </c>
      <c r="G574" s="16" t="inlineStr"/>
      <c r="H574" s="16" t="inlineStr">
        <is>
          <t>THREMOLIA/S2</t>
        </is>
      </c>
    </row>
    <row r="575" ht="16" customHeight="1">
      <c r="A575" s="16" t="inlineStr">
        <is>
          <t>THREMOLIA-S2-F007</t>
        </is>
      </c>
      <c r="B575" s="16" t="inlineStr">
        <is>
          <t>THREMOLIA</t>
        </is>
      </c>
      <c r="C575" s="16" t="inlineStr">
        <is>
          <t>S2</t>
        </is>
      </c>
      <c r="D575" s="16" t="inlineStr">
        <is>
          <t>repudiation</t>
        </is>
      </c>
      <c r="E575" s="17" t="inlineStr"/>
      <c r="F575" s="16" t="inlineStr">
        <is>
          <t>P1: Web Frontend Interface</t>
        </is>
      </c>
      <c r="G575" s="16" t="inlineStr"/>
      <c r="H575" s="16" t="inlineStr">
        <is>
          <t>THREMOLIA/S2</t>
        </is>
      </c>
    </row>
    <row r="576" ht="16" customHeight="1">
      <c r="A576" s="16" t="inlineStr">
        <is>
          <t>THREMOLIA-S2-F008</t>
        </is>
      </c>
      <c r="B576" s="16" t="inlineStr">
        <is>
          <t>THREMOLIA</t>
        </is>
      </c>
      <c r="C576" s="16" t="inlineStr">
        <is>
          <t>S2</t>
        </is>
      </c>
      <c r="D576" s="16" t="inlineStr">
        <is>
          <t>transit_token</t>
        </is>
      </c>
      <c r="E576" s="17" t="inlineStr"/>
      <c r="F576" s="16" t="inlineStr">
        <is>
          <t>P1: Web Frontend Interface</t>
        </is>
      </c>
      <c r="G576" s="16" t="inlineStr"/>
      <c r="H576" s="16" t="inlineStr">
        <is>
          <t>THREMOLIA/S2</t>
        </is>
      </c>
    </row>
    <row r="577" ht="16" customHeight="1">
      <c r="A577" s="16" t="inlineStr">
        <is>
          <t>THREMOLIA-S2-F009</t>
        </is>
      </c>
      <c r="B577" s="16" t="inlineStr">
        <is>
          <t>THREMOLIA</t>
        </is>
      </c>
      <c r="C577" s="16" t="inlineStr">
        <is>
          <t>S2</t>
        </is>
      </c>
      <c r="D577" s="16" t="inlineStr"/>
      <c r="E577" s="17" t="inlineStr"/>
      <c r="F577" s="16" t="inlineStr">
        <is>
          <t>P1: Web Frontend Interface</t>
        </is>
      </c>
      <c r="G577" s="16" t="inlineStr"/>
      <c r="H577" s="16" t="inlineStr">
        <is>
          <t>THREMOLIA/S2</t>
        </is>
      </c>
    </row>
    <row r="578" ht="16" customHeight="1">
      <c r="A578" s="16" t="inlineStr">
        <is>
          <t>THREMOLIA-S2-F010</t>
        </is>
      </c>
      <c r="B578" s="16" t="inlineStr">
        <is>
          <t>THREMOLIA</t>
        </is>
      </c>
      <c r="C578" s="16" t="inlineStr">
        <is>
          <t>S2</t>
        </is>
      </c>
      <c r="D578" s="16" t="inlineStr"/>
      <c r="E578" s="17" t="inlineStr"/>
      <c r="F578" s="16" t="inlineStr">
        <is>
          <t>P1: Web Frontend Interface</t>
        </is>
      </c>
      <c r="G578" s="16" t="inlineStr"/>
      <c r="H578" s="16" t="inlineStr">
        <is>
          <t>THREMOLIA/S2</t>
        </is>
      </c>
    </row>
    <row r="579" ht="16" customHeight="1">
      <c r="A579" s="16" t="inlineStr">
        <is>
          <t>THREMOLIA-S2-F011</t>
        </is>
      </c>
      <c r="B579" s="16" t="inlineStr">
        <is>
          <t>THREMOLIA</t>
        </is>
      </c>
      <c r="C579" s="16" t="inlineStr">
        <is>
          <t>S2</t>
        </is>
      </c>
      <c r="D579" s="16" t="inlineStr">
        <is>
          <t>auth_bypass_logic</t>
        </is>
      </c>
      <c r="E579" s="17" t="inlineStr"/>
      <c r="F579" s="16" t="inlineStr">
        <is>
          <t>P2: File Management Service</t>
        </is>
      </c>
      <c r="G579" s="16" t="inlineStr"/>
      <c r="H579" s="16" t="inlineStr">
        <is>
          <t>THREMOLIA/S2</t>
        </is>
      </c>
    </row>
    <row r="580" ht="16" customHeight="1">
      <c r="A580" s="16" t="inlineStr">
        <is>
          <t>THREMOLIA-S2-F012</t>
        </is>
      </c>
      <c r="B580" s="16" t="inlineStr">
        <is>
          <t>THREMOLIA</t>
        </is>
      </c>
      <c r="C580" s="16" t="inlineStr">
        <is>
          <t>S2</t>
        </is>
      </c>
      <c r="D580" s="16" t="inlineStr">
        <is>
          <t>storage_scope_escape</t>
        </is>
      </c>
      <c r="E580" s="17" t="inlineStr"/>
      <c r="F580" s="16" t="inlineStr">
        <is>
          <t>P2: File Management Service</t>
        </is>
      </c>
      <c r="G580" s="16" t="inlineStr"/>
      <c r="H580" s="16" t="inlineStr">
        <is>
          <t>THREMOLIA/S2</t>
        </is>
      </c>
    </row>
    <row r="581" ht="16" customHeight="1">
      <c r="A581" s="16" t="inlineStr">
        <is>
          <t>THREMOLIA-S2-F013</t>
        </is>
      </c>
      <c r="B581" s="16" t="inlineStr">
        <is>
          <t>THREMOLIA</t>
        </is>
      </c>
      <c r="C581" s="16" t="inlineStr">
        <is>
          <t>S2</t>
        </is>
      </c>
      <c r="D581" s="16" t="inlineStr">
        <is>
          <t>repudiation</t>
        </is>
      </c>
      <c r="E581" s="17" t="inlineStr"/>
      <c r="F581" s="16" t="inlineStr">
        <is>
          <t>P2: File Management Service</t>
        </is>
      </c>
      <c r="G581" s="16" t="inlineStr"/>
      <c r="H581" s="16" t="inlineStr">
        <is>
          <t>THREMOLIA/S2</t>
        </is>
      </c>
    </row>
    <row r="582" ht="16" customHeight="1">
      <c r="A582" s="16" t="inlineStr">
        <is>
          <t>THREMOLIA-S2-F014</t>
        </is>
      </c>
      <c r="B582" s="16" t="inlineStr">
        <is>
          <t>THREMOLIA</t>
        </is>
      </c>
      <c r="C582" s="16" t="inlineStr">
        <is>
          <t>S2</t>
        </is>
      </c>
      <c r="D582" s="16" t="inlineStr">
        <is>
          <t>idor</t>
        </is>
      </c>
      <c r="E582" s="17" t="inlineStr"/>
      <c r="F582" s="16" t="inlineStr">
        <is>
          <t>P2: File Management Service</t>
        </is>
      </c>
      <c r="G582" s="16" t="inlineStr"/>
      <c r="H582" s="16" t="inlineStr">
        <is>
          <t>THREMOLIA/S2</t>
        </is>
      </c>
    </row>
    <row r="583" ht="16" customHeight="1">
      <c r="A583" s="16" t="inlineStr">
        <is>
          <t>THREMOLIA-S2-F015</t>
        </is>
      </c>
      <c r="B583" s="16" t="inlineStr">
        <is>
          <t>THREMOLIA</t>
        </is>
      </c>
      <c r="C583" s="16" t="inlineStr">
        <is>
          <t>S2</t>
        </is>
      </c>
      <c r="D583" s="16" t="inlineStr">
        <is>
          <t>dos_service</t>
        </is>
      </c>
      <c r="E583" s="17" t="inlineStr"/>
      <c r="F583" s="16" t="inlineStr">
        <is>
          <t>P2: File Management Service</t>
        </is>
      </c>
      <c r="G583" s="16" t="inlineStr"/>
      <c r="H583" s="16" t="inlineStr">
        <is>
          <t>THREMOLIA/S2</t>
        </is>
      </c>
    </row>
    <row r="584" ht="16" customHeight="1">
      <c r="A584" s="16" t="inlineStr">
        <is>
          <t>THREMOLIA-S2-F016</t>
        </is>
      </c>
      <c r="B584" s="16" t="inlineStr">
        <is>
          <t>THREMOLIA</t>
        </is>
      </c>
      <c r="C584" s="16" t="inlineStr">
        <is>
          <t>S2</t>
        </is>
      </c>
      <c r="D584" s="16" t="inlineStr">
        <is>
          <t>access_bypass_logic</t>
        </is>
      </c>
      <c r="E584" s="17" t="inlineStr"/>
      <c r="F584" s="16" t="inlineStr">
        <is>
          <t>P2: File Management Service</t>
        </is>
      </c>
      <c r="G584" s="16" t="inlineStr"/>
      <c r="H584" s="16" t="inlineStr">
        <is>
          <t>THREMOLIA/S2</t>
        </is>
      </c>
    </row>
    <row r="585" ht="16" customHeight="1">
      <c r="A585" s="16" t="inlineStr">
        <is>
          <t>THREMOLIA-S2-F017</t>
        </is>
      </c>
      <c r="B585" s="16" t="inlineStr">
        <is>
          <t>THREMOLIA</t>
        </is>
      </c>
      <c r="C585" s="16" t="inlineStr">
        <is>
          <t>S2</t>
        </is>
      </c>
      <c r="D585" s="16" t="inlineStr">
        <is>
          <t>context_gap</t>
        </is>
      </c>
      <c r="E585" s="17" t="inlineStr"/>
      <c r="F585" s="16" t="inlineStr">
        <is>
          <t>P3: AI File Assistant</t>
        </is>
      </c>
      <c r="G585" s="16" t="inlineStr"/>
      <c r="H585" s="16" t="inlineStr">
        <is>
          <t>THREMOLIA/S2</t>
        </is>
      </c>
    </row>
    <row r="586" ht="16" customHeight="1">
      <c r="A586" s="16" t="inlineStr">
        <is>
          <t>THREMOLIA-S2-F018</t>
        </is>
      </c>
      <c r="B586" s="16" t="inlineStr">
        <is>
          <t>THREMOLIA</t>
        </is>
      </c>
      <c r="C586" s="16" t="inlineStr">
        <is>
          <t>S2</t>
        </is>
      </c>
      <c r="D586" s="16" t="inlineStr">
        <is>
          <t>prompt_injection_indirect</t>
        </is>
      </c>
      <c r="E586" s="17" t="inlineStr"/>
      <c r="F586" s="16" t="inlineStr">
        <is>
          <t>P3: AI File Assistant</t>
        </is>
      </c>
      <c r="G586" s="16" t="inlineStr"/>
      <c r="H586" s="16" t="inlineStr">
        <is>
          <t>THREMOLIA/S2</t>
        </is>
      </c>
    </row>
    <row r="587" ht="16" customHeight="1">
      <c r="A587" s="16" t="inlineStr">
        <is>
          <t>THREMOLIA-S2-F019</t>
        </is>
      </c>
      <c r="B587" s="16" t="inlineStr">
        <is>
          <t>THREMOLIA</t>
        </is>
      </c>
      <c r="C587" s="16" t="inlineStr">
        <is>
          <t>S2</t>
        </is>
      </c>
      <c r="D587" s="16" t="inlineStr">
        <is>
          <t>repudiation</t>
        </is>
      </c>
      <c r="E587" s="17" t="inlineStr"/>
      <c r="F587" s="16" t="inlineStr">
        <is>
          <t>P3: AI File Assistant</t>
        </is>
      </c>
      <c r="G587" s="16" t="inlineStr"/>
      <c r="H587" s="16" t="inlineStr">
        <is>
          <t>THREMOLIA/S2</t>
        </is>
      </c>
    </row>
    <row r="588" ht="16" customHeight="1">
      <c r="A588" s="16" t="inlineStr">
        <is>
          <t>THREMOLIA-S2-F020</t>
        </is>
      </c>
      <c r="B588" s="16" t="inlineStr">
        <is>
          <t>THREMOLIA</t>
        </is>
      </c>
      <c r="C588" s="16" t="inlineStr">
        <is>
          <t>S2</t>
        </is>
      </c>
      <c r="D588" s="16" t="inlineStr">
        <is>
          <t>kb_disclosure</t>
        </is>
      </c>
      <c r="E588" s="17" t="inlineStr"/>
      <c r="F588" s="16" t="inlineStr">
        <is>
          <t>P3: AI File Assistant</t>
        </is>
      </c>
      <c r="G588" s="16" t="inlineStr"/>
      <c r="H588" s="16" t="inlineStr">
        <is>
          <t>THREMOLIA/S2</t>
        </is>
      </c>
    </row>
    <row r="589" ht="16" customHeight="1">
      <c r="A589" s="16" t="inlineStr">
        <is>
          <t>THREMOLIA-S2-F021</t>
        </is>
      </c>
      <c r="B589" s="16" t="inlineStr">
        <is>
          <t>THREMOLIA</t>
        </is>
      </c>
      <c r="C589" s="16" t="inlineStr">
        <is>
          <t>S2</t>
        </is>
      </c>
      <c r="D589" s="16" t="inlineStr">
        <is>
          <t>dos_service</t>
        </is>
      </c>
      <c r="E589" s="17" t="inlineStr"/>
      <c r="F589" s="16" t="inlineStr">
        <is>
          <t>P3: AI File Assistant</t>
        </is>
      </c>
      <c r="G589" s="16" t="inlineStr"/>
      <c r="H589" s="16" t="inlineStr">
        <is>
          <t>THREMOLIA/S2</t>
        </is>
      </c>
    </row>
    <row r="590" ht="16" customHeight="1">
      <c r="A590" s="16" t="inlineStr">
        <is>
          <t>THREMOLIA-S2-F022</t>
        </is>
      </c>
      <c r="B590" s="16" t="inlineStr">
        <is>
          <t>THREMOLIA</t>
        </is>
      </c>
      <c r="C590" s="16" t="inlineStr">
        <is>
          <t>S2</t>
        </is>
      </c>
      <c r="D590" s="16" t="inlineStr">
        <is>
          <t>prompt_injection_direct</t>
        </is>
      </c>
      <c r="E590" s="17" t="inlineStr"/>
      <c r="F590" s="16" t="inlineStr">
        <is>
          <t>P3: AI File Assistant</t>
        </is>
      </c>
      <c r="G590" s="16" t="inlineStr"/>
      <c r="H590" s="16" t="inlineStr">
        <is>
          <t>THREMOLIA/S2</t>
        </is>
      </c>
    </row>
    <row r="591" ht="16" customHeight="1">
      <c r="A591" s="16" t="inlineStr">
        <is>
          <t>THREMOLIA-S2-F023</t>
        </is>
      </c>
      <c r="B591" s="16" t="inlineStr">
        <is>
          <t>THREMOLIA</t>
        </is>
      </c>
      <c r="C591" s="16" t="inlineStr">
        <is>
          <t>S2</t>
        </is>
      </c>
      <c r="D591" s="16" t="inlineStr">
        <is>
          <t>sensitive_to_llm</t>
        </is>
      </c>
      <c r="E591" s="17" t="inlineStr"/>
      <c r="F591" s="16" t="inlineStr">
        <is>
          <t>P4: LLM Integration Service</t>
        </is>
      </c>
      <c r="G591" s="16" t="inlineStr"/>
      <c r="H591" s="16" t="inlineStr">
        <is>
          <t>THREMOLIA/S2</t>
        </is>
      </c>
    </row>
    <row r="592" ht="16" customHeight="1">
      <c r="A592" s="16" t="inlineStr">
        <is>
          <t>THREMOLIA-S2-F024</t>
        </is>
      </c>
      <c r="B592" s="16" t="inlineStr">
        <is>
          <t>THREMOLIA</t>
        </is>
      </c>
      <c r="C592" s="16" t="inlineStr">
        <is>
          <t>S2</t>
        </is>
      </c>
      <c r="D592" s="16" t="inlineStr">
        <is>
          <t>dos_service</t>
        </is>
      </c>
      <c r="E592" s="17" t="inlineStr"/>
      <c r="F592" s="16" t="inlineStr">
        <is>
          <t>P4: LLM Integration Service</t>
        </is>
      </c>
      <c r="G592" s="16" t="inlineStr"/>
      <c r="H592" s="16" t="inlineStr">
        <is>
          <t>THREMOLIA/S2</t>
        </is>
      </c>
    </row>
    <row r="593" ht="16" customHeight="1">
      <c r="A593" s="16" t="inlineStr">
        <is>
          <t>THREMOLIA-S2-F025</t>
        </is>
      </c>
      <c r="B593" s="16" t="inlineStr">
        <is>
          <t>THREMOLIA</t>
        </is>
      </c>
      <c r="C593" s="16" t="inlineStr">
        <is>
          <t>S2</t>
        </is>
      </c>
      <c r="D593" s="16" t="inlineStr">
        <is>
          <t>repudiation</t>
        </is>
      </c>
      <c r="E593" s="17" t="inlineStr"/>
      <c r="F593" s="16" t="inlineStr">
        <is>
          <t>P4: LLM Integration Service</t>
        </is>
      </c>
      <c r="G593" s="16" t="inlineStr"/>
      <c r="H593" s="16" t="inlineStr">
        <is>
          <t>THREMOLIA/S2</t>
        </is>
      </c>
    </row>
    <row r="594" ht="16" customHeight="1">
      <c r="A594" s="16" t="inlineStr">
        <is>
          <t>THREMOLIA-S2-F026</t>
        </is>
      </c>
      <c r="B594" s="16" t="inlineStr">
        <is>
          <t>THREMOLIA</t>
        </is>
      </c>
      <c r="C594" s="16" t="inlineStr">
        <is>
          <t>S2</t>
        </is>
      </c>
      <c r="D594" s="16" t="inlineStr">
        <is>
          <t>dos_service</t>
        </is>
      </c>
      <c r="E594" s="17" t="inlineStr"/>
      <c r="F594" s="16" t="inlineStr">
        <is>
          <t>P4: LLM Integration Service</t>
        </is>
      </c>
      <c r="G594" s="16" t="inlineStr"/>
      <c r="H594" s="16" t="inlineStr">
        <is>
          <t>THREMOLIA/S2</t>
        </is>
      </c>
    </row>
    <row r="595" ht="16" customHeight="1">
      <c r="A595" s="16" t="inlineStr">
        <is>
          <t>THREMOLIA-S2-F027</t>
        </is>
      </c>
      <c r="B595" s="16" t="inlineStr">
        <is>
          <t>THREMOLIA</t>
        </is>
      </c>
      <c r="C595" s="16" t="inlineStr">
        <is>
          <t>S2</t>
        </is>
      </c>
      <c r="D595" s="16" t="inlineStr">
        <is>
          <t>llm_unavailable</t>
        </is>
      </c>
      <c r="E595" s="17" t="inlineStr"/>
      <c r="F595" s="16" t="inlineStr">
        <is>
          <t>P4: LLM Integration Service</t>
        </is>
      </c>
      <c r="G595" s="16" t="inlineStr"/>
      <c r="H595" s="16" t="inlineStr">
        <is>
          <t>THREMOLIA/S2</t>
        </is>
      </c>
    </row>
    <row r="596" ht="16" customHeight="1">
      <c r="A596" s="16" t="inlineStr">
        <is>
          <t>THREMOLIA-S2-F028</t>
        </is>
      </c>
      <c r="B596" s="16" t="inlineStr">
        <is>
          <t>THREMOLIA</t>
        </is>
      </c>
      <c r="C596" s="16" t="inlineStr">
        <is>
          <t>S2</t>
        </is>
      </c>
      <c r="D596" s="16" t="inlineStr">
        <is>
          <t>unsafe_output</t>
        </is>
      </c>
      <c r="E596" s="17" t="inlineStr"/>
      <c r="F596" s="16" t="inlineStr">
        <is>
          <t>P4: LLM Integration Service</t>
        </is>
      </c>
      <c r="G596" s="16" t="inlineStr"/>
      <c r="H596" s="16" t="inlineStr">
        <is>
          <t>THREMOLIA/S2</t>
        </is>
      </c>
    </row>
    <row r="597" ht="16" customHeight="1">
      <c r="A597" s="16" t="inlineStr">
        <is>
          <t>THREMOLIA-S2-F029</t>
        </is>
      </c>
      <c r="B597" s="16" t="inlineStr">
        <is>
          <t>THREMOLIA</t>
        </is>
      </c>
      <c r="C597" s="16" t="inlineStr">
        <is>
          <t>S2</t>
        </is>
      </c>
      <c r="D597" s="16" t="inlineStr">
        <is>
          <t>stored_tamper</t>
        </is>
      </c>
      <c r="E597" s="17" t="inlineStr"/>
      <c r="F597" s="16" t="inlineStr">
        <is>
          <t>DS1: Server Storage Repository</t>
        </is>
      </c>
      <c r="G597" s="16" t="inlineStr"/>
      <c r="H597" s="16" t="inlineStr">
        <is>
          <t>THREMOLIA/S2</t>
        </is>
      </c>
    </row>
    <row r="598" ht="16" customHeight="1">
      <c r="A598" s="16" t="inlineStr">
        <is>
          <t>THREMOLIA-S2-F030</t>
        </is>
      </c>
      <c r="B598" s="16" t="inlineStr">
        <is>
          <t>THREMOLIA</t>
        </is>
      </c>
      <c r="C598" s="16" t="inlineStr">
        <is>
          <t>S2</t>
        </is>
      </c>
      <c r="D598" s="16" t="inlineStr">
        <is>
          <t>repudiation</t>
        </is>
      </c>
      <c r="E598" s="17" t="inlineStr"/>
      <c r="F598" s="16" t="inlineStr">
        <is>
          <t>DS1: Server Storage Repository</t>
        </is>
      </c>
      <c r="G598" s="16" t="inlineStr"/>
      <c r="H598" s="16" t="inlineStr">
        <is>
          <t>THREMOLIA/S2</t>
        </is>
      </c>
    </row>
    <row r="599" ht="16" customHeight="1">
      <c r="A599" s="16" t="inlineStr">
        <is>
          <t>THREMOLIA-S2-F031</t>
        </is>
      </c>
      <c r="B599" s="16" t="inlineStr">
        <is>
          <t>THREMOLIA</t>
        </is>
      </c>
      <c r="C599" s="16" t="inlineStr">
        <is>
          <t>S2</t>
        </is>
      </c>
      <c r="D599" s="16" t="inlineStr">
        <is>
          <t>mass_disclosure</t>
        </is>
      </c>
      <c r="E599" s="17" t="inlineStr"/>
      <c r="F599" s="16" t="inlineStr">
        <is>
          <t>DS1: Server Storage Repository</t>
        </is>
      </c>
      <c r="G599" s="16" t="inlineStr"/>
      <c r="H599" s="16" t="inlineStr">
        <is>
          <t>THREMOLIA/S2</t>
        </is>
      </c>
    </row>
    <row r="600" ht="16" customHeight="1">
      <c r="A600" s="16" t="inlineStr">
        <is>
          <t>THREMOLIA-S2-F032</t>
        </is>
      </c>
      <c r="B600" s="16" t="inlineStr">
        <is>
          <t>THREMOLIA</t>
        </is>
      </c>
      <c r="C600" s="16" t="inlineStr">
        <is>
          <t>S2</t>
        </is>
      </c>
      <c r="D600" s="16" t="inlineStr">
        <is>
          <t>dos_service</t>
        </is>
      </c>
      <c r="E600" s="17" t="inlineStr"/>
      <c r="F600" s="16" t="inlineStr">
        <is>
          <t>DS1: Server Storage Repository</t>
        </is>
      </c>
      <c r="G600" s="16" t="inlineStr"/>
      <c r="H600" s="16" t="inlineStr">
        <is>
          <t>THREMOLIA/S2</t>
        </is>
      </c>
    </row>
    <row r="601" ht="16" customHeight="1">
      <c r="A601" s="16" t="inlineStr">
        <is>
          <t>THREMOLIA-S2-F033</t>
        </is>
      </c>
      <c r="B601" s="16" t="inlineStr">
        <is>
          <t>THREMOLIA</t>
        </is>
      </c>
      <c r="C601" s="16" t="inlineStr">
        <is>
          <t>S2</t>
        </is>
      </c>
      <c r="D601" s="16" t="inlineStr">
        <is>
          <t>permission_tamper</t>
        </is>
      </c>
      <c r="E601" s="17" t="inlineStr"/>
      <c r="F601" s="16" t="inlineStr">
        <is>
          <t>DS2: User / Permission Database</t>
        </is>
      </c>
      <c r="G601" s="16" t="inlineStr"/>
      <c r="H601" s="16" t="inlineStr">
        <is>
          <t>THREMOLIA/S2</t>
        </is>
      </c>
    </row>
    <row r="602" ht="16" customHeight="1">
      <c r="A602" s="16" t="inlineStr">
        <is>
          <t>THREMOLIA-S2-F034</t>
        </is>
      </c>
      <c r="B602" s="16" t="inlineStr">
        <is>
          <t>THREMOLIA</t>
        </is>
      </c>
      <c r="C602" s="16" t="inlineStr">
        <is>
          <t>S2</t>
        </is>
      </c>
      <c r="D602" s="16" t="inlineStr">
        <is>
          <t>repudiation</t>
        </is>
      </c>
      <c r="E602" s="17" t="inlineStr"/>
      <c r="F602" s="16" t="inlineStr">
        <is>
          <t>DS2: User / Permission Database</t>
        </is>
      </c>
      <c r="G602" s="16" t="inlineStr"/>
      <c r="H602" s="16" t="inlineStr">
        <is>
          <t>THREMOLIA/S2</t>
        </is>
      </c>
    </row>
    <row r="603" ht="16" customHeight="1">
      <c r="A603" s="16" t="inlineStr">
        <is>
          <t>THREMOLIA-S2-F035</t>
        </is>
      </c>
      <c r="B603" s="16" t="inlineStr">
        <is>
          <t>THREMOLIA</t>
        </is>
      </c>
      <c r="C603" s="16" t="inlineStr">
        <is>
          <t>S2</t>
        </is>
      </c>
      <c r="D603" s="16" t="inlineStr">
        <is>
          <t>mass_disclosure</t>
        </is>
      </c>
      <c r="E603" s="17" t="inlineStr"/>
      <c r="F603" s="16" t="inlineStr">
        <is>
          <t>DS2: User / Permission Database</t>
        </is>
      </c>
      <c r="G603" s="16" t="inlineStr"/>
      <c r="H603" s="16" t="inlineStr">
        <is>
          <t>THREMOLIA/S2</t>
        </is>
      </c>
    </row>
    <row r="604" ht="16" customHeight="1">
      <c r="A604" s="16" t="inlineStr">
        <is>
          <t>THREMOLIA-S2-F036</t>
        </is>
      </c>
      <c r="B604" s="16" t="inlineStr">
        <is>
          <t>THREMOLIA</t>
        </is>
      </c>
      <c r="C604" s="16" t="inlineStr">
        <is>
          <t>S2</t>
        </is>
      </c>
      <c r="D604" s="16" t="inlineStr">
        <is>
          <t>dos_service</t>
        </is>
      </c>
      <c r="E604" s="17" t="inlineStr"/>
      <c r="F604" s="16" t="inlineStr">
        <is>
          <t>DS2: User / Permission Database</t>
        </is>
      </c>
      <c r="G604" s="16" t="inlineStr"/>
      <c r="H604" s="16" t="inlineStr">
        <is>
          <t>THREMOLIA/S2</t>
        </is>
      </c>
    </row>
    <row r="605" ht="16" customHeight="1">
      <c r="A605" s="16" t="inlineStr">
        <is>
          <t>THREMOLIA-S2-F037</t>
        </is>
      </c>
      <c r="B605" s="16" t="inlineStr">
        <is>
          <t>THREMOLIA</t>
        </is>
      </c>
      <c r="C605" s="16" t="inlineStr">
        <is>
          <t>S2</t>
        </is>
      </c>
      <c r="D605" s="16" t="inlineStr">
        <is>
          <t>metadata_tamper</t>
        </is>
      </c>
      <c r="E605" s="17" t="inlineStr"/>
      <c r="F605" s="16" t="inlineStr">
        <is>
          <t>DF1: File Upload Request</t>
        </is>
      </c>
      <c r="G605" s="16" t="inlineStr"/>
      <c r="H605" s="16" t="inlineStr">
        <is>
          <t>THREMOLIA/S2</t>
        </is>
      </c>
    </row>
    <row r="606" ht="16" customHeight="1">
      <c r="A606" s="16" t="inlineStr">
        <is>
          <t>THREMOLIA-S2-F038</t>
        </is>
      </c>
      <c r="B606" s="16" t="inlineStr">
        <is>
          <t>THREMOLIA</t>
        </is>
      </c>
      <c r="C606" s="16" t="inlineStr">
        <is>
          <t>S2</t>
        </is>
      </c>
      <c r="D606" s="16" t="inlineStr">
        <is>
          <t>transit_data_general</t>
        </is>
      </c>
      <c r="E606" s="17" t="inlineStr"/>
      <c r="F606" s="16" t="inlineStr">
        <is>
          <t>DF1: File Upload Request</t>
        </is>
      </c>
      <c r="G606" s="16" t="inlineStr"/>
      <c r="H606" s="16" t="inlineStr">
        <is>
          <t>THREMOLIA/S2</t>
        </is>
      </c>
    </row>
    <row r="607" ht="16" customHeight="1">
      <c r="A607" s="16" t="inlineStr">
        <is>
          <t>THREMOLIA-S2-F039</t>
        </is>
      </c>
      <c r="B607" s="16" t="inlineStr">
        <is>
          <t>THREMOLIA</t>
        </is>
      </c>
      <c r="C607" s="16" t="inlineStr">
        <is>
          <t>S2</t>
        </is>
      </c>
      <c r="D607" s="16" t="inlineStr">
        <is>
          <t>dos_service</t>
        </is>
      </c>
      <c r="E607" s="17" t="inlineStr"/>
      <c r="F607" s="16" t="inlineStr">
        <is>
          <t>DF1: File Upload Request</t>
        </is>
      </c>
      <c r="G607" s="16" t="inlineStr"/>
      <c r="H607" s="16" t="inlineStr">
        <is>
          <t>THREMOLIA/S2</t>
        </is>
      </c>
    </row>
    <row r="608" ht="16" customHeight="1">
      <c r="A608" s="16" t="inlineStr">
        <is>
          <t>THREMOLIA-S2-F040</t>
        </is>
      </c>
      <c r="B608" s="16" t="inlineStr">
        <is>
          <t>THREMOLIA</t>
        </is>
      </c>
      <c r="C608" s="16" t="inlineStr">
        <is>
          <t>S2</t>
        </is>
      </c>
      <c r="D608" s="16" t="inlineStr"/>
      <c r="E608" s="17" t="inlineStr"/>
      <c r="F608" s="16" t="inlineStr">
        <is>
          <t>DF2: Uploaded File + Metadata</t>
        </is>
      </c>
      <c r="G608" s="16" t="inlineStr"/>
      <c r="H608" s="16" t="inlineStr">
        <is>
          <t>THREMOLIA/S2</t>
        </is>
      </c>
    </row>
    <row r="609" ht="16" customHeight="1">
      <c r="A609" s="16" t="inlineStr">
        <is>
          <t>THREMOLIA-S2-F041</t>
        </is>
      </c>
      <c r="B609" s="16" t="inlineStr">
        <is>
          <t>THREMOLIA</t>
        </is>
      </c>
      <c r="C609" s="16" t="inlineStr">
        <is>
          <t>S2</t>
        </is>
      </c>
      <c r="D609" s="16" t="inlineStr">
        <is>
          <t>transit_data_general</t>
        </is>
      </c>
      <c r="E609" s="17" t="inlineStr"/>
      <c r="F609" s="16" t="inlineStr">
        <is>
          <t>DF2: Uploaded File + Metadata</t>
        </is>
      </c>
      <c r="G609" s="16" t="inlineStr"/>
      <c r="H609" s="16" t="inlineStr">
        <is>
          <t>THREMOLIA/S2</t>
        </is>
      </c>
    </row>
    <row r="610" ht="16" customHeight="1">
      <c r="A610" s="16" t="inlineStr">
        <is>
          <t>THREMOLIA-S2-F042</t>
        </is>
      </c>
      <c r="B610" s="16" t="inlineStr">
        <is>
          <t>THREMOLIA</t>
        </is>
      </c>
      <c r="C610" s="16" t="inlineStr">
        <is>
          <t>S2</t>
        </is>
      </c>
      <c r="D610" s="16" t="inlineStr">
        <is>
          <t>dos_service</t>
        </is>
      </c>
      <c r="E610" s="17" t="inlineStr"/>
      <c r="F610" s="16" t="inlineStr">
        <is>
          <t>DF2: Uploaded File + Metadata</t>
        </is>
      </c>
      <c r="G610" s="16" t="inlineStr"/>
      <c r="H610" s="16" t="inlineStr">
        <is>
          <t>THREMOLIA/S2</t>
        </is>
      </c>
    </row>
    <row r="611" ht="16" customHeight="1">
      <c r="A611" s="16" t="inlineStr">
        <is>
          <t>THREMOLIA-S2-F043</t>
        </is>
      </c>
      <c r="B611" s="16" t="inlineStr">
        <is>
          <t>THREMOLIA</t>
        </is>
      </c>
      <c r="C611" s="16" t="inlineStr">
        <is>
          <t>S2</t>
        </is>
      </c>
      <c r="D611" s="16" t="inlineStr"/>
      <c r="E611" s="17" t="inlineStr"/>
      <c r="F611" s="16" t="inlineStr">
        <is>
          <t>DF3: Validated File Storage Request</t>
        </is>
      </c>
      <c r="G611" s="16" t="inlineStr"/>
      <c r="H611" s="16" t="inlineStr">
        <is>
          <t>THREMOLIA/S2</t>
        </is>
      </c>
    </row>
    <row r="612" ht="16" customHeight="1">
      <c r="A612" s="16" t="inlineStr">
        <is>
          <t>THREMOLIA-S2-F044</t>
        </is>
      </c>
      <c r="B612" s="16" t="inlineStr">
        <is>
          <t>THREMOLIA</t>
        </is>
      </c>
      <c r="C612" s="16" t="inlineStr">
        <is>
          <t>S2</t>
        </is>
      </c>
      <c r="D612" s="16" t="inlineStr">
        <is>
          <t>transit_data_general</t>
        </is>
      </c>
      <c r="E612" s="17" t="inlineStr"/>
      <c r="F612" s="16" t="inlineStr">
        <is>
          <t>DF3: Validated File Storage Request</t>
        </is>
      </c>
      <c r="G612" s="16" t="inlineStr"/>
      <c r="H612" s="16" t="inlineStr">
        <is>
          <t>THREMOLIA/S2</t>
        </is>
      </c>
    </row>
    <row r="613" ht="16" customHeight="1">
      <c r="A613" s="16" t="inlineStr">
        <is>
          <t>THREMOLIA-S2-F045</t>
        </is>
      </c>
      <c r="B613" s="16" t="inlineStr">
        <is>
          <t>THREMOLIA</t>
        </is>
      </c>
      <c r="C613" s="16" t="inlineStr">
        <is>
          <t>S2</t>
        </is>
      </c>
      <c r="D613" s="16" t="inlineStr">
        <is>
          <t>dos_service</t>
        </is>
      </c>
      <c r="E613" s="17" t="inlineStr"/>
      <c r="F613" s="16" t="inlineStr">
        <is>
          <t>DF3: Validated File Storage Request</t>
        </is>
      </c>
      <c r="G613" s="16" t="inlineStr"/>
      <c r="H613" s="16" t="inlineStr">
        <is>
          <t>THREMOLIA/S2</t>
        </is>
      </c>
    </row>
    <row r="614" ht="16" customHeight="1">
      <c r="A614" s="16" t="inlineStr">
        <is>
          <t>THREMOLIA-S2-F046</t>
        </is>
      </c>
      <c r="B614" s="16" t="inlineStr">
        <is>
          <t>THREMOLIA</t>
        </is>
      </c>
      <c r="C614" s="16" t="inlineStr">
        <is>
          <t>S2</t>
        </is>
      </c>
      <c r="D614" s="16" t="inlineStr">
        <is>
          <t>transit_data_general</t>
        </is>
      </c>
      <c r="E614" s="17" t="inlineStr"/>
      <c r="F614" s="16" t="inlineStr">
        <is>
          <t>DF4: File Retrieval Request</t>
        </is>
      </c>
      <c r="G614" s="16" t="inlineStr"/>
      <c r="H614" s="16" t="inlineStr">
        <is>
          <t>THREMOLIA/S2</t>
        </is>
      </c>
    </row>
    <row r="615" ht="16" customHeight="1">
      <c r="A615" s="16" t="inlineStr">
        <is>
          <t>THREMOLIA-S2-F047</t>
        </is>
      </c>
      <c r="B615" s="16" t="inlineStr">
        <is>
          <t>THREMOLIA</t>
        </is>
      </c>
      <c r="C615" s="16" t="inlineStr">
        <is>
          <t>S2</t>
        </is>
      </c>
      <c r="D615" s="16" t="inlineStr">
        <is>
          <t>mass_disclosure</t>
        </is>
      </c>
      <c r="E615" s="17" t="inlineStr"/>
      <c r="F615" s="16" t="inlineStr">
        <is>
          <t>DF4: File Retrieval Request</t>
        </is>
      </c>
      <c r="G615" s="16" t="inlineStr"/>
      <c r="H615" s="16" t="inlineStr">
        <is>
          <t>THREMOLIA/S2</t>
        </is>
      </c>
    </row>
    <row r="616" ht="16" customHeight="1">
      <c r="A616" s="16" t="inlineStr">
        <is>
          <t>THREMOLIA-S2-F048</t>
        </is>
      </c>
      <c r="B616" s="16" t="inlineStr">
        <is>
          <t>THREMOLIA</t>
        </is>
      </c>
      <c r="C616" s="16" t="inlineStr">
        <is>
          <t>S2</t>
        </is>
      </c>
      <c r="D616" s="16" t="inlineStr">
        <is>
          <t>dos_service</t>
        </is>
      </c>
      <c r="E616" s="17" t="inlineStr"/>
      <c r="F616" s="16" t="inlineStr">
        <is>
          <t>DF4: File Retrieval Request</t>
        </is>
      </c>
      <c r="G616" s="16" t="inlineStr"/>
      <c r="H616" s="16" t="inlineStr">
        <is>
          <t>THREMOLIA/S2</t>
        </is>
      </c>
    </row>
    <row r="617" ht="16" customHeight="1">
      <c r="A617" s="16" t="inlineStr">
        <is>
          <t>THREMOLIA-S2-F049</t>
        </is>
      </c>
      <c r="B617" s="16" t="inlineStr">
        <is>
          <t>THREMOLIA</t>
        </is>
      </c>
      <c r="C617" s="16" t="inlineStr">
        <is>
          <t>S2</t>
        </is>
      </c>
      <c r="D617" s="16" t="inlineStr">
        <is>
          <t>idor</t>
        </is>
      </c>
      <c r="E617" s="17" t="inlineStr"/>
      <c r="F617" s="16" t="inlineStr">
        <is>
          <t>DF5: Authenticated File Access Request</t>
        </is>
      </c>
      <c r="G617" s="16" t="inlineStr"/>
      <c r="H617" s="16" t="inlineStr">
        <is>
          <t>THREMOLIA/S2</t>
        </is>
      </c>
    </row>
    <row r="618" ht="16" customHeight="1">
      <c r="A618" s="16" t="inlineStr">
        <is>
          <t>THREMOLIA-S2-F050</t>
        </is>
      </c>
      <c r="B618" s="16" t="inlineStr">
        <is>
          <t>THREMOLIA</t>
        </is>
      </c>
      <c r="C618" s="16" t="inlineStr">
        <is>
          <t>S2</t>
        </is>
      </c>
      <c r="D618" s="16" t="inlineStr">
        <is>
          <t>transit_data_general</t>
        </is>
      </c>
      <c r="E618" s="17" t="inlineStr"/>
      <c r="F618" s="16" t="inlineStr">
        <is>
          <t>DF5: Authenticated File Access Request</t>
        </is>
      </c>
      <c r="G618" s="16" t="inlineStr"/>
      <c r="H618" s="16" t="inlineStr">
        <is>
          <t>THREMOLIA/S2</t>
        </is>
      </c>
    </row>
    <row r="619" ht="16" customHeight="1">
      <c r="A619" s="16" t="inlineStr">
        <is>
          <t>THREMOLIA-S2-F051</t>
        </is>
      </c>
      <c r="B619" s="16" t="inlineStr">
        <is>
          <t>THREMOLIA</t>
        </is>
      </c>
      <c r="C619" s="16" t="inlineStr">
        <is>
          <t>S2</t>
        </is>
      </c>
      <c r="D619" s="16" t="inlineStr">
        <is>
          <t>dos_service</t>
        </is>
      </c>
      <c r="E619" s="17" t="inlineStr"/>
      <c r="F619" s="16" t="inlineStr">
        <is>
          <t>DF5: Authenticated File Access Request</t>
        </is>
      </c>
      <c r="G619" s="16" t="inlineStr"/>
      <c r="H619" s="16" t="inlineStr">
        <is>
          <t>THREMOLIA/S2</t>
        </is>
      </c>
    </row>
    <row r="620" ht="16" customHeight="1">
      <c r="A620" s="16" t="inlineStr">
        <is>
          <t>THREMOLIA-S2-F052</t>
        </is>
      </c>
      <c r="B620" s="16" t="inlineStr">
        <is>
          <t>THREMOLIA</t>
        </is>
      </c>
      <c r="C620" s="16" t="inlineStr">
        <is>
          <t>S2</t>
        </is>
      </c>
      <c r="D620" s="16" t="inlineStr">
        <is>
          <t>injection_verification</t>
        </is>
      </c>
      <c r="E620" s="17" t="inlineStr"/>
      <c r="F620" s="16" t="inlineStr">
        <is>
          <t>DF6: Authorization Verification Request</t>
        </is>
      </c>
      <c r="G620" s="16" t="inlineStr"/>
      <c r="H620" s="16" t="inlineStr">
        <is>
          <t>THREMOLIA/S2</t>
        </is>
      </c>
    </row>
    <row r="621" ht="16" customHeight="1">
      <c r="A621" s="16" t="inlineStr">
        <is>
          <t>THREMOLIA-S2-F053</t>
        </is>
      </c>
      <c r="B621" s="16" t="inlineStr">
        <is>
          <t>THREMOLIA</t>
        </is>
      </c>
      <c r="C621" s="16" t="inlineStr">
        <is>
          <t>S2</t>
        </is>
      </c>
      <c r="D621" s="16" t="inlineStr"/>
      <c r="E621" s="17" t="inlineStr"/>
      <c r="F621" s="16" t="inlineStr">
        <is>
          <t>DF6: Authorization Verification Request</t>
        </is>
      </c>
      <c r="G621" s="16" t="inlineStr"/>
      <c r="H621" s="16" t="inlineStr">
        <is>
          <t>THREMOLIA/S2</t>
        </is>
      </c>
    </row>
    <row r="622" ht="16" customHeight="1">
      <c r="A622" s="16" t="inlineStr">
        <is>
          <t>THREMOLIA-S2-F054</t>
        </is>
      </c>
      <c r="B622" s="16" t="inlineStr">
        <is>
          <t>THREMOLIA</t>
        </is>
      </c>
      <c r="C622" s="16" t="inlineStr">
        <is>
          <t>S2</t>
        </is>
      </c>
      <c r="D622" s="16" t="inlineStr">
        <is>
          <t>dos_service</t>
        </is>
      </c>
      <c r="E622" s="17" t="inlineStr"/>
      <c r="F622" s="16" t="inlineStr">
        <is>
          <t>DF6: Authorization Verification Request</t>
        </is>
      </c>
      <c r="G622" s="16" t="inlineStr"/>
      <c r="H622" s="16" t="inlineStr">
        <is>
          <t>THREMOLIA/S2</t>
        </is>
      </c>
    </row>
    <row r="623" ht="16" customHeight="1">
      <c r="A623" s="16" t="inlineStr">
        <is>
          <t>THREMOLIA-S2-F055</t>
        </is>
      </c>
      <c r="B623" s="16" t="inlineStr">
        <is>
          <t>THREMOLIA</t>
        </is>
      </c>
      <c r="C623" s="16" t="inlineStr">
        <is>
          <t>S2</t>
        </is>
      </c>
      <c r="D623" s="16" t="inlineStr">
        <is>
          <t>access_bypass_logic</t>
        </is>
      </c>
      <c r="E623" s="17" t="inlineStr"/>
      <c r="F623" s="16" t="inlineStr">
        <is>
          <t>DF7: Authorization Decision</t>
        </is>
      </c>
      <c r="G623" s="16" t="inlineStr"/>
      <c r="H623" s="16" t="inlineStr">
        <is>
          <t>THREMOLIA/S2</t>
        </is>
      </c>
    </row>
    <row r="624" ht="16" customHeight="1">
      <c r="A624" s="16" t="inlineStr">
        <is>
          <t>THREMOLIA-S2-F056</t>
        </is>
      </c>
      <c r="B624" s="16" t="inlineStr">
        <is>
          <t>THREMOLIA</t>
        </is>
      </c>
      <c r="C624" s="16" t="inlineStr">
        <is>
          <t>S2</t>
        </is>
      </c>
      <c r="D624" s="16" t="inlineStr">
        <is>
          <t>transit_data_general</t>
        </is>
      </c>
      <c r="E624" s="17" t="inlineStr"/>
      <c r="F624" s="16" t="inlineStr">
        <is>
          <t>DF7: Authorization Decision</t>
        </is>
      </c>
      <c r="G624" s="16" t="inlineStr"/>
      <c r="H624" s="16" t="inlineStr">
        <is>
          <t>THREMOLIA/S2</t>
        </is>
      </c>
    </row>
    <row r="625" ht="16" customHeight="1">
      <c r="A625" s="16" t="inlineStr">
        <is>
          <t>THREMOLIA-S2-F057</t>
        </is>
      </c>
      <c r="B625" s="16" t="inlineStr">
        <is>
          <t>THREMOLIA</t>
        </is>
      </c>
      <c r="C625" s="16" t="inlineStr">
        <is>
          <t>S2</t>
        </is>
      </c>
      <c r="D625" s="16" t="inlineStr"/>
      <c r="E625" s="17" t="inlineStr"/>
      <c r="F625" s="16" t="inlineStr">
        <is>
          <t>DF7: Authorization Decision</t>
        </is>
      </c>
      <c r="G625" s="16" t="inlineStr"/>
      <c r="H625" s="16" t="inlineStr">
        <is>
          <t>THREMOLIA/S2</t>
        </is>
      </c>
    </row>
    <row r="626" ht="16" customHeight="1">
      <c r="A626" s="16" t="inlineStr">
        <is>
          <t>THREMOLIA-S2-F058</t>
        </is>
      </c>
      <c r="B626" s="16" t="inlineStr">
        <is>
          <t>THREMOLIA</t>
        </is>
      </c>
      <c r="C626" s="16" t="inlineStr">
        <is>
          <t>S2</t>
        </is>
      </c>
      <c r="D626" s="16" t="inlineStr">
        <is>
          <t>injection_verification</t>
        </is>
      </c>
      <c r="E626" s="17" t="inlineStr"/>
      <c r="F626" s="16" t="inlineStr">
        <is>
          <t>DF8: Authorized File Lookup</t>
        </is>
      </c>
      <c r="G626" s="16" t="inlineStr"/>
      <c r="H626" s="16" t="inlineStr">
        <is>
          <t>THREMOLIA/S2</t>
        </is>
      </c>
    </row>
    <row r="627" ht="16" customHeight="1">
      <c r="A627" s="16" t="inlineStr">
        <is>
          <t>THREMOLIA-S2-F059</t>
        </is>
      </c>
      <c r="B627" s="16" t="inlineStr">
        <is>
          <t>THREMOLIA</t>
        </is>
      </c>
      <c r="C627" s="16" t="inlineStr">
        <is>
          <t>S2</t>
        </is>
      </c>
      <c r="D627" s="16" t="inlineStr">
        <is>
          <t>mass_disclosure</t>
        </is>
      </c>
      <c r="E627" s="17" t="inlineStr"/>
      <c r="F627" s="16" t="inlineStr">
        <is>
          <t>DF8: Authorized File Lookup</t>
        </is>
      </c>
      <c r="G627" s="16" t="inlineStr"/>
      <c r="H627" s="16" t="inlineStr">
        <is>
          <t>THREMOLIA/S2</t>
        </is>
      </c>
    </row>
    <row r="628" ht="16" customHeight="1">
      <c r="A628" s="16" t="inlineStr">
        <is>
          <t>THREMOLIA-S2-F060</t>
        </is>
      </c>
      <c r="B628" s="16" t="inlineStr">
        <is>
          <t>THREMOLIA</t>
        </is>
      </c>
      <c r="C628" s="16" t="inlineStr">
        <is>
          <t>S2</t>
        </is>
      </c>
      <c r="D628" s="16" t="inlineStr">
        <is>
          <t>dos_service</t>
        </is>
      </c>
      <c r="E628" s="17" t="inlineStr"/>
      <c r="F628" s="16" t="inlineStr">
        <is>
          <t>DF8: Authorized File Lookup</t>
        </is>
      </c>
      <c r="G628" s="16" t="inlineStr"/>
      <c r="H628" s="16" t="inlineStr">
        <is>
          <t>THREMOLIA/S2</t>
        </is>
      </c>
    </row>
    <row r="629" ht="16" customHeight="1">
      <c r="A629" s="16" t="inlineStr">
        <is>
          <t>THREMOLIA-S2-F061</t>
        </is>
      </c>
      <c r="B629" s="16" t="inlineStr">
        <is>
          <t>THREMOLIA</t>
        </is>
      </c>
      <c r="C629" s="16" t="inlineStr">
        <is>
          <t>S2</t>
        </is>
      </c>
      <c r="D629" s="16" t="inlineStr"/>
      <c r="E629" s="17" t="inlineStr"/>
      <c r="F629" s="16" t="inlineStr">
        <is>
          <t>DF9: Requested File Content</t>
        </is>
      </c>
      <c r="G629" s="16" t="inlineStr"/>
      <c r="H629" s="16" t="inlineStr">
        <is>
          <t>THREMOLIA/S2</t>
        </is>
      </c>
    </row>
    <row r="630" ht="16" customHeight="1">
      <c r="A630" s="16" t="inlineStr">
        <is>
          <t>THREMOLIA-S2-F062</t>
        </is>
      </c>
      <c r="B630" s="16" t="inlineStr">
        <is>
          <t>THREMOLIA</t>
        </is>
      </c>
      <c r="C630" s="16" t="inlineStr">
        <is>
          <t>S2</t>
        </is>
      </c>
      <c r="D630" s="16" t="inlineStr">
        <is>
          <t>transit_data_general</t>
        </is>
      </c>
      <c r="E630" s="17" t="inlineStr"/>
      <c r="F630" s="16" t="inlineStr">
        <is>
          <t>DF9: Requested File Content</t>
        </is>
      </c>
      <c r="G630" s="16" t="inlineStr"/>
      <c r="H630" s="16" t="inlineStr">
        <is>
          <t>THREMOLIA/S2</t>
        </is>
      </c>
    </row>
    <row r="631" ht="16" customHeight="1">
      <c r="A631" s="16" t="inlineStr">
        <is>
          <t>THREMOLIA-S2-F063</t>
        </is>
      </c>
      <c r="B631" s="16" t="inlineStr">
        <is>
          <t>THREMOLIA</t>
        </is>
      </c>
      <c r="C631" s="16" t="inlineStr">
        <is>
          <t>S2</t>
        </is>
      </c>
      <c r="D631" s="16" t="inlineStr">
        <is>
          <t>dos_service</t>
        </is>
      </c>
      <c r="E631" s="17" t="inlineStr"/>
      <c r="F631" s="16" t="inlineStr">
        <is>
          <t>DF9: Requested File Content</t>
        </is>
      </c>
      <c r="G631" s="16" t="inlineStr"/>
      <c r="H631" s="16" t="inlineStr">
        <is>
          <t>THREMOLIA/S2</t>
        </is>
      </c>
    </row>
    <row r="632" ht="16" customHeight="1">
      <c r="A632" s="16" t="inlineStr">
        <is>
          <t>THREMOLIA-S2-F064</t>
        </is>
      </c>
      <c r="B632" s="16" t="inlineStr">
        <is>
          <t>THREMOLIA</t>
        </is>
      </c>
      <c r="C632" s="16" t="inlineStr">
        <is>
          <t>S2</t>
        </is>
      </c>
      <c r="D632" s="16" t="inlineStr"/>
      <c r="E632" s="17" t="inlineStr"/>
      <c r="F632" s="16" t="inlineStr">
        <is>
          <t>DF10: Retrieved File</t>
        </is>
      </c>
      <c r="G632" s="16" t="inlineStr"/>
      <c r="H632" s="16" t="inlineStr">
        <is>
          <t>THREMOLIA/S2</t>
        </is>
      </c>
    </row>
    <row r="633" ht="16" customHeight="1">
      <c r="A633" s="16" t="inlineStr">
        <is>
          <t>THREMOLIA-S2-F065</t>
        </is>
      </c>
      <c r="B633" s="16" t="inlineStr">
        <is>
          <t>THREMOLIA</t>
        </is>
      </c>
      <c r="C633" s="16" t="inlineStr">
        <is>
          <t>S2</t>
        </is>
      </c>
      <c r="D633" s="16" t="inlineStr">
        <is>
          <t>transit_data_general</t>
        </is>
      </c>
      <c r="E633" s="17" t="inlineStr"/>
      <c r="F633" s="16" t="inlineStr">
        <is>
          <t>DF10: Retrieved File</t>
        </is>
      </c>
      <c r="G633" s="16" t="inlineStr"/>
      <c r="H633" s="16" t="inlineStr">
        <is>
          <t>THREMOLIA/S2</t>
        </is>
      </c>
    </row>
    <row r="634" ht="16" customHeight="1">
      <c r="A634" s="16" t="inlineStr">
        <is>
          <t>THREMOLIA-S2-F066</t>
        </is>
      </c>
      <c r="B634" s="16" t="inlineStr">
        <is>
          <t>THREMOLIA</t>
        </is>
      </c>
      <c r="C634" s="16" t="inlineStr">
        <is>
          <t>S2</t>
        </is>
      </c>
      <c r="D634" s="16" t="inlineStr"/>
      <c r="E634" s="17" t="inlineStr"/>
      <c r="F634" s="16" t="inlineStr">
        <is>
          <t>DF10: Retrieved File</t>
        </is>
      </c>
      <c r="G634" s="16" t="inlineStr"/>
      <c r="H634" s="16" t="inlineStr">
        <is>
          <t>THREMOLIA/S2</t>
        </is>
      </c>
    </row>
    <row r="635" ht="16" customHeight="1">
      <c r="A635" s="16" t="inlineStr">
        <is>
          <t>THREMOLIA-S2-F067</t>
        </is>
      </c>
      <c r="B635" s="16" t="inlineStr">
        <is>
          <t>THREMOLIA</t>
        </is>
      </c>
      <c r="C635" s="16" t="inlineStr">
        <is>
          <t>S2</t>
        </is>
      </c>
      <c r="D635" s="16" t="inlineStr"/>
      <c r="E635" s="17" t="inlineStr"/>
      <c r="F635" s="16" t="inlineStr">
        <is>
          <t>DF11: Document Question</t>
        </is>
      </c>
      <c r="G635" s="16" t="inlineStr"/>
      <c r="H635" s="16" t="inlineStr">
        <is>
          <t>THREMOLIA/S2</t>
        </is>
      </c>
    </row>
    <row r="636" ht="16" customHeight="1">
      <c r="A636" s="16" t="inlineStr">
        <is>
          <t>THREMOLIA-S2-F068</t>
        </is>
      </c>
      <c r="B636" s="16" t="inlineStr">
        <is>
          <t>THREMOLIA</t>
        </is>
      </c>
      <c r="C636" s="16" t="inlineStr">
        <is>
          <t>S2</t>
        </is>
      </c>
      <c r="D636" s="16" t="inlineStr">
        <is>
          <t>transit_data_general</t>
        </is>
      </c>
      <c r="E636" s="17" t="inlineStr"/>
      <c r="F636" s="16" t="inlineStr">
        <is>
          <t>DF11: Document Question</t>
        </is>
      </c>
      <c r="G636" s="16" t="inlineStr"/>
      <c r="H636" s="16" t="inlineStr">
        <is>
          <t>THREMOLIA/S2</t>
        </is>
      </c>
    </row>
    <row r="637" ht="16" customHeight="1">
      <c r="A637" s="16" t="inlineStr">
        <is>
          <t>THREMOLIA-S2-F069</t>
        </is>
      </c>
      <c r="B637" s="16" t="inlineStr">
        <is>
          <t>THREMOLIA</t>
        </is>
      </c>
      <c r="C637" s="16" t="inlineStr">
        <is>
          <t>S2</t>
        </is>
      </c>
      <c r="D637" s="16" t="inlineStr">
        <is>
          <t>dos_service</t>
        </is>
      </c>
      <c r="E637" s="17" t="inlineStr"/>
      <c r="F637" s="16" t="inlineStr">
        <is>
          <t>DF11: Document Question</t>
        </is>
      </c>
      <c r="G637" s="16" t="inlineStr"/>
      <c r="H637" s="16" t="inlineStr">
        <is>
          <t>THREMOLIA/S2</t>
        </is>
      </c>
    </row>
    <row r="638" ht="16" customHeight="1">
      <c r="A638" s="16" t="inlineStr">
        <is>
          <t>THREMOLIA-S2-F070</t>
        </is>
      </c>
      <c r="B638" s="16" t="inlineStr">
        <is>
          <t>THREMOLIA</t>
        </is>
      </c>
      <c r="C638" s="16" t="inlineStr">
        <is>
          <t>S2</t>
        </is>
      </c>
      <c r="D638" s="16" t="inlineStr"/>
      <c r="E638" s="17" t="inlineStr"/>
      <c r="F638" s="16" t="inlineStr">
        <is>
          <t>DF12: AI Question + User/Document Context</t>
        </is>
      </c>
      <c r="G638" s="16" t="inlineStr"/>
      <c r="H638" s="16" t="inlineStr">
        <is>
          <t>THREMOLIA/S2</t>
        </is>
      </c>
    </row>
    <row r="639" ht="16" customHeight="1">
      <c r="A639" s="16" t="inlineStr">
        <is>
          <t>THREMOLIA-S2-F071</t>
        </is>
      </c>
      <c r="B639" s="16" t="inlineStr">
        <is>
          <t>THREMOLIA</t>
        </is>
      </c>
      <c r="C639" s="16" t="inlineStr">
        <is>
          <t>S2</t>
        </is>
      </c>
      <c r="D639" s="16" t="inlineStr">
        <is>
          <t>transit_data_general</t>
        </is>
      </c>
      <c r="E639" s="17" t="inlineStr"/>
      <c r="F639" s="16" t="inlineStr">
        <is>
          <t>DF12: AI Question + User/Document Context</t>
        </is>
      </c>
      <c r="G639" s="16" t="inlineStr"/>
      <c r="H639" s="16" t="inlineStr">
        <is>
          <t>THREMOLIA/S2</t>
        </is>
      </c>
    </row>
    <row r="640" ht="16" customHeight="1">
      <c r="A640" s="16" t="inlineStr">
        <is>
          <t>THREMOLIA-S2-F072</t>
        </is>
      </c>
      <c r="B640" s="16" t="inlineStr">
        <is>
          <t>THREMOLIA</t>
        </is>
      </c>
      <c r="C640" s="16" t="inlineStr">
        <is>
          <t>S2</t>
        </is>
      </c>
      <c r="D640" s="16" t="inlineStr">
        <is>
          <t>dos_service</t>
        </is>
      </c>
      <c r="E640" s="17" t="inlineStr"/>
      <c r="F640" s="16" t="inlineStr">
        <is>
          <t>DF12: AI Question + User/Document Context</t>
        </is>
      </c>
      <c r="G640" s="16" t="inlineStr"/>
      <c r="H640" s="16" t="inlineStr">
        <is>
          <t>THREMOLIA/S2</t>
        </is>
      </c>
    </row>
    <row r="641" ht="16" customHeight="1">
      <c r="A641" s="16" t="inlineStr">
        <is>
          <t>THREMOLIA-S2-F073</t>
        </is>
      </c>
      <c r="B641" s="16" t="inlineStr">
        <is>
          <t>THREMOLIA</t>
        </is>
      </c>
      <c r="C641" s="16" t="inlineStr">
        <is>
          <t>S2</t>
        </is>
      </c>
      <c r="D641" s="16" t="inlineStr">
        <is>
          <t>sensitive_to_llm</t>
        </is>
      </c>
      <c r="E641" s="17" t="inlineStr"/>
      <c r="F641" s="16" t="inlineStr">
        <is>
          <t>DF13: Authorized Context Request</t>
        </is>
      </c>
      <c r="G641" s="16" t="inlineStr"/>
      <c r="H641" s="16" t="inlineStr">
        <is>
          <t>THREMOLIA/S2</t>
        </is>
      </c>
    </row>
    <row r="642" ht="16" customHeight="1">
      <c r="A642" s="16" t="inlineStr">
        <is>
          <t>THREMOLIA-S2-F074</t>
        </is>
      </c>
      <c r="B642" s="16" t="inlineStr">
        <is>
          <t>THREMOLIA</t>
        </is>
      </c>
      <c r="C642" s="16" t="inlineStr">
        <is>
          <t>S2</t>
        </is>
      </c>
      <c r="D642" s="16" t="inlineStr">
        <is>
          <t>kb_disclosure</t>
        </is>
      </c>
      <c r="E642" s="17" t="inlineStr"/>
      <c r="F642" s="16" t="inlineStr">
        <is>
          <t>DF13: Authorized Context Request</t>
        </is>
      </c>
      <c r="G642" s="16" t="inlineStr"/>
      <c r="H642" s="16" t="inlineStr">
        <is>
          <t>THREMOLIA/S2</t>
        </is>
      </c>
    </row>
    <row r="643" ht="16" customHeight="1">
      <c r="A643" s="16" t="inlineStr">
        <is>
          <t>THREMOLIA-S2-F075</t>
        </is>
      </c>
      <c r="B643" s="16" t="inlineStr">
        <is>
          <t>THREMOLIA</t>
        </is>
      </c>
      <c r="C643" s="16" t="inlineStr">
        <is>
          <t>S2</t>
        </is>
      </c>
      <c r="D643" s="16" t="inlineStr">
        <is>
          <t>dos_service</t>
        </is>
      </c>
      <c r="E643" s="17" t="inlineStr"/>
      <c r="F643" s="16" t="inlineStr">
        <is>
          <t>DF13: Authorized Context Request</t>
        </is>
      </c>
      <c r="G643" s="16" t="inlineStr"/>
      <c r="H643" s="16" t="inlineStr">
        <is>
          <t>THREMOLIA/S2</t>
        </is>
      </c>
    </row>
    <row r="644" ht="16" customHeight="1">
      <c r="A644" s="16" t="inlineStr">
        <is>
          <t>THREMOLIA-S2-F076</t>
        </is>
      </c>
      <c r="B644" s="16" t="inlineStr">
        <is>
          <t>THREMOLIA</t>
        </is>
      </c>
      <c r="C644" s="16" t="inlineStr">
        <is>
          <t>S2</t>
        </is>
      </c>
      <c r="D644" s="16" t="inlineStr">
        <is>
          <t>access_bypass_logic</t>
        </is>
      </c>
      <c r="E644" s="17" t="inlineStr"/>
      <c r="F644" s="16" t="inlineStr">
        <is>
          <t>DF14: Authorization Verification</t>
        </is>
      </c>
      <c r="G644" s="16" t="inlineStr"/>
      <c r="H644" s="16" t="inlineStr">
        <is>
          <t>THREMOLIA/S2</t>
        </is>
      </c>
    </row>
    <row r="645" ht="16" customHeight="1">
      <c r="A645" s="16" t="inlineStr">
        <is>
          <t>THREMOLIA-S2-F077</t>
        </is>
      </c>
      <c r="B645" s="16" t="inlineStr">
        <is>
          <t>THREMOLIA</t>
        </is>
      </c>
      <c r="C645" s="16" t="inlineStr">
        <is>
          <t>S2</t>
        </is>
      </c>
      <c r="D645" s="16" t="inlineStr">
        <is>
          <t>transit_data_general</t>
        </is>
      </c>
      <c r="E645" s="17" t="inlineStr"/>
      <c r="F645" s="16" t="inlineStr">
        <is>
          <t>DF14: Authorization Verification</t>
        </is>
      </c>
      <c r="G645" s="16" t="inlineStr"/>
      <c r="H645" s="16" t="inlineStr">
        <is>
          <t>THREMOLIA/S2</t>
        </is>
      </c>
    </row>
    <row r="646" ht="16" customHeight="1">
      <c r="A646" s="16" t="inlineStr">
        <is>
          <t>THREMOLIA-S2-F078</t>
        </is>
      </c>
      <c r="B646" s="16" t="inlineStr">
        <is>
          <t>THREMOLIA</t>
        </is>
      </c>
      <c r="C646" s="16" t="inlineStr">
        <is>
          <t>S2</t>
        </is>
      </c>
      <c r="D646" s="16" t="inlineStr">
        <is>
          <t>dos_service</t>
        </is>
      </c>
      <c r="E646" s="17" t="inlineStr"/>
      <c r="F646" s="16" t="inlineStr">
        <is>
          <t>DF14: Authorization Verification</t>
        </is>
      </c>
      <c r="G646" s="16" t="inlineStr"/>
      <c r="H646" s="16" t="inlineStr">
        <is>
          <t>THREMOLIA/S2</t>
        </is>
      </c>
    </row>
    <row r="647" ht="16" customHeight="1">
      <c r="A647" s="16" t="inlineStr">
        <is>
          <t>THREMOLIA-S2-F079</t>
        </is>
      </c>
      <c r="B647" s="16" t="inlineStr">
        <is>
          <t>THREMOLIA</t>
        </is>
      </c>
      <c r="C647" s="16" t="inlineStr">
        <is>
          <t>S2</t>
        </is>
      </c>
      <c r="D647" s="16" t="inlineStr">
        <is>
          <t>context_gap</t>
        </is>
      </c>
      <c r="E647" s="17" t="inlineStr"/>
      <c r="F647" s="16" t="inlineStr">
        <is>
          <t>DF15: Authorization Decision</t>
        </is>
      </c>
      <c r="G647" s="16" t="inlineStr"/>
      <c r="H647" s="16" t="inlineStr">
        <is>
          <t>THREMOLIA/S2</t>
        </is>
      </c>
    </row>
    <row r="648" ht="16" customHeight="1">
      <c r="A648" s="16" t="inlineStr">
        <is>
          <t>THREMOLIA-S2-F080</t>
        </is>
      </c>
      <c r="B648" s="16" t="inlineStr">
        <is>
          <t>THREMOLIA</t>
        </is>
      </c>
      <c r="C648" s="16" t="inlineStr">
        <is>
          <t>S2</t>
        </is>
      </c>
      <c r="D648" s="16" t="inlineStr">
        <is>
          <t>mass_disclosure</t>
        </is>
      </c>
      <c r="E648" s="17" t="inlineStr"/>
      <c r="F648" s="16" t="inlineStr">
        <is>
          <t>DF15: Authorization Decision</t>
        </is>
      </c>
      <c r="G648" s="16" t="inlineStr"/>
      <c r="H648" s="16" t="inlineStr">
        <is>
          <t>THREMOLIA/S2</t>
        </is>
      </c>
    </row>
    <row r="649" ht="16" customHeight="1">
      <c r="A649" s="16" t="inlineStr">
        <is>
          <t>THREMOLIA-S2-F081</t>
        </is>
      </c>
      <c r="B649" s="16" t="inlineStr">
        <is>
          <t>THREMOLIA</t>
        </is>
      </c>
      <c r="C649" s="16" t="inlineStr">
        <is>
          <t>S2</t>
        </is>
      </c>
      <c r="D649" s="16" t="inlineStr"/>
      <c r="E649" s="17" t="inlineStr"/>
      <c r="F649" s="16" t="inlineStr">
        <is>
          <t>DF15: Authorization Decision</t>
        </is>
      </c>
      <c r="G649" s="16" t="inlineStr"/>
      <c r="H649" s="16" t="inlineStr">
        <is>
          <t>THREMOLIA/S2</t>
        </is>
      </c>
    </row>
    <row r="650" ht="16" customHeight="1">
      <c r="A650" s="16" t="inlineStr">
        <is>
          <t>THREMOLIA-S2-F082</t>
        </is>
      </c>
      <c r="B650" s="16" t="inlineStr">
        <is>
          <t>THREMOLIA</t>
        </is>
      </c>
      <c r="C650" s="16" t="inlineStr">
        <is>
          <t>S2</t>
        </is>
      </c>
      <c r="D650" s="16" t="inlineStr">
        <is>
          <t>injection_verification</t>
        </is>
      </c>
      <c r="E650" s="17" t="inlineStr"/>
      <c r="F650" s="16" t="inlineStr">
        <is>
          <t>DF16: Authorized Document Retrieval</t>
        </is>
      </c>
      <c r="G650" s="16" t="inlineStr"/>
      <c r="H650" s="16" t="inlineStr">
        <is>
          <t>THREMOLIA/S2</t>
        </is>
      </c>
    </row>
    <row r="651" ht="16" customHeight="1">
      <c r="A651" s="16" t="inlineStr">
        <is>
          <t>THREMOLIA-S2-F083</t>
        </is>
      </c>
      <c r="B651" s="16" t="inlineStr">
        <is>
          <t>THREMOLIA</t>
        </is>
      </c>
      <c r="C651" s="16" t="inlineStr">
        <is>
          <t>S2</t>
        </is>
      </c>
      <c r="D651" s="16" t="inlineStr">
        <is>
          <t>transit_data_general</t>
        </is>
      </c>
      <c r="E651" s="17" t="inlineStr"/>
      <c r="F651" s="16" t="inlineStr">
        <is>
          <t>DF16: Authorized Document Retrieval</t>
        </is>
      </c>
      <c r="G651" s="16" t="inlineStr"/>
      <c r="H651" s="16" t="inlineStr">
        <is>
          <t>THREMOLIA/S2</t>
        </is>
      </c>
    </row>
    <row r="652" ht="16" customHeight="1">
      <c r="A652" s="16" t="inlineStr">
        <is>
          <t>THREMOLIA-S2-F084</t>
        </is>
      </c>
      <c r="B652" s="16" t="inlineStr">
        <is>
          <t>THREMOLIA</t>
        </is>
      </c>
      <c r="C652" s="16" t="inlineStr">
        <is>
          <t>S2</t>
        </is>
      </c>
      <c r="D652" s="16" t="inlineStr"/>
      <c r="E652" s="17" t="inlineStr"/>
      <c r="F652" s="16" t="inlineStr">
        <is>
          <t>DF16: Authorized Document Retrieval</t>
        </is>
      </c>
      <c r="G652" s="16" t="inlineStr"/>
      <c r="H652" s="16" t="inlineStr">
        <is>
          <t>THREMOLIA/S2</t>
        </is>
      </c>
    </row>
    <row r="653" ht="16" customHeight="1">
      <c r="A653" s="16" t="inlineStr">
        <is>
          <t>THREMOLIA-S2-F085</t>
        </is>
      </c>
      <c r="B653" s="16" t="inlineStr">
        <is>
          <t>THREMOLIA</t>
        </is>
      </c>
      <c r="C653" s="16" t="inlineStr">
        <is>
          <t>S2</t>
        </is>
      </c>
      <c r="D653" s="16" t="inlineStr"/>
      <c r="E653" s="17" t="inlineStr"/>
      <c r="F653" s="16" t="inlineStr">
        <is>
          <t>DF17: Approved Document Context</t>
        </is>
      </c>
      <c r="G653" s="16" t="inlineStr"/>
      <c r="H653" s="16" t="inlineStr">
        <is>
          <t>THREMOLIA/S2</t>
        </is>
      </c>
    </row>
    <row r="654" ht="16" customHeight="1">
      <c r="A654" s="16" t="inlineStr">
        <is>
          <t>THREMOLIA-S2-F086</t>
        </is>
      </c>
      <c r="B654" s="16" t="inlineStr">
        <is>
          <t>THREMOLIA</t>
        </is>
      </c>
      <c r="C654" s="16" t="inlineStr">
        <is>
          <t>S2</t>
        </is>
      </c>
      <c r="D654" s="16" t="inlineStr">
        <is>
          <t>transit_data_general</t>
        </is>
      </c>
      <c r="E654" s="17" t="inlineStr"/>
      <c r="F654" s="16" t="inlineStr">
        <is>
          <t>DF17: Approved Document Context</t>
        </is>
      </c>
      <c r="G654" s="16" t="inlineStr"/>
      <c r="H654" s="16" t="inlineStr">
        <is>
          <t>THREMOLIA/S2</t>
        </is>
      </c>
    </row>
    <row r="655" ht="16" customHeight="1">
      <c r="A655" s="16" t="inlineStr">
        <is>
          <t>THREMOLIA-S2-F087</t>
        </is>
      </c>
      <c r="B655" s="16" t="inlineStr">
        <is>
          <t>THREMOLIA</t>
        </is>
      </c>
      <c r="C655" s="16" t="inlineStr">
        <is>
          <t>S2</t>
        </is>
      </c>
      <c r="D655" s="16" t="inlineStr"/>
      <c r="E655" s="17" t="inlineStr"/>
      <c r="F655" s="16" t="inlineStr">
        <is>
          <t>DF17: Approved Document Context</t>
        </is>
      </c>
      <c r="G655" s="16" t="inlineStr"/>
      <c r="H655" s="16" t="inlineStr">
        <is>
          <t>THREMOLIA/S2</t>
        </is>
      </c>
    </row>
    <row r="656" ht="16" customHeight="1">
      <c r="A656" s="16" t="inlineStr">
        <is>
          <t>THREMOLIA-S2-F088</t>
        </is>
      </c>
      <c r="B656" s="16" t="inlineStr">
        <is>
          <t>THREMOLIA</t>
        </is>
      </c>
      <c r="C656" s="16" t="inlineStr">
        <is>
          <t>S2</t>
        </is>
      </c>
      <c r="D656" s="16" t="inlineStr"/>
      <c r="E656" s="17" t="inlineStr"/>
      <c r="F656" s="16" t="inlineStr">
        <is>
          <t>DF18: Prompt + Approved Context</t>
        </is>
      </c>
      <c r="G656" s="16" t="inlineStr"/>
      <c r="H656" s="16" t="inlineStr">
        <is>
          <t>THREMOLIA/S2</t>
        </is>
      </c>
    </row>
    <row r="657" ht="16" customHeight="1">
      <c r="A657" s="16" t="inlineStr">
        <is>
          <t>THREMOLIA-S2-F089</t>
        </is>
      </c>
      <c r="B657" s="16" t="inlineStr">
        <is>
          <t>THREMOLIA</t>
        </is>
      </c>
      <c r="C657" s="16" t="inlineStr">
        <is>
          <t>S2</t>
        </is>
      </c>
      <c r="D657" s="16" t="inlineStr">
        <is>
          <t>sensitive_to_llm</t>
        </is>
      </c>
      <c r="E657" s="17" t="inlineStr"/>
      <c r="F657" s="16" t="inlineStr">
        <is>
          <t>DF18: Prompt + Approved Context</t>
        </is>
      </c>
      <c r="G657" s="16" t="inlineStr"/>
      <c r="H657" s="16" t="inlineStr">
        <is>
          <t>THREMOLIA/S2</t>
        </is>
      </c>
    </row>
    <row r="658" ht="16" customHeight="1">
      <c r="A658" s="16" t="inlineStr">
        <is>
          <t>THREMOLIA-S2-F090</t>
        </is>
      </c>
      <c r="B658" s="16" t="inlineStr">
        <is>
          <t>THREMOLIA</t>
        </is>
      </c>
      <c r="C658" s="16" t="inlineStr">
        <is>
          <t>S2</t>
        </is>
      </c>
      <c r="D658" s="16" t="inlineStr">
        <is>
          <t>dos_service</t>
        </is>
      </c>
      <c r="E658" s="17" t="inlineStr"/>
      <c r="F658" s="16" t="inlineStr">
        <is>
          <t>DF18: Prompt + Approved Context</t>
        </is>
      </c>
      <c r="G658" s="16" t="inlineStr"/>
      <c r="H658" s="16" t="inlineStr">
        <is>
          <t>THREMOLIA/S2</t>
        </is>
      </c>
    </row>
    <row r="659" ht="16" customHeight="1">
      <c r="A659" s="16" t="inlineStr">
        <is>
          <t>THREMOLIA-S2-F091</t>
        </is>
      </c>
      <c r="B659" s="16" t="inlineStr">
        <is>
          <t>THREMOLIA</t>
        </is>
      </c>
      <c r="C659" s="16" t="inlineStr">
        <is>
          <t>S2</t>
        </is>
      </c>
      <c r="D659" s="16" t="inlineStr">
        <is>
          <t>sensitive_to_llm</t>
        </is>
      </c>
      <c r="E659" s="17" t="inlineStr"/>
      <c r="F659" s="16" t="inlineStr">
        <is>
          <t>DF19: Prompt + Approved Context</t>
        </is>
      </c>
      <c r="G659" s="16" t="inlineStr"/>
      <c r="H659" s="16" t="inlineStr">
        <is>
          <t>THREMOLIA/S2</t>
        </is>
      </c>
    </row>
    <row r="660" ht="16" customHeight="1">
      <c r="A660" s="16" t="inlineStr">
        <is>
          <t>THREMOLIA-S2-F092</t>
        </is>
      </c>
      <c r="B660" s="16" t="inlineStr">
        <is>
          <t>THREMOLIA</t>
        </is>
      </c>
      <c r="C660" s="16" t="inlineStr">
        <is>
          <t>S2</t>
        </is>
      </c>
      <c r="D660" s="16" t="inlineStr">
        <is>
          <t>sensitive_to_llm</t>
        </is>
      </c>
      <c r="E660" s="17" t="inlineStr"/>
      <c r="F660" s="16" t="inlineStr">
        <is>
          <t>DF19: Prompt + Approved Context</t>
        </is>
      </c>
      <c r="G660" s="16" t="inlineStr"/>
      <c r="H660" s="16" t="inlineStr">
        <is>
          <t>THREMOLIA/S2</t>
        </is>
      </c>
    </row>
    <row r="661" ht="16" customHeight="1">
      <c r="A661" s="16" t="inlineStr">
        <is>
          <t>THREMOLIA-S2-F093</t>
        </is>
      </c>
      <c r="B661" s="16" t="inlineStr">
        <is>
          <t>THREMOLIA</t>
        </is>
      </c>
      <c r="C661" s="16" t="inlineStr">
        <is>
          <t>S2</t>
        </is>
      </c>
      <c r="D661" s="16" t="inlineStr">
        <is>
          <t>dos_service</t>
        </is>
      </c>
      <c r="E661" s="17" t="inlineStr"/>
      <c r="F661" s="16" t="inlineStr">
        <is>
          <t>DF19: Prompt + Approved Context</t>
        </is>
      </c>
      <c r="G661" s="16" t="inlineStr"/>
      <c r="H661" s="16" t="inlineStr">
        <is>
          <t>THREMOLIA/S2</t>
        </is>
      </c>
    </row>
    <row r="662" ht="16" customHeight="1">
      <c r="A662" s="16" t="inlineStr">
        <is>
          <t>THREMOLIA-S2-F094</t>
        </is>
      </c>
      <c r="B662" s="16" t="inlineStr">
        <is>
          <t>THREMOLIA</t>
        </is>
      </c>
      <c r="C662" s="16" t="inlineStr">
        <is>
          <t>S2</t>
        </is>
      </c>
      <c r="D662" s="16" t="inlineStr">
        <is>
          <t>model_substitution</t>
        </is>
      </c>
      <c r="E662" s="17" t="inlineStr"/>
      <c r="F662" s="16" t="inlineStr">
        <is>
          <t>DF20: Generated LLM Response</t>
        </is>
      </c>
      <c r="G662" s="16" t="inlineStr"/>
      <c r="H662" s="16" t="inlineStr">
        <is>
          <t>THREMOLIA/S2</t>
        </is>
      </c>
    </row>
    <row r="663" ht="16" customHeight="1">
      <c r="A663" s="16" t="inlineStr">
        <is>
          <t>THREMOLIA-S2-F095</t>
        </is>
      </c>
      <c r="B663" s="16" t="inlineStr">
        <is>
          <t>THREMOLIA</t>
        </is>
      </c>
      <c r="C663" s="16" t="inlineStr">
        <is>
          <t>S2</t>
        </is>
      </c>
      <c r="D663" s="16" t="inlineStr">
        <is>
          <t>transit_data_general</t>
        </is>
      </c>
      <c r="E663" s="17" t="inlineStr"/>
      <c r="F663" s="16" t="inlineStr">
        <is>
          <t>DF20: Generated LLM Response</t>
        </is>
      </c>
      <c r="G663" s="16" t="inlineStr"/>
      <c r="H663" s="16" t="inlineStr">
        <is>
          <t>THREMOLIA/S2</t>
        </is>
      </c>
    </row>
    <row r="664" ht="16" customHeight="1">
      <c r="A664" s="16" t="inlineStr">
        <is>
          <t>THREMOLIA-S2-F096</t>
        </is>
      </c>
      <c r="B664" s="16" t="inlineStr">
        <is>
          <t>THREMOLIA</t>
        </is>
      </c>
      <c r="C664" s="16" t="inlineStr">
        <is>
          <t>S2</t>
        </is>
      </c>
      <c r="D664" s="16" t="inlineStr">
        <is>
          <t>llm_unavailable</t>
        </is>
      </c>
      <c r="E664" s="17" t="inlineStr"/>
      <c r="F664" s="16" t="inlineStr">
        <is>
          <t>DF20: Generated LLM Response</t>
        </is>
      </c>
      <c r="G664" s="16" t="inlineStr"/>
      <c r="H664" s="16" t="inlineStr">
        <is>
          <t>THREMOLIA/S2</t>
        </is>
      </c>
    </row>
    <row r="665" ht="16" customHeight="1">
      <c r="A665" s="16" t="inlineStr">
        <is>
          <t>THREMOLIA-S2-F097</t>
        </is>
      </c>
      <c r="B665" s="16" t="inlineStr">
        <is>
          <t>THREMOLIA</t>
        </is>
      </c>
      <c r="C665" s="16" t="inlineStr">
        <is>
          <t>S2</t>
        </is>
      </c>
      <c r="D665" s="16" t="inlineStr"/>
      <c r="E665" s="17" t="inlineStr"/>
      <c r="F665" s="16" t="inlineStr">
        <is>
          <t>DF21: Processed AI Response</t>
        </is>
      </c>
      <c r="G665" s="16" t="inlineStr"/>
      <c r="H665" s="16" t="inlineStr">
        <is>
          <t>THREMOLIA/S2</t>
        </is>
      </c>
    </row>
    <row r="666" ht="16" customHeight="1">
      <c r="A666" s="16" t="inlineStr">
        <is>
          <t>THREMOLIA-S2-F098</t>
        </is>
      </c>
      <c r="B666" s="16" t="inlineStr">
        <is>
          <t>THREMOLIA</t>
        </is>
      </c>
      <c r="C666" s="16" t="inlineStr">
        <is>
          <t>S2</t>
        </is>
      </c>
      <c r="D666" s="16" t="inlineStr">
        <is>
          <t>transit_data_general</t>
        </is>
      </c>
      <c r="E666" s="17" t="inlineStr"/>
      <c r="F666" s="16" t="inlineStr">
        <is>
          <t>DF21: Processed AI Response</t>
        </is>
      </c>
      <c r="G666" s="16" t="inlineStr"/>
      <c r="H666" s="16" t="inlineStr">
        <is>
          <t>THREMOLIA/S2</t>
        </is>
      </c>
    </row>
    <row r="667" ht="16" customHeight="1">
      <c r="A667" s="16" t="inlineStr">
        <is>
          <t>THREMOLIA-S2-F099</t>
        </is>
      </c>
      <c r="B667" s="16" t="inlineStr">
        <is>
          <t>THREMOLIA</t>
        </is>
      </c>
      <c r="C667" s="16" t="inlineStr">
        <is>
          <t>S2</t>
        </is>
      </c>
      <c r="D667" s="16" t="inlineStr"/>
      <c r="E667" s="17" t="inlineStr"/>
      <c r="F667" s="16" t="inlineStr">
        <is>
          <t>DF21: Processed AI Response</t>
        </is>
      </c>
      <c r="G667" s="16" t="inlineStr"/>
      <c r="H667" s="16" t="inlineStr">
        <is>
          <t>THREMOLIA/S2</t>
        </is>
      </c>
    </row>
    <row r="668" ht="16" customHeight="1">
      <c r="A668" s="16" t="inlineStr">
        <is>
          <t>THREMOLIA-S2-F100</t>
        </is>
      </c>
      <c r="B668" s="16" t="inlineStr">
        <is>
          <t>THREMOLIA</t>
        </is>
      </c>
      <c r="C668" s="16" t="inlineStr">
        <is>
          <t>S2</t>
        </is>
      </c>
      <c r="D668" s="16" t="inlineStr"/>
      <c r="E668" s="17" t="inlineStr"/>
      <c r="F668" s="16" t="inlineStr">
        <is>
          <t>DF22: Generated Answer</t>
        </is>
      </c>
      <c r="G668" s="16" t="inlineStr"/>
      <c r="H668" s="16" t="inlineStr">
        <is>
          <t>THREMOLIA/S2</t>
        </is>
      </c>
    </row>
    <row r="669" ht="16" customHeight="1">
      <c r="A669" s="16" t="inlineStr">
        <is>
          <t>THREMOLIA-S2-F101</t>
        </is>
      </c>
      <c r="B669" s="16" t="inlineStr">
        <is>
          <t>THREMOLIA</t>
        </is>
      </c>
      <c r="C669" s="16" t="inlineStr">
        <is>
          <t>S2</t>
        </is>
      </c>
      <c r="D669" s="16" t="inlineStr">
        <is>
          <t>transit_data_general</t>
        </is>
      </c>
      <c r="E669" s="17" t="inlineStr"/>
      <c r="F669" s="16" t="inlineStr">
        <is>
          <t>DF22: Generated Answer</t>
        </is>
      </c>
      <c r="G669" s="16" t="inlineStr"/>
      <c r="H669" s="16" t="inlineStr">
        <is>
          <t>THREMOLIA/S2</t>
        </is>
      </c>
    </row>
    <row r="670" ht="16" customHeight="1">
      <c r="A670" s="16" t="inlineStr">
        <is>
          <t>THREMOLIA-S2-F102</t>
        </is>
      </c>
      <c r="B670" s="16" t="inlineStr">
        <is>
          <t>THREMOLIA</t>
        </is>
      </c>
      <c r="C670" s="16" t="inlineStr">
        <is>
          <t>S2</t>
        </is>
      </c>
      <c r="D670" s="16" t="inlineStr"/>
      <c r="E670" s="17" t="inlineStr"/>
      <c r="F670" s="16" t="inlineStr">
        <is>
          <t>DF22: Generated Answer</t>
        </is>
      </c>
      <c r="G670" s="16" t="inlineStr"/>
      <c r="H670" s="16" t="inlineStr">
        <is>
          <t>THREMOLIA/S2</t>
        </is>
      </c>
    </row>
    <row r="671" ht="16" customHeight="1">
      <c r="A671" s="16" t="inlineStr">
        <is>
          <t>THREMOLIA-S2-F103</t>
        </is>
      </c>
      <c r="B671" s="16" t="inlineStr">
        <is>
          <t>THREMOLIA</t>
        </is>
      </c>
      <c r="C671" s="16" t="inlineStr">
        <is>
          <t>S2</t>
        </is>
      </c>
      <c r="D671" s="16" t="inlineStr">
        <is>
          <t>stored_active_content</t>
        </is>
      </c>
      <c r="E671" s="17" t="inlineStr"/>
      <c r="F671" s="16" t="inlineStr">
        <is>
          <t>DF23: Answer Display</t>
        </is>
      </c>
      <c r="G671" s="16" t="inlineStr"/>
      <c r="H671" s="16" t="inlineStr">
        <is>
          <t>THREMOLIA/S2</t>
        </is>
      </c>
    </row>
    <row r="672" ht="16" customHeight="1">
      <c r="A672" s="16" t="inlineStr">
        <is>
          <t>THREMOLIA-S2-F104</t>
        </is>
      </c>
      <c r="B672" s="16" t="inlineStr">
        <is>
          <t>THREMOLIA</t>
        </is>
      </c>
      <c r="C672" s="16" t="inlineStr">
        <is>
          <t>S2</t>
        </is>
      </c>
      <c r="D672" s="16" t="inlineStr">
        <is>
          <t>transit_data_general</t>
        </is>
      </c>
      <c r="E672" s="17" t="inlineStr"/>
      <c r="F672" s="16" t="inlineStr">
        <is>
          <t>DF23: Answer Display</t>
        </is>
      </c>
      <c r="G672" s="16" t="inlineStr"/>
      <c r="H672" s="16" t="inlineStr">
        <is>
          <t>THREMOLIA/S2</t>
        </is>
      </c>
    </row>
    <row r="673" ht="16" customHeight="1">
      <c r="A673" s="16" t="inlineStr">
        <is>
          <t>THREMOLIA-S2-F105</t>
        </is>
      </c>
      <c r="B673" s="16" t="inlineStr">
        <is>
          <t>THREMOLIA</t>
        </is>
      </c>
      <c r="C673" s="16" t="inlineStr">
        <is>
          <t>S2</t>
        </is>
      </c>
      <c r="D673" s="16" t="inlineStr"/>
      <c r="E673" s="17" t="inlineStr"/>
      <c r="F673" s="16" t="inlineStr">
        <is>
          <t>DF23: Answer Display</t>
        </is>
      </c>
      <c r="G673" s="16" t="inlineStr"/>
      <c r="H673" s="16" t="inlineStr">
        <is>
          <t>THREMOLIA/S2</t>
        </is>
      </c>
    </row>
    <row r="674" ht="16" customHeight="1">
      <c r="A674" s="16" t="inlineStr">
        <is>
          <t>OWASP-S3-F001</t>
        </is>
      </c>
      <c r="B674" s="16" t="inlineStr">
        <is>
          <t>OWASP</t>
        </is>
      </c>
      <c r="C674" s="16" t="inlineStr">
        <is>
          <t>S3</t>
        </is>
      </c>
      <c r="D674" s="16" t="inlineStr">
        <is>
          <t>no_suggestion</t>
        </is>
      </c>
      <c r="E674" s="17" t="inlineStr">
        <is>
          <t>No Suggestions available</t>
        </is>
      </c>
      <c r="F674" s="16" t="inlineStr">
        <is>
          <t>Registered User (Browser)</t>
        </is>
      </c>
      <c r="G674" s="16" t="inlineStr"/>
      <c r="H674" s="16" t="inlineStr">
        <is>
          <t>OWASP/S3</t>
        </is>
      </c>
    </row>
    <row r="675" ht="16" customHeight="1">
      <c r="A675" s="16" t="inlineStr">
        <is>
          <t>OWASP-S3-F002</t>
        </is>
      </c>
      <c r="B675" s="16" t="inlineStr">
        <is>
          <t>OWASP</t>
        </is>
      </c>
      <c r="C675" s="16" t="inlineStr">
        <is>
          <t>S3</t>
        </is>
      </c>
      <c r="D675" s="16" t="inlineStr">
        <is>
          <t>excessive_db_scope</t>
        </is>
      </c>
      <c r="E675" s="17" t="inlineStr">
        <is>
          <t>Least privilege</t>
        </is>
      </c>
      <c r="F675" s="16" t="inlineStr">
        <is>
          <t>Web Frontend Interface</t>
        </is>
      </c>
      <c r="G675" s="16" t="inlineStr"/>
      <c r="H675" s="16" t="inlineStr">
        <is>
          <t>OWASP/S3</t>
        </is>
      </c>
    </row>
    <row r="676" ht="16" customHeight="1">
      <c r="A676" s="16" t="inlineStr">
        <is>
          <t>OWASP-S3-F003</t>
        </is>
      </c>
      <c r="B676" s="16" t="inlineStr">
        <is>
          <t>OWASP</t>
        </is>
      </c>
      <c r="C676" s="16" t="inlineStr">
        <is>
          <t>S3</t>
        </is>
      </c>
      <c r="D676" s="16" t="inlineStr">
        <is>
          <t>expedition</t>
        </is>
      </c>
      <c r="E676" s="17" t="inlineStr">
        <is>
          <t>Expedition</t>
        </is>
      </c>
      <c r="F676" s="16" t="inlineStr">
        <is>
          <t>Web Frontend Interface</t>
        </is>
      </c>
      <c r="G676" s="16" t="inlineStr"/>
      <c r="H676" s="16" t="inlineStr">
        <is>
          <t>OWASP/S3</t>
        </is>
      </c>
    </row>
    <row r="677" ht="16" customHeight="1">
      <c r="A677" s="16" t="inlineStr">
        <is>
          <t>OWASP-S3-F004</t>
        </is>
      </c>
      <c r="B677" s="16" t="inlineStr">
        <is>
          <t>OWASP</t>
        </is>
      </c>
      <c r="C677" s="16" t="inlineStr">
        <is>
          <t>S3</t>
        </is>
      </c>
      <c r="D677" s="16" t="inlineStr">
        <is>
          <t>recon</t>
        </is>
      </c>
      <c r="E677" s="17" t="inlineStr">
        <is>
          <t>Vulnerability scanning</t>
        </is>
      </c>
      <c r="F677" s="16" t="inlineStr">
        <is>
          <t>Web Frontend Interface</t>
        </is>
      </c>
      <c r="G677" s="16" t="inlineStr"/>
      <c r="H677" s="16" t="inlineStr">
        <is>
          <t>OWASP/S3</t>
        </is>
      </c>
    </row>
    <row r="678" ht="16" customHeight="1">
      <c r="A678" s="16" t="inlineStr">
        <is>
          <t>OWASP-S3-F005</t>
        </is>
      </c>
      <c r="B678" s="16" t="inlineStr">
        <is>
          <t>OWASP</t>
        </is>
      </c>
      <c r="C678" s="16" t="inlineStr">
        <is>
          <t>S3</t>
        </is>
      </c>
      <c r="D678" s="16" t="inlineStr">
        <is>
          <t>dos_service</t>
        </is>
      </c>
      <c r="E678" s="17" t="inlineStr">
        <is>
          <t>Denial of Service</t>
        </is>
      </c>
      <c r="F678" s="16" t="inlineStr">
        <is>
          <t>Web Frontend Interface</t>
        </is>
      </c>
      <c r="G678" s="16" t="inlineStr"/>
      <c r="H678" s="16" t="inlineStr">
        <is>
          <t>OWASP/S3</t>
        </is>
      </c>
    </row>
    <row r="679" ht="16" customHeight="1">
      <c r="A679" s="16" t="inlineStr">
        <is>
          <t>OWASP-S3-F006</t>
        </is>
      </c>
      <c r="B679" s="16" t="inlineStr">
        <is>
          <t>OWASP</t>
        </is>
      </c>
      <c r="C679" s="16" t="inlineStr">
        <is>
          <t>S3</t>
        </is>
      </c>
      <c r="D679" s="16" t="inlineStr">
        <is>
          <t>recon</t>
        </is>
      </c>
      <c r="E679" s="17" t="inlineStr">
        <is>
          <t>Footprinting</t>
        </is>
      </c>
      <c r="F679" s="16" t="inlineStr">
        <is>
          <t>Web Frontend Interface</t>
        </is>
      </c>
      <c r="G679" s="16" t="inlineStr"/>
      <c r="H679" s="16" t="inlineStr">
        <is>
          <t>OWASP/S3</t>
        </is>
      </c>
    </row>
    <row r="680" ht="16" customHeight="1">
      <c r="A680" s="16" t="inlineStr">
        <is>
          <t>OWASP-S3-F007</t>
        </is>
      </c>
      <c r="B680" s="16" t="inlineStr">
        <is>
          <t>OWASP</t>
        </is>
      </c>
      <c r="C680" s="16" t="inlineStr">
        <is>
          <t>S3</t>
        </is>
      </c>
      <c r="D680" s="16" t="inlineStr">
        <is>
          <t>excessive_db_scope</t>
        </is>
      </c>
      <c r="E680" s="17" t="inlineStr">
        <is>
          <t>Least privilege</t>
        </is>
      </c>
      <c r="F680" s="16" t="inlineStr">
        <is>
          <t>Account Management Service</t>
        </is>
      </c>
      <c r="G680" s="16" t="inlineStr"/>
      <c r="H680" s="16" t="inlineStr">
        <is>
          <t>OWASP/S3</t>
        </is>
      </c>
    </row>
    <row r="681" ht="16" customHeight="1">
      <c r="A681" s="16" t="inlineStr">
        <is>
          <t>OWASP-S3-F008</t>
        </is>
      </c>
      <c r="B681" s="16" t="inlineStr">
        <is>
          <t>OWASP</t>
        </is>
      </c>
      <c r="C681" s="16" t="inlineStr">
        <is>
          <t>S3</t>
        </is>
      </c>
      <c r="D681" s="16" t="inlineStr">
        <is>
          <t>expedition</t>
        </is>
      </c>
      <c r="E681" s="17" t="inlineStr">
        <is>
          <t>Expedition</t>
        </is>
      </c>
      <c r="F681" s="16" t="inlineStr">
        <is>
          <t>Account Management Service</t>
        </is>
      </c>
      <c r="G681" s="16" t="inlineStr"/>
      <c r="H681" s="16" t="inlineStr">
        <is>
          <t>OWASP/S3</t>
        </is>
      </c>
    </row>
    <row r="682" ht="16" customHeight="1">
      <c r="A682" s="16" t="inlineStr">
        <is>
          <t>OWASP-S3-F009</t>
        </is>
      </c>
      <c r="B682" s="16" t="inlineStr">
        <is>
          <t>OWASP</t>
        </is>
      </c>
      <c r="C682" s="16" t="inlineStr">
        <is>
          <t>S3</t>
        </is>
      </c>
      <c r="D682" s="16" t="inlineStr">
        <is>
          <t>recon</t>
        </is>
      </c>
      <c r="E682" s="17" t="inlineStr">
        <is>
          <t>Vulnerability scanning</t>
        </is>
      </c>
      <c r="F682" s="16" t="inlineStr">
        <is>
          <t>Account Management Service</t>
        </is>
      </c>
      <c r="G682" s="16" t="inlineStr"/>
      <c r="H682" s="16" t="inlineStr">
        <is>
          <t>OWASP/S3</t>
        </is>
      </c>
    </row>
    <row r="683" ht="16" customHeight="1">
      <c r="A683" s="16" t="inlineStr">
        <is>
          <t>OWASP-S3-F010</t>
        </is>
      </c>
      <c r="B683" s="16" t="inlineStr">
        <is>
          <t>OWASP</t>
        </is>
      </c>
      <c r="C683" s="16" t="inlineStr">
        <is>
          <t>S3</t>
        </is>
      </c>
      <c r="D683" s="16" t="inlineStr">
        <is>
          <t>dos_service</t>
        </is>
      </c>
      <c r="E683" s="17" t="inlineStr">
        <is>
          <t>Denial of Service</t>
        </is>
      </c>
      <c r="F683" s="16" t="inlineStr">
        <is>
          <t>Account Management Service</t>
        </is>
      </c>
      <c r="G683" s="16" t="inlineStr"/>
      <c r="H683" s="16" t="inlineStr">
        <is>
          <t>OWASP/S3</t>
        </is>
      </c>
    </row>
    <row r="684" ht="16" customHeight="1">
      <c r="A684" s="16" t="inlineStr">
        <is>
          <t>OWASP-S3-F011</t>
        </is>
      </c>
      <c r="B684" s="16" t="inlineStr">
        <is>
          <t>OWASP</t>
        </is>
      </c>
      <c r="C684" s="16" t="inlineStr">
        <is>
          <t>S3</t>
        </is>
      </c>
      <c r="D684" s="16" t="inlineStr">
        <is>
          <t>recon</t>
        </is>
      </c>
      <c r="E684" s="17" t="inlineStr">
        <is>
          <t>Footprinting</t>
        </is>
      </c>
      <c r="F684" s="16" t="inlineStr">
        <is>
          <t>Account Management Service</t>
        </is>
      </c>
      <c r="G684" s="16" t="inlineStr"/>
      <c r="H684" s="16" t="inlineStr">
        <is>
          <t>OWASP/S3</t>
        </is>
      </c>
    </row>
    <row r="685" ht="16" customHeight="1">
      <c r="A685" s="16" t="inlineStr">
        <is>
          <t>OWASP-S3-F012</t>
        </is>
      </c>
      <c r="B685" s="16" t="inlineStr">
        <is>
          <t>OWASP</t>
        </is>
      </c>
      <c r="C685" s="16" t="inlineStr">
        <is>
          <t>S3</t>
        </is>
      </c>
      <c r="D685" s="16" t="inlineStr">
        <is>
          <t>excessive_db_scope</t>
        </is>
      </c>
      <c r="E685" s="17" t="inlineStr">
        <is>
          <t>Least privilege</t>
        </is>
      </c>
      <c r="F685" s="16" t="inlineStr">
        <is>
          <t>User Profile API Handler</t>
        </is>
      </c>
      <c r="G685" s="16" t="inlineStr"/>
      <c r="H685" s="16" t="inlineStr">
        <is>
          <t>OWASP/S3</t>
        </is>
      </c>
    </row>
    <row r="686" ht="16" customHeight="1">
      <c r="A686" s="16" t="inlineStr">
        <is>
          <t>OWASP-S3-F013</t>
        </is>
      </c>
      <c r="B686" s="16" t="inlineStr">
        <is>
          <t>OWASP</t>
        </is>
      </c>
      <c r="C686" s="16" t="inlineStr">
        <is>
          <t>S3</t>
        </is>
      </c>
      <c r="D686" s="16" t="inlineStr">
        <is>
          <t>expedition</t>
        </is>
      </c>
      <c r="E686" s="17" t="inlineStr">
        <is>
          <t>Expedition</t>
        </is>
      </c>
      <c r="F686" s="16" t="inlineStr">
        <is>
          <t>User Profile API Handler</t>
        </is>
      </c>
      <c r="G686" s="16" t="inlineStr"/>
      <c r="H686" s="16" t="inlineStr">
        <is>
          <t>OWASP/S3</t>
        </is>
      </c>
    </row>
    <row r="687" ht="16" customHeight="1">
      <c r="A687" s="16" t="inlineStr">
        <is>
          <t>OWASP-S3-F014</t>
        </is>
      </c>
      <c r="B687" s="16" t="inlineStr">
        <is>
          <t>OWASP</t>
        </is>
      </c>
      <c r="C687" s="16" t="inlineStr">
        <is>
          <t>S3</t>
        </is>
      </c>
      <c r="D687" s="16" t="inlineStr">
        <is>
          <t>recon</t>
        </is>
      </c>
      <c r="E687" s="17" t="inlineStr">
        <is>
          <t>Vulnerability scanning</t>
        </is>
      </c>
      <c r="F687" s="16" t="inlineStr">
        <is>
          <t>User Profile API Handler</t>
        </is>
      </c>
      <c r="G687" s="16" t="inlineStr"/>
      <c r="H687" s="16" t="inlineStr">
        <is>
          <t>OWASP/S3</t>
        </is>
      </c>
    </row>
    <row r="688" ht="16" customHeight="1">
      <c r="A688" s="16" t="inlineStr">
        <is>
          <t>OWASP-S3-F015</t>
        </is>
      </c>
      <c r="B688" s="16" t="inlineStr">
        <is>
          <t>OWASP</t>
        </is>
      </c>
      <c r="C688" s="16" t="inlineStr">
        <is>
          <t>S3</t>
        </is>
      </c>
      <c r="D688" s="16" t="inlineStr">
        <is>
          <t>dos_service</t>
        </is>
      </c>
      <c r="E688" s="17" t="inlineStr">
        <is>
          <t>Denial of Service</t>
        </is>
      </c>
      <c r="F688" s="16" t="inlineStr">
        <is>
          <t>User Profile API Handler</t>
        </is>
      </c>
      <c r="G688" s="16" t="inlineStr"/>
      <c r="H688" s="16" t="inlineStr">
        <is>
          <t>OWASP/S3</t>
        </is>
      </c>
    </row>
    <row r="689" ht="16" customHeight="1">
      <c r="A689" s="16" t="inlineStr">
        <is>
          <t>OWASP-S3-F016</t>
        </is>
      </c>
      <c r="B689" s="16" t="inlineStr">
        <is>
          <t>OWASP</t>
        </is>
      </c>
      <c r="C689" s="16" t="inlineStr">
        <is>
          <t>S3</t>
        </is>
      </c>
      <c r="D689" s="16" t="inlineStr">
        <is>
          <t>recon</t>
        </is>
      </c>
      <c r="E689" s="17" t="inlineStr">
        <is>
          <t>Footprinting</t>
        </is>
      </c>
      <c r="F689" s="16" t="inlineStr">
        <is>
          <t>User Profile API Handler</t>
        </is>
      </c>
      <c r="G689" s="16" t="inlineStr"/>
      <c r="H689" s="16" t="inlineStr">
        <is>
          <t>OWASP/S3</t>
        </is>
      </c>
    </row>
    <row r="690" ht="16" customHeight="1">
      <c r="A690" s="16" t="inlineStr">
        <is>
          <t>OWASP-S3-F017</t>
        </is>
      </c>
      <c r="B690" s="16" t="inlineStr">
        <is>
          <t>OWASP</t>
        </is>
      </c>
      <c r="C690" s="16" t="inlineStr">
        <is>
          <t>S3</t>
        </is>
      </c>
      <c r="D690" s="16" t="inlineStr">
        <is>
          <t>mass_disclosure</t>
        </is>
      </c>
      <c r="E690" s="17" t="inlineStr">
        <is>
          <t>Scraping</t>
        </is>
      </c>
      <c r="F690" s="16" t="inlineStr">
        <is>
          <t>Backend User Database</t>
        </is>
      </c>
      <c r="G690" s="16" t="inlineStr"/>
      <c r="H690" s="16" t="inlineStr">
        <is>
          <t>OWASP/S3</t>
        </is>
      </c>
    </row>
    <row r="691" ht="16" customHeight="1">
      <c r="A691" s="16" t="inlineStr">
        <is>
          <t>OWASP-S3-F018</t>
        </is>
      </c>
      <c r="B691" s="16" t="inlineStr">
        <is>
          <t>OWASP</t>
        </is>
      </c>
      <c r="C691" s="16" t="inlineStr">
        <is>
          <t>S3</t>
        </is>
      </c>
      <c r="D691" s="16" t="inlineStr">
        <is>
          <t>skew_spam</t>
        </is>
      </c>
      <c r="E691" s="17" t="inlineStr">
        <is>
          <t>Skewing</t>
        </is>
      </c>
      <c r="F691" s="16" t="inlineStr">
        <is>
          <t>Backend User Database</t>
        </is>
      </c>
      <c r="G691" s="16" t="inlineStr"/>
      <c r="H691" s="16" t="inlineStr">
        <is>
          <t>OWASP/S3</t>
        </is>
      </c>
    </row>
    <row r="692" ht="16" customHeight="1">
      <c r="A692" s="16" t="inlineStr">
        <is>
          <t>OWASP-S3-F019</t>
        </is>
      </c>
      <c r="B692" s="16" t="inlineStr">
        <is>
          <t>OWASP</t>
        </is>
      </c>
      <c r="C692" s="16" t="inlineStr">
        <is>
          <t>S3</t>
        </is>
      </c>
      <c r="D692" s="16" t="inlineStr">
        <is>
          <t>stored_injection</t>
        </is>
      </c>
      <c r="E692" s="17" t="inlineStr">
        <is>
          <t>Spamming</t>
        </is>
      </c>
      <c r="F692" s="16" t="inlineStr">
        <is>
          <t>Backend User Database</t>
        </is>
      </c>
      <c r="G692" s="16" t="inlineStr"/>
      <c r="H692" s="16" t="inlineStr">
        <is>
          <t>OWASP/S3</t>
        </is>
      </c>
    </row>
    <row r="693" ht="16" customHeight="1">
      <c r="A693" s="16" t="inlineStr">
        <is>
          <t>OWASP-S3-F020</t>
        </is>
      </c>
      <c r="B693" s="16" t="inlineStr">
        <is>
          <t>OWASP</t>
        </is>
      </c>
      <c r="C693" s="16" t="inlineStr">
        <is>
          <t>S3</t>
        </is>
      </c>
      <c r="D693" s="16" t="inlineStr">
        <is>
          <t>brute_force</t>
        </is>
      </c>
      <c r="E693" s="17" t="inlineStr">
        <is>
          <t>Credential cracking</t>
        </is>
      </c>
      <c r="F693" s="16" t="inlineStr">
        <is>
          <t>Backend User Database</t>
        </is>
      </c>
      <c r="G693" s="16" t="inlineStr"/>
      <c r="H693" s="16" t="inlineStr">
        <is>
          <t>OWASP/S3</t>
        </is>
      </c>
    </row>
    <row r="694" ht="16" customHeight="1">
      <c r="A694" s="16" t="inlineStr">
        <is>
          <t>OWASP-S3-F021</t>
        </is>
      </c>
      <c r="B694" s="16" t="inlineStr">
        <is>
          <t>OWASP</t>
        </is>
      </c>
      <c r="C694" s="16" t="inlineStr">
        <is>
          <t>S3</t>
        </is>
      </c>
      <c r="D694" s="16" t="inlineStr"/>
      <c r="E694" s="17" t="inlineStr">
        <is>
          <t>Account creation</t>
        </is>
      </c>
      <c r="F694" s="16" t="inlineStr">
        <is>
          <t>Backend User Database</t>
        </is>
      </c>
      <c r="G694" s="16" t="inlineStr"/>
      <c r="H694" s="16" t="inlineStr">
        <is>
          <t>OWASP/S3</t>
        </is>
      </c>
    </row>
    <row r="695" ht="16" customHeight="1">
      <c r="A695" s="16" t="inlineStr">
        <is>
          <t>OWASP-S3-F022</t>
        </is>
      </c>
      <c r="B695" s="16" t="inlineStr">
        <is>
          <t>OWASP</t>
        </is>
      </c>
      <c r="C695" s="16" t="inlineStr">
        <is>
          <t>S3</t>
        </is>
      </c>
      <c r="D695" s="16" t="inlineStr">
        <is>
          <t>mass_disclosure</t>
        </is>
      </c>
      <c r="E695" s="17" t="inlineStr">
        <is>
          <t>Account aggregation</t>
        </is>
      </c>
      <c r="F695" s="16" t="inlineStr">
        <is>
          <t>Backend User Database</t>
        </is>
      </c>
      <c r="G695" s="16" t="inlineStr"/>
      <c r="H695" s="16" t="inlineStr">
        <is>
          <t>OWASP/S3</t>
        </is>
      </c>
    </row>
    <row r="696" ht="16" customHeight="1">
      <c r="A696" s="16" t="inlineStr">
        <is>
          <t>OWASP-S3-F023</t>
        </is>
      </c>
      <c r="B696" s="16" t="inlineStr">
        <is>
          <t>OWASP</t>
        </is>
      </c>
      <c r="C696" s="16" t="inlineStr">
        <is>
          <t>S3</t>
        </is>
      </c>
      <c r="D696" s="16" t="inlineStr"/>
      <c r="E696" s="17" t="inlineStr">
        <is>
          <t>Vulnerable encryption algorithms</t>
        </is>
      </c>
      <c r="F696" s="16" t="inlineStr">
        <is>
          <t>Backend User Database</t>
        </is>
      </c>
      <c r="G696" s="16" t="inlineStr"/>
      <c r="H696" s="16" t="inlineStr">
        <is>
          <t>OWASP/S3</t>
        </is>
      </c>
    </row>
    <row r="697" ht="16" customHeight="1">
      <c r="A697" s="16" t="inlineStr">
        <is>
          <t>OWASP-S3-F024</t>
        </is>
      </c>
      <c r="B697" s="16" t="inlineStr">
        <is>
          <t>OWASP</t>
        </is>
      </c>
      <c r="C697" s="16" t="inlineStr">
        <is>
          <t>S3</t>
        </is>
      </c>
      <c r="D697" s="16" t="inlineStr">
        <is>
          <t>transit_creds</t>
        </is>
      </c>
      <c r="E697" s="17" t="inlineStr">
        <is>
          <t>Vulnerable transport protocol</t>
        </is>
      </c>
      <c r="F697" s="16" t="inlineStr">
        <is>
          <t>Backend User Database</t>
        </is>
      </c>
      <c r="G697" s="16" t="inlineStr"/>
      <c r="H697" s="16" t="inlineStr">
        <is>
          <t>OWASP/S3</t>
        </is>
      </c>
    </row>
    <row r="698" ht="16" customHeight="1">
      <c r="A698" s="16" t="inlineStr">
        <is>
          <t>OWASP-S3-F025</t>
        </is>
      </c>
      <c r="B698" s="16" t="inlineStr">
        <is>
          <t>OWASP</t>
        </is>
      </c>
      <c r="C698" s="16" t="inlineStr">
        <is>
          <t>S3</t>
        </is>
      </c>
      <c r="D698" s="16" t="inlineStr">
        <is>
          <t>recon</t>
        </is>
      </c>
      <c r="E698" s="17" t="inlineStr">
        <is>
          <t>Fingerprinting</t>
        </is>
      </c>
      <c r="F698" s="16" t="inlineStr">
        <is>
          <t>Backend User Database</t>
        </is>
      </c>
      <c r="G698" s="16" t="inlineStr"/>
      <c r="H698" s="16" t="inlineStr">
        <is>
          <t>OWASP/S3</t>
        </is>
      </c>
    </row>
    <row r="699" ht="16" customHeight="1">
      <c r="A699" s="16" t="inlineStr">
        <is>
          <t>OWASP-S3-F026</t>
        </is>
      </c>
      <c r="B699" s="16" t="inlineStr">
        <is>
          <t>OWASP</t>
        </is>
      </c>
      <c r="C699" s="16" t="inlineStr">
        <is>
          <t>S3</t>
        </is>
      </c>
      <c r="D699" s="16" t="inlineStr">
        <is>
          <t>transit_creds</t>
        </is>
      </c>
      <c r="E699" s="17" t="inlineStr">
        <is>
          <t>Vulnerable transport protocol</t>
        </is>
      </c>
      <c r="F699" s="16" t="inlineStr">
        <is>
          <t>Backend User Database</t>
        </is>
      </c>
      <c r="G699" s="16" t="inlineStr"/>
      <c r="H699" s="16" t="inlineStr">
        <is>
          <t>OWASP/S3</t>
        </is>
      </c>
    </row>
    <row r="700" ht="16" customHeight="1">
      <c r="A700" s="16" t="inlineStr">
        <is>
          <t>OWASP-S3-F027</t>
        </is>
      </c>
      <c r="B700" s="16" t="inlineStr">
        <is>
          <t>OWASP</t>
        </is>
      </c>
      <c r="C700" s="16" t="inlineStr">
        <is>
          <t>S3</t>
        </is>
      </c>
      <c r="D700" s="16" t="inlineStr">
        <is>
          <t>transit_creds</t>
        </is>
      </c>
      <c r="E700" s="17" t="inlineStr">
        <is>
          <t>Vulnerable transport protocol</t>
        </is>
      </c>
      <c r="F700" s="16" t="inlineStr">
        <is>
          <t>Backend User Database</t>
        </is>
      </c>
      <c r="G700" s="16" t="inlineStr"/>
      <c r="H700" s="16" t="inlineStr">
        <is>
          <t>OWASP/S3</t>
        </is>
      </c>
    </row>
    <row r="701" ht="16" customHeight="1">
      <c r="A701" s="16" t="inlineStr">
        <is>
          <t>OWASP-S3-F028</t>
        </is>
      </c>
      <c r="B701" s="16" t="inlineStr">
        <is>
          <t>OWASP</t>
        </is>
      </c>
      <c r="C701" s="16" t="inlineStr">
        <is>
          <t>S3</t>
        </is>
      </c>
      <c r="D701" s="16" t="inlineStr">
        <is>
          <t>transit_creds</t>
        </is>
      </c>
      <c r="E701" s="17" t="inlineStr">
        <is>
          <t>Vulnerable transport protocol</t>
        </is>
      </c>
      <c r="F701" s="16" t="inlineStr">
        <is>
          <t>Backend User Database</t>
        </is>
      </c>
      <c r="G701" s="16" t="inlineStr"/>
      <c r="H701" s="16" t="inlineStr">
        <is>
          <t>OWASP/S3</t>
        </is>
      </c>
    </row>
    <row r="702" ht="16" customHeight="1">
      <c r="A702" s="16" t="inlineStr">
        <is>
          <t>OWASP-S3-F029</t>
        </is>
      </c>
      <c r="B702" s="16" t="inlineStr">
        <is>
          <t>OWASP</t>
        </is>
      </c>
      <c r="C702" s="16" t="inlineStr">
        <is>
          <t>S3</t>
        </is>
      </c>
      <c r="D702" s="16" t="inlineStr">
        <is>
          <t>transit_creds</t>
        </is>
      </c>
      <c r="E702" s="17" t="inlineStr">
        <is>
          <t>Vulnerable transport protocol</t>
        </is>
      </c>
      <c r="F702" s="16" t="inlineStr">
        <is>
          <t>Backend User Database</t>
        </is>
      </c>
      <c r="G702" s="16" t="inlineStr"/>
      <c r="H702" s="16" t="inlineStr">
        <is>
          <t>OWASP/S3</t>
        </is>
      </c>
    </row>
    <row r="703" ht="16" customHeight="1">
      <c r="A703" s="16" t="inlineStr">
        <is>
          <t>OWASP-S3-F030</t>
        </is>
      </c>
      <c r="B703" s="16" t="inlineStr">
        <is>
          <t>OWASP</t>
        </is>
      </c>
      <c r="C703" s="16" t="inlineStr">
        <is>
          <t>S3</t>
        </is>
      </c>
      <c r="D703" s="16" t="inlineStr">
        <is>
          <t>transit_creds</t>
        </is>
      </c>
      <c r="E703" s="17" t="inlineStr">
        <is>
          <t>Vulnerable transport protocol</t>
        </is>
      </c>
      <c r="F703" s="16" t="inlineStr">
        <is>
          <t>Backend User Database</t>
        </is>
      </c>
      <c r="G703" s="16" t="inlineStr"/>
      <c r="H703" s="16" t="inlineStr">
        <is>
          <t>OWASP/S3</t>
        </is>
      </c>
    </row>
    <row r="704" ht="16" customHeight="1">
      <c r="A704" s="16" t="inlineStr">
        <is>
          <t>OWASP-S3-F031</t>
        </is>
      </c>
      <c r="B704" s="16" t="inlineStr">
        <is>
          <t>OWASP</t>
        </is>
      </c>
      <c r="C704" s="16" t="inlineStr">
        <is>
          <t>S3</t>
        </is>
      </c>
      <c r="D704" s="16" t="inlineStr">
        <is>
          <t>recon</t>
        </is>
      </c>
      <c r="E704" s="17" t="inlineStr">
        <is>
          <t>Fingerprinting</t>
        </is>
      </c>
      <c r="F704" s="16" t="inlineStr">
        <is>
          <t>Backend User Database</t>
        </is>
      </c>
      <c r="G704" s="16" t="inlineStr"/>
      <c r="H704" s="16" t="inlineStr">
        <is>
          <t>OWASP/S3</t>
        </is>
      </c>
    </row>
    <row r="705" ht="16" customHeight="1">
      <c r="A705" s="16" t="inlineStr">
        <is>
          <t>OWASP-S3-F032</t>
        </is>
      </c>
      <c r="B705" s="16" t="inlineStr">
        <is>
          <t>OWASP</t>
        </is>
      </c>
      <c r="C705" s="16" t="inlineStr">
        <is>
          <t>S3</t>
        </is>
      </c>
      <c r="D705" s="16" t="inlineStr">
        <is>
          <t>transit_creds</t>
        </is>
      </c>
      <c r="E705" s="17" t="inlineStr">
        <is>
          <t>Vulnerable transport protocol</t>
        </is>
      </c>
      <c r="F705" s="16" t="inlineStr">
        <is>
          <t>Backend User Database</t>
        </is>
      </c>
      <c r="G705" s="16" t="inlineStr"/>
      <c r="H705" s="16" t="inlineStr">
        <is>
          <t>OWASP/S3</t>
        </is>
      </c>
    </row>
    <row r="706" ht="16" customHeight="1">
      <c r="A706" s="16" t="inlineStr">
        <is>
          <t>OWASP-S3-F033</t>
        </is>
      </c>
      <c r="B706" s="16" t="inlineStr">
        <is>
          <t>OWASP</t>
        </is>
      </c>
      <c r="C706" s="16" t="inlineStr">
        <is>
          <t>S3</t>
        </is>
      </c>
      <c r="D706" s="16" t="inlineStr">
        <is>
          <t>transit_creds</t>
        </is>
      </c>
      <c r="E706" s="17" t="inlineStr">
        <is>
          <t>Vulnerable transport protocol</t>
        </is>
      </c>
      <c r="F706" s="16" t="inlineStr">
        <is>
          <t>Backend User Database</t>
        </is>
      </c>
      <c r="G706" s="16" t="inlineStr"/>
      <c r="H706" s="16" t="inlineStr">
        <is>
          <t>OWASP/S3</t>
        </is>
      </c>
    </row>
    <row r="707" ht="16" customHeight="1">
      <c r="A707" s="16" t="inlineStr">
        <is>
          <t>OWASP-S3-F034</t>
        </is>
      </c>
      <c r="B707" s="16" t="inlineStr">
        <is>
          <t>OWASP</t>
        </is>
      </c>
      <c r="C707" s="16" t="inlineStr">
        <is>
          <t>S3</t>
        </is>
      </c>
      <c r="D707" s="16" t="inlineStr">
        <is>
          <t>transit_creds</t>
        </is>
      </c>
      <c r="E707" s="17" t="inlineStr">
        <is>
          <t>Vulnerable transport protocol</t>
        </is>
      </c>
      <c r="F707" s="16" t="inlineStr">
        <is>
          <t>Backend User Database</t>
        </is>
      </c>
      <c r="G707" s="16" t="inlineStr"/>
      <c r="H707" s="16" t="inlineStr">
        <is>
          <t>OWASP/S3</t>
        </is>
      </c>
    </row>
    <row r="708" ht="16" customHeight="1">
      <c r="A708" s="16" t="inlineStr">
        <is>
          <t>OWASP-S3-F035</t>
        </is>
      </c>
      <c r="B708" s="16" t="inlineStr">
        <is>
          <t>OWASP</t>
        </is>
      </c>
      <c r="C708" s="16" t="inlineStr">
        <is>
          <t>S3</t>
        </is>
      </c>
      <c r="D708" s="16" t="inlineStr">
        <is>
          <t>recon</t>
        </is>
      </c>
      <c r="E708" s="17" t="inlineStr">
        <is>
          <t>Fingerprinting</t>
        </is>
      </c>
      <c r="F708" s="16" t="inlineStr">
        <is>
          <t>Backend User Database</t>
        </is>
      </c>
      <c r="G708" s="16" t="inlineStr"/>
      <c r="H708" s="16" t="inlineStr">
        <is>
          <t>OWASP/S3</t>
        </is>
      </c>
    </row>
    <row r="709" ht="16" customHeight="1">
      <c r="A709" s="16" t="inlineStr">
        <is>
          <t>OWASP-S3-F036</t>
        </is>
      </c>
      <c r="B709" s="16" t="inlineStr">
        <is>
          <t>OWASP</t>
        </is>
      </c>
      <c r="C709" s="16" t="inlineStr">
        <is>
          <t>S3</t>
        </is>
      </c>
      <c r="D709" s="16" t="inlineStr">
        <is>
          <t>transit_creds</t>
        </is>
      </c>
      <c r="E709" s="17" t="inlineStr">
        <is>
          <t>Vulnerable transport protocol</t>
        </is>
      </c>
      <c r="F709" s="16" t="inlineStr">
        <is>
          <t>Backend User Database</t>
        </is>
      </c>
      <c r="G709" s="16" t="inlineStr"/>
      <c r="H709" s="16" t="inlineStr">
        <is>
          <t>OWASP/S3</t>
        </is>
      </c>
    </row>
    <row r="710" ht="16" customHeight="1">
      <c r="A710" s="16" t="inlineStr">
        <is>
          <t>OWASP-S3-F037</t>
        </is>
      </c>
      <c r="B710" s="16" t="inlineStr">
        <is>
          <t>OWASP</t>
        </is>
      </c>
      <c r="C710" s="16" t="inlineStr">
        <is>
          <t>S3</t>
        </is>
      </c>
      <c r="D710" s="16" t="inlineStr">
        <is>
          <t>excessive_db_scope</t>
        </is>
      </c>
      <c r="E710" s="17" t="inlineStr">
        <is>
          <t>Least privilege</t>
        </is>
      </c>
      <c r="F710" s="16" t="inlineStr">
        <is>
          <t>Password Reset Token Module</t>
        </is>
      </c>
      <c r="G710" s="16" t="inlineStr"/>
      <c r="H710" s="16" t="inlineStr">
        <is>
          <t>OWASP/S3</t>
        </is>
      </c>
    </row>
    <row r="711" ht="16" customHeight="1">
      <c r="A711" s="16" t="inlineStr">
        <is>
          <t>OWASP-S3-F038</t>
        </is>
      </c>
      <c r="B711" s="16" t="inlineStr">
        <is>
          <t>OWASP</t>
        </is>
      </c>
      <c r="C711" s="16" t="inlineStr">
        <is>
          <t>S3</t>
        </is>
      </c>
      <c r="D711" s="16" t="inlineStr">
        <is>
          <t>expedition</t>
        </is>
      </c>
      <c r="E711" s="17" t="inlineStr">
        <is>
          <t>Expedition</t>
        </is>
      </c>
      <c r="F711" s="16" t="inlineStr">
        <is>
          <t>Password Reset Token Module</t>
        </is>
      </c>
      <c r="G711" s="16" t="inlineStr"/>
      <c r="H711" s="16" t="inlineStr">
        <is>
          <t>OWASP/S3</t>
        </is>
      </c>
    </row>
    <row r="712" ht="16" customHeight="1">
      <c r="A712" s="16" t="inlineStr">
        <is>
          <t>OWASP-S3-F039</t>
        </is>
      </c>
      <c r="B712" s="16" t="inlineStr">
        <is>
          <t>OWASP</t>
        </is>
      </c>
      <c r="C712" s="16" t="inlineStr">
        <is>
          <t>S3</t>
        </is>
      </c>
      <c r="D712" s="16" t="inlineStr">
        <is>
          <t>recon</t>
        </is>
      </c>
      <c r="E712" s="17" t="inlineStr">
        <is>
          <t>Vulnerability scanning</t>
        </is>
      </c>
      <c r="F712" s="16" t="inlineStr">
        <is>
          <t>Password Reset Token Module</t>
        </is>
      </c>
      <c r="G712" s="16" t="inlineStr"/>
      <c r="H712" s="16" t="inlineStr">
        <is>
          <t>OWASP/S3</t>
        </is>
      </c>
    </row>
    <row r="713" ht="16" customHeight="1">
      <c r="A713" s="16" t="inlineStr">
        <is>
          <t>OWASP-S3-F040</t>
        </is>
      </c>
      <c r="B713" s="16" t="inlineStr">
        <is>
          <t>OWASP</t>
        </is>
      </c>
      <c r="C713" s="16" t="inlineStr">
        <is>
          <t>S3</t>
        </is>
      </c>
      <c r="D713" s="16" t="inlineStr">
        <is>
          <t>token_generation_abuse</t>
        </is>
      </c>
      <c r="E713" s="17" t="inlineStr">
        <is>
          <t>Denial of Service</t>
        </is>
      </c>
      <c r="F713" s="16" t="inlineStr">
        <is>
          <t>Password Reset Token Module</t>
        </is>
      </c>
      <c r="G713" s="16" t="inlineStr"/>
      <c r="H713" s="16" t="inlineStr">
        <is>
          <t>OWASP/S3</t>
        </is>
      </c>
    </row>
    <row r="714" ht="16" customHeight="1">
      <c r="A714" s="16" t="inlineStr">
        <is>
          <t>OWASP-S3-F041</t>
        </is>
      </c>
      <c r="B714" s="16" t="inlineStr">
        <is>
          <t>OWASP</t>
        </is>
      </c>
      <c r="C714" s="16" t="inlineStr">
        <is>
          <t>S3</t>
        </is>
      </c>
      <c r="D714" s="16" t="inlineStr">
        <is>
          <t>expedition</t>
        </is>
      </c>
      <c r="E714" s="17" t="inlineStr">
        <is>
          <t>Expedition</t>
        </is>
      </c>
      <c r="F714" s="16" t="inlineStr">
        <is>
          <t>P4 AI Account Support Assistant</t>
        </is>
      </c>
      <c r="G714" s="16" t="inlineStr"/>
      <c r="H714" s="16" t="inlineStr">
        <is>
          <t>OWASP/S3</t>
        </is>
      </c>
    </row>
    <row r="715" ht="16" customHeight="1">
      <c r="A715" s="16" t="inlineStr">
        <is>
          <t>OWASP-S3-F042</t>
        </is>
      </c>
      <c r="B715" s="16" t="inlineStr">
        <is>
          <t>OWASP</t>
        </is>
      </c>
      <c r="C715" s="16" t="inlineStr">
        <is>
          <t>S3</t>
        </is>
      </c>
      <c r="D715" s="16" t="inlineStr">
        <is>
          <t>recon</t>
        </is>
      </c>
      <c r="E715" s="17" t="inlineStr">
        <is>
          <t>Vulnerability scanning</t>
        </is>
      </c>
      <c r="F715" s="16" t="inlineStr">
        <is>
          <t>P4 AI Account Support Assistant</t>
        </is>
      </c>
      <c r="G715" s="16" t="inlineStr"/>
      <c r="H715" s="16" t="inlineStr">
        <is>
          <t>OWASP/S3</t>
        </is>
      </c>
    </row>
    <row r="716" ht="16" customHeight="1">
      <c r="A716" s="16" t="inlineStr">
        <is>
          <t>OWASP-S3-F043</t>
        </is>
      </c>
      <c r="B716" s="16" t="inlineStr">
        <is>
          <t>OWASP</t>
        </is>
      </c>
      <c r="C716" s="16" t="inlineStr">
        <is>
          <t>S3</t>
        </is>
      </c>
      <c r="D716" s="16" t="inlineStr">
        <is>
          <t>llm_consumption</t>
        </is>
      </c>
      <c r="E716" s="17" t="inlineStr">
        <is>
          <t>Denial of Service</t>
        </is>
      </c>
      <c r="F716" s="16" t="inlineStr">
        <is>
          <t>P4 AI Account Support Assistant</t>
        </is>
      </c>
      <c r="G716" s="16" t="inlineStr"/>
      <c r="H716" s="16" t="inlineStr">
        <is>
          <t>OWASP/S3</t>
        </is>
      </c>
    </row>
    <row r="717" ht="16" customHeight="1">
      <c r="A717" s="16" t="inlineStr">
        <is>
          <t>OWASP-S3-F044</t>
        </is>
      </c>
      <c r="B717" s="16" t="inlineStr">
        <is>
          <t>OWASP</t>
        </is>
      </c>
      <c r="C717" s="16" t="inlineStr">
        <is>
          <t>S3</t>
        </is>
      </c>
      <c r="D717" s="16" t="inlineStr">
        <is>
          <t>expedition</t>
        </is>
      </c>
      <c r="E717" s="17" t="inlineStr">
        <is>
          <t>Expedition</t>
        </is>
      </c>
      <c r="F717" s="16" t="inlineStr">
        <is>
          <t>P5 LLM Integration Service</t>
        </is>
      </c>
      <c r="G717" s="16" t="inlineStr"/>
      <c r="H717" s="16" t="inlineStr">
        <is>
          <t>OWASP/S3</t>
        </is>
      </c>
    </row>
    <row r="718" ht="16" customHeight="1">
      <c r="A718" s="16" t="inlineStr">
        <is>
          <t>OWASP-S3-F045</t>
        </is>
      </c>
      <c r="B718" s="16" t="inlineStr">
        <is>
          <t>OWASP</t>
        </is>
      </c>
      <c r="C718" s="16" t="inlineStr">
        <is>
          <t>S3</t>
        </is>
      </c>
      <c r="D718" s="16" t="inlineStr">
        <is>
          <t>recon</t>
        </is>
      </c>
      <c r="E718" s="17" t="inlineStr">
        <is>
          <t>Vulnerability scanning</t>
        </is>
      </c>
      <c r="F718" s="16" t="inlineStr">
        <is>
          <t>P5 LLM Integration Service</t>
        </is>
      </c>
      <c r="G718" s="16" t="inlineStr"/>
      <c r="H718" s="16" t="inlineStr">
        <is>
          <t>OWASP/S3</t>
        </is>
      </c>
    </row>
    <row r="719" ht="16" customHeight="1">
      <c r="A719" s="16" t="inlineStr">
        <is>
          <t>OWASP-S3-F046</t>
        </is>
      </c>
      <c r="B719" s="16" t="inlineStr">
        <is>
          <t>OWASP</t>
        </is>
      </c>
      <c r="C719" s="16" t="inlineStr">
        <is>
          <t>S3</t>
        </is>
      </c>
      <c r="D719" s="16" t="inlineStr">
        <is>
          <t>llm_consumption</t>
        </is>
      </c>
      <c r="E719" s="17" t="inlineStr">
        <is>
          <t>Denial of Service</t>
        </is>
      </c>
      <c r="F719" s="16" t="inlineStr">
        <is>
          <t>P5 LLM Integration Service</t>
        </is>
      </c>
      <c r="G719" s="16" t="inlineStr"/>
      <c r="H719" s="16" t="inlineStr">
        <is>
          <t>OWASP/S3</t>
        </is>
      </c>
    </row>
    <row r="720" ht="16" customHeight="1">
      <c r="A720" s="16" t="inlineStr">
        <is>
          <t>TMT-S3-F001</t>
        </is>
      </c>
      <c r="B720" s="16" t="inlineStr">
        <is>
          <t>TMT</t>
        </is>
      </c>
      <c r="C720" s="16" t="inlineStr">
        <is>
          <t>S3</t>
        </is>
      </c>
      <c r="D720" s="16" t="inlineStr"/>
      <c r="E720" s="17" t="inlineStr">
        <is>
          <t>EE1 Registered User (Browser) Process Memory Tampered</t>
        </is>
      </c>
      <c r="F720" s="16" t="inlineStr">
        <is>
          <t>Diagram 1</t>
        </is>
      </c>
      <c r="G720" s="16" t="inlineStr">
        <is>
          <t>Password reset request</t>
        </is>
      </c>
      <c r="H720" s="16" t="inlineStr">
        <is>
          <t>TMT/S3</t>
        </is>
      </c>
    </row>
    <row r="721" ht="16" customHeight="1">
      <c r="A721" s="16" t="inlineStr">
        <is>
          <t>TMT-S3-F002</t>
        </is>
      </c>
      <c r="B721" s="16" t="inlineStr">
        <is>
          <t>TMT</t>
        </is>
      </c>
      <c r="C721" s="16" t="inlineStr">
        <is>
          <t>S3</t>
        </is>
      </c>
      <c r="D721" s="16" t="inlineStr">
        <is>
          <t>stored_active_content</t>
        </is>
      </c>
      <c r="E721" s="17" t="inlineStr">
        <is>
          <t>Cross Site Scripting</t>
        </is>
      </c>
      <c r="F721" s="16" t="inlineStr">
        <is>
          <t>Diagram 1</t>
        </is>
      </c>
      <c r="G721" s="16" t="inlineStr">
        <is>
          <t>Password reset request</t>
        </is>
      </c>
      <c r="H721" s="16" t="inlineStr">
        <is>
          <t>TMT/S3</t>
        </is>
      </c>
    </row>
    <row r="722" ht="16" customHeight="1">
      <c r="A722" s="16" t="inlineStr">
        <is>
          <t>TMT-S3-F003</t>
        </is>
      </c>
      <c r="B722" s="16" t="inlineStr">
        <is>
          <t>TMT</t>
        </is>
      </c>
      <c r="C722" s="16" t="inlineStr">
        <is>
          <t>S3</t>
        </is>
      </c>
      <c r="D722" s="16" t="inlineStr"/>
      <c r="E722" s="17" t="inlineStr">
        <is>
          <t>Elevation Using Impersonation</t>
        </is>
      </c>
      <c r="F722" s="16" t="inlineStr">
        <is>
          <t>Diagram 1</t>
        </is>
      </c>
      <c r="G722" s="16" t="inlineStr">
        <is>
          <t>Password reset request</t>
        </is>
      </c>
      <c r="H722" s="16" t="inlineStr">
        <is>
          <t>TMT/S3</t>
        </is>
      </c>
    </row>
    <row r="723" ht="16" customHeight="1">
      <c r="A723" s="16" t="inlineStr">
        <is>
          <t>TMT-S3-F004</t>
        </is>
      </c>
      <c r="B723" s="16" t="inlineStr">
        <is>
          <t>TMT</t>
        </is>
      </c>
      <c r="C723" s="16" t="inlineStr">
        <is>
          <t>S3</t>
        </is>
      </c>
      <c r="D723" s="16" t="inlineStr"/>
      <c r="E723" s="17" t="inlineStr">
        <is>
          <t>P1 Web Frontend Interface Process Memory Tampered</t>
        </is>
      </c>
      <c r="F723" s="16" t="inlineStr">
        <is>
          <t>Diagram 1</t>
        </is>
      </c>
      <c r="G723" s="16" t="inlineStr">
        <is>
          <t>forwarded password reset request</t>
        </is>
      </c>
      <c r="H723" s="16" t="inlineStr">
        <is>
          <t>TMT/S3</t>
        </is>
      </c>
    </row>
    <row r="724" ht="16" customHeight="1">
      <c r="A724" s="16" t="inlineStr">
        <is>
          <t>TMT-S3-F005</t>
        </is>
      </c>
      <c r="B724" s="16" t="inlineStr">
        <is>
          <t>TMT</t>
        </is>
      </c>
      <c r="C724" s="16" t="inlineStr">
        <is>
          <t>S3</t>
        </is>
      </c>
      <c r="D724" s="16" t="inlineStr"/>
      <c r="E724" s="17" t="inlineStr">
        <is>
          <t>Elevation Using Impersonation</t>
        </is>
      </c>
      <c r="F724" s="16" t="inlineStr">
        <is>
          <t>Diagram 1</t>
        </is>
      </c>
      <c r="G724" s="16" t="inlineStr">
        <is>
          <t>forwarded password reset request</t>
        </is>
      </c>
      <c r="H724" s="16" t="inlineStr">
        <is>
          <t>TMT/S3</t>
        </is>
      </c>
    </row>
    <row r="725" ht="16" customHeight="1">
      <c r="A725" s="16" t="inlineStr">
        <is>
          <t>TMT-S3-F006</t>
        </is>
      </c>
      <c r="B725" s="16" t="inlineStr">
        <is>
          <t>TMT</t>
        </is>
      </c>
      <c r="C725" s="16" t="inlineStr">
        <is>
          <t>S3</t>
        </is>
      </c>
      <c r="D725" s="16" t="inlineStr"/>
      <c r="E725" s="17" t="inlineStr">
        <is>
          <t>Spoofing of Destination Data Store DS1 Backend User Database</t>
        </is>
      </c>
      <c r="F725" s="16" t="inlineStr">
        <is>
          <t>Diagram 1</t>
        </is>
      </c>
      <c r="G725" s="16" t="inlineStr">
        <is>
          <t>user account verification query</t>
        </is>
      </c>
      <c r="H725" s="16" t="inlineStr">
        <is>
          <t>TMT/S3</t>
        </is>
      </c>
    </row>
    <row r="726" ht="16" customHeight="1">
      <c r="A726" s="16" t="inlineStr">
        <is>
          <t>TMT-S3-F007</t>
        </is>
      </c>
      <c r="B726" s="16" t="inlineStr">
        <is>
          <t>TMT</t>
        </is>
      </c>
      <c r="C726" s="16" t="inlineStr">
        <is>
          <t>S3</t>
        </is>
      </c>
      <c r="D726" s="16" t="inlineStr">
        <is>
          <t>dos_service</t>
        </is>
      </c>
      <c r="E726" s="17" t="inlineStr">
        <is>
          <t>Potential Excessive Resource Consumption for P2 Account Management Service or DS1 Backend User Database</t>
        </is>
      </c>
      <c r="F726" s="16" t="inlineStr">
        <is>
          <t>Diagram 1</t>
        </is>
      </c>
      <c r="G726" s="16" t="inlineStr">
        <is>
          <t>user account verification query</t>
        </is>
      </c>
      <c r="H726" s="16" t="inlineStr">
        <is>
          <t>TMT/S3</t>
        </is>
      </c>
    </row>
    <row r="727" ht="16" customHeight="1">
      <c r="A727" s="16" t="inlineStr">
        <is>
          <t>TMT-S3-F008</t>
        </is>
      </c>
      <c r="B727" s="16" t="inlineStr">
        <is>
          <t>TMT</t>
        </is>
      </c>
      <c r="C727" s="16" t="inlineStr">
        <is>
          <t>S3</t>
        </is>
      </c>
      <c r="D727" s="16" t="inlineStr"/>
      <c r="E727" s="17" t="inlineStr">
        <is>
          <t>P2 Account Management Service Process Memory Tampered</t>
        </is>
      </c>
      <c r="F727" s="16" t="inlineStr">
        <is>
          <t>Diagram 1</t>
        </is>
      </c>
      <c r="G727" s="16" t="inlineStr">
        <is>
          <t>token generation request</t>
        </is>
      </c>
      <c r="H727" s="16" t="inlineStr">
        <is>
          <t>TMT/S3</t>
        </is>
      </c>
    </row>
    <row r="728" ht="16" customHeight="1">
      <c r="A728" s="16" t="inlineStr">
        <is>
          <t>TMT-S3-F009</t>
        </is>
      </c>
      <c r="B728" s="16" t="inlineStr">
        <is>
          <t>TMT</t>
        </is>
      </c>
      <c r="C728" s="16" t="inlineStr">
        <is>
          <t>S3</t>
        </is>
      </c>
      <c r="D728" s="16" t="inlineStr"/>
      <c r="E728" s="17" t="inlineStr">
        <is>
          <t>Elevation Using Impersonation</t>
        </is>
      </c>
      <c r="F728" s="16" t="inlineStr">
        <is>
          <t>Diagram 1</t>
        </is>
      </c>
      <c r="G728" s="16" t="inlineStr">
        <is>
          <t>token generation request</t>
        </is>
      </c>
      <c r="H728" s="16" t="inlineStr">
        <is>
          <t>TMT/S3</t>
        </is>
      </c>
    </row>
    <row r="729" ht="16" customHeight="1">
      <c r="A729" s="16" t="inlineStr">
        <is>
          <t>TMT-S3-F010</t>
        </is>
      </c>
      <c r="B729" s="16" t="inlineStr">
        <is>
          <t>TMT</t>
        </is>
      </c>
      <c r="C729" s="16" t="inlineStr">
        <is>
          <t>S3</t>
        </is>
      </c>
      <c r="D729" s="16" t="inlineStr">
        <is>
          <t>transit_token</t>
        </is>
      </c>
      <c r="E729" s="17" t="inlineStr">
        <is>
          <t>Spoofing the External communication channel External Entity</t>
        </is>
      </c>
      <c r="F729" s="16" t="inlineStr">
        <is>
          <t>Diagram 1</t>
        </is>
      </c>
      <c r="G729" s="16" t="inlineStr">
        <is>
          <t>password reset token</t>
        </is>
      </c>
      <c r="H729" s="16" t="inlineStr">
        <is>
          <t>TMT/S3</t>
        </is>
      </c>
    </row>
    <row r="730" ht="16" customHeight="1">
      <c r="A730" s="16" t="inlineStr">
        <is>
          <t>TMT-S3-F011</t>
        </is>
      </c>
      <c r="B730" s="16" t="inlineStr">
        <is>
          <t>TMT</t>
        </is>
      </c>
      <c r="C730" s="16" t="inlineStr">
        <is>
          <t>S3</t>
        </is>
      </c>
      <c r="D730" s="16" t="inlineStr"/>
      <c r="E730" s="17" t="inlineStr">
        <is>
          <t>Elevation Using Impersonation</t>
        </is>
      </c>
      <c r="F730" s="16" t="inlineStr">
        <is>
          <t>Diagram 1</t>
        </is>
      </c>
      <c r="G730" s="16" t="inlineStr">
        <is>
          <t>password reset token</t>
        </is>
      </c>
      <c r="H730" s="16" t="inlineStr">
        <is>
          <t>TMT/S3</t>
        </is>
      </c>
    </row>
    <row r="731" ht="16" customHeight="1">
      <c r="A731" s="16" t="inlineStr">
        <is>
          <t>TMT-S3-F012</t>
        </is>
      </c>
      <c r="B731" s="16" t="inlineStr">
        <is>
          <t>TMT</t>
        </is>
      </c>
      <c r="C731" s="16" t="inlineStr">
        <is>
          <t>S3</t>
        </is>
      </c>
      <c r="D731" s="16" t="inlineStr"/>
      <c r="E731" s="17" t="inlineStr">
        <is>
          <t>EE1 Registered User (Browser) Process Memory Tampered</t>
        </is>
      </c>
      <c r="F731" s="16" t="inlineStr">
        <is>
          <t>Diagram 1</t>
        </is>
      </c>
      <c r="G731" s="16" t="inlineStr">
        <is>
          <t>reset token and new password</t>
        </is>
      </c>
      <c r="H731" s="16" t="inlineStr">
        <is>
          <t>TMT/S3</t>
        </is>
      </c>
    </row>
    <row r="732" ht="16" customHeight="1">
      <c r="A732" s="16" t="inlineStr">
        <is>
          <t>TMT-S3-F013</t>
        </is>
      </c>
      <c r="B732" s="16" t="inlineStr">
        <is>
          <t>TMT</t>
        </is>
      </c>
      <c r="C732" s="16" t="inlineStr">
        <is>
          <t>S3</t>
        </is>
      </c>
      <c r="D732" s="16" t="inlineStr">
        <is>
          <t>transit_token</t>
        </is>
      </c>
      <c r="E732" s="17" t="inlineStr">
        <is>
          <t>Cross Site Scripting</t>
        </is>
      </c>
      <c r="F732" s="16" t="inlineStr">
        <is>
          <t>Diagram 1</t>
        </is>
      </c>
      <c r="G732" s="16" t="inlineStr">
        <is>
          <t>reset token and new password</t>
        </is>
      </c>
      <c r="H732" s="16" t="inlineStr">
        <is>
          <t>TMT/S3</t>
        </is>
      </c>
    </row>
    <row r="733" ht="16" customHeight="1">
      <c r="A733" s="16" t="inlineStr">
        <is>
          <t>TMT-S3-F014</t>
        </is>
      </c>
      <c r="B733" s="16" t="inlineStr">
        <is>
          <t>TMT</t>
        </is>
      </c>
      <c r="C733" s="16" t="inlineStr">
        <is>
          <t>S3</t>
        </is>
      </c>
      <c r="D733" s="16" t="inlineStr"/>
      <c r="E733" s="17" t="inlineStr">
        <is>
          <t>Elevation Using Impersonation</t>
        </is>
      </c>
      <c r="F733" s="16" t="inlineStr">
        <is>
          <t>Diagram 1</t>
        </is>
      </c>
      <c r="G733" s="16" t="inlineStr">
        <is>
          <t>reset token and new password</t>
        </is>
      </c>
      <c r="H733" s="16" t="inlineStr">
        <is>
          <t>TMT/S3</t>
        </is>
      </c>
    </row>
    <row r="734" ht="16" customHeight="1">
      <c r="A734" s="16" t="inlineStr">
        <is>
          <t>TMT-S3-F015</t>
        </is>
      </c>
      <c r="B734" s="16" t="inlineStr">
        <is>
          <t>TMT</t>
        </is>
      </c>
      <c r="C734" s="16" t="inlineStr">
        <is>
          <t>S3</t>
        </is>
      </c>
      <c r="D734" s="16" t="inlineStr"/>
      <c r="E734" s="17" t="inlineStr">
        <is>
          <t>P1 Web Frontend Interface Process Memory Tampered</t>
        </is>
      </c>
      <c r="F734" s="16" t="inlineStr">
        <is>
          <t>Diagram 1</t>
        </is>
      </c>
      <c r="G734" s="16" t="inlineStr">
        <is>
          <t>forwarded reset token and new password</t>
        </is>
      </c>
      <c r="H734" s="16" t="inlineStr">
        <is>
          <t>TMT/S3</t>
        </is>
      </c>
    </row>
    <row r="735" ht="16" customHeight="1">
      <c r="A735" s="16" t="inlineStr">
        <is>
          <t>TMT-S3-F016</t>
        </is>
      </c>
      <c r="B735" s="16" t="inlineStr">
        <is>
          <t>TMT</t>
        </is>
      </c>
      <c r="C735" s="16" t="inlineStr">
        <is>
          <t>S3</t>
        </is>
      </c>
      <c r="D735" s="16" t="inlineStr"/>
      <c r="E735" s="17" t="inlineStr">
        <is>
          <t>Elevation Using Impersonation</t>
        </is>
      </c>
      <c r="F735" s="16" t="inlineStr">
        <is>
          <t>Diagram 1</t>
        </is>
      </c>
      <c r="G735" s="16" t="inlineStr">
        <is>
          <t>forwarded reset token and new password</t>
        </is>
      </c>
      <c r="H735" s="16" t="inlineStr">
        <is>
          <t>TMT/S3</t>
        </is>
      </c>
    </row>
    <row r="736" ht="16" customHeight="1">
      <c r="A736" s="16" t="inlineStr">
        <is>
          <t>TMT-S3-F017</t>
        </is>
      </c>
      <c r="B736" s="16" t="inlineStr">
        <is>
          <t>TMT</t>
        </is>
      </c>
      <c r="C736" s="16" t="inlineStr">
        <is>
          <t>S3</t>
        </is>
      </c>
      <c r="D736" s="16" t="inlineStr"/>
      <c r="E736" s="17" t="inlineStr">
        <is>
          <t>EE1 Registered User (Browser) Process Memory Tampered</t>
        </is>
      </c>
      <c r="F736" s="16" t="inlineStr">
        <is>
          <t>Diagram 1</t>
        </is>
      </c>
      <c r="G736" s="16" t="inlineStr">
        <is>
          <t>authenticated api request</t>
        </is>
      </c>
      <c r="H736" s="16" t="inlineStr">
        <is>
          <t>TMT/S3</t>
        </is>
      </c>
    </row>
    <row r="737" ht="16" customHeight="1">
      <c r="A737" s="16" t="inlineStr">
        <is>
          <t>TMT-S3-F018</t>
        </is>
      </c>
      <c r="B737" s="16" t="inlineStr">
        <is>
          <t>TMT</t>
        </is>
      </c>
      <c r="C737" s="16" t="inlineStr">
        <is>
          <t>S3</t>
        </is>
      </c>
      <c r="D737" s="16" t="inlineStr">
        <is>
          <t>stored_active_content</t>
        </is>
      </c>
      <c r="E737" s="17" t="inlineStr">
        <is>
          <t>Cross Site Scripting</t>
        </is>
      </c>
      <c r="F737" s="16" t="inlineStr">
        <is>
          <t>Diagram 1</t>
        </is>
      </c>
      <c r="G737" s="16" t="inlineStr">
        <is>
          <t>authenticated api request</t>
        </is>
      </c>
      <c r="H737" s="16" t="inlineStr">
        <is>
          <t>TMT/S3</t>
        </is>
      </c>
    </row>
    <row r="738" ht="16" customHeight="1">
      <c r="A738" s="16" t="inlineStr">
        <is>
          <t>TMT-S3-F019</t>
        </is>
      </c>
      <c r="B738" s="16" t="inlineStr">
        <is>
          <t>TMT</t>
        </is>
      </c>
      <c r="C738" s="16" t="inlineStr">
        <is>
          <t>S3</t>
        </is>
      </c>
      <c r="D738" s="16" t="inlineStr"/>
      <c r="E738" s="17" t="inlineStr">
        <is>
          <t>Elevation Using Impersonation</t>
        </is>
      </c>
      <c r="F738" s="16" t="inlineStr">
        <is>
          <t>Diagram 1</t>
        </is>
      </c>
      <c r="G738" s="16" t="inlineStr">
        <is>
          <t>authenticated api request</t>
        </is>
      </c>
      <c r="H738" s="16" t="inlineStr">
        <is>
          <t>TMT/S3</t>
        </is>
      </c>
    </row>
    <row r="739" ht="16" customHeight="1">
      <c r="A739" s="16" t="inlineStr">
        <is>
          <t>TMT-S3-F020</t>
        </is>
      </c>
      <c r="B739" s="16" t="inlineStr">
        <is>
          <t>TMT</t>
        </is>
      </c>
      <c r="C739" s="16" t="inlineStr">
        <is>
          <t>S3</t>
        </is>
      </c>
      <c r="D739" s="16" t="inlineStr"/>
      <c r="E739" s="17" t="inlineStr">
        <is>
          <t>P1 Web Frontend Interface Process Memory Tampered</t>
        </is>
      </c>
      <c r="F739" s="16" t="inlineStr">
        <is>
          <t>Diagram 1</t>
        </is>
      </c>
      <c r="G739" s="16" t="inlineStr">
        <is>
          <t>forwarded authenticated API request</t>
        </is>
      </c>
      <c r="H739" s="16" t="inlineStr">
        <is>
          <t>TMT/S3</t>
        </is>
      </c>
    </row>
    <row r="740" ht="16" customHeight="1">
      <c r="A740" s="16" t="inlineStr">
        <is>
          <t>TMT-S3-F021</t>
        </is>
      </c>
      <c r="B740" s="16" t="inlineStr">
        <is>
          <t>TMT</t>
        </is>
      </c>
      <c r="C740" s="16" t="inlineStr">
        <is>
          <t>S3</t>
        </is>
      </c>
      <c r="D740" s="16" t="inlineStr"/>
      <c r="E740" s="17" t="inlineStr">
        <is>
          <t>Elevation Using Impersonation</t>
        </is>
      </c>
      <c r="F740" s="16" t="inlineStr">
        <is>
          <t>Diagram 1</t>
        </is>
      </c>
      <c r="G740" s="16" t="inlineStr">
        <is>
          <t>forwarded authenticated API request</t>
        </is>
      </c>
      <c r="H740" s="16" t="inlineStr">
        <is>
          <t>TMT/S3</t>
        </is>
      </c>
    </row>
    <row r="741" ht="16" customHeight="1">
      <c r="A741" s="16" t="inlineStr">
        <is>
          <t>TMT-S3-F022</t>
        </is>
      </c>
      <c r="B741" s="16" t="inlineStr">
        <is>
          <t>TMT</t>
        </is>
      </c>
      <c r="C741" s="16" t="inlineStr">
        <is>
          <t>S3</t>
        </is>
      </c>
      <c r="D741" s="16" t="inlineStr"/>
      <c r="E741" s="17" t="inlineStr">
        <is>
          <t>Spoofing of Destination Data Store DS1 Backend User Database</t>
        </is>
      </c>
      <c r="F741" s="16" t="inlineStr">
        <is>
          <t>Diagram 1</t>
        </is>
      </c>
      <c r="G741" s="16" t="inlineStr">
        <is>
          <t>profile data query or update</t>
        </is>
      </c>
      <c r="H741" s="16" t="inlineStr">
        <is>
          <t>TMT/S3</t>
        </is>
      </c>
    </row>
    <row r="742" ht="16" customHeight="1">
      <c r="A742" s="16" t="inlineStr">
        <is>
          <t>TMT-S3-F023</t>
        </is>
      </c>
      <c r="B742" s="16" t="inlineStr">
        <is>
          <t>TMT</t>
        </is>
      </c>
      <c r="C742" s="16" t="inlineStr">
        <is>
          <t>S3</t>
        </is>
      </c>
      <c r="D742" s="16" t="inlineStr">
        <is>
          <t>dos_service</t>
        </is>
      </c>
      <c r="E742" s="17" t="inlineStr">
        <is>
          <t>Potential Excessive Resource Consumption for P4 User Profile API Handler or DS1 Backend User Database</t>
        </is>
      </c>
      <c r="F742" s="16" t="inlineStr">
        <is>
          <t>Diagram 1</t>
        </is>
      </c>
      <c r="G742" s="16" t="inlineStr">
        <is>
          <t>profile data query or update</t>
        </is>
      </c>
      <c r="H742" s="16" t="inlineStr">
        <is>
          <t>TMT/S3</t>
        </is>
      </c>
    </row>
    <row r="743" ht="16" customHeight="1">
      <c r="A743" s="16" t="inlineStr">
        <is>
          <t>TMT-S3-F024</t>
        </is>
      </c>
      <c r="B743" s="16" t="inlineStr">
        <is>
          <t>TMT</t>
        </is>
      </c>
      <c r="C743" s="16" t="inlineStr">
        <is>
          <t>S3</t>
        </is>
      </c>
      <c r="D743" s="16" t="inlineStr"/>
      <c r="E743" s="17" t="inlineStr">
        <is>
          <t>Spoofing of Source Data Store DS1 Backend User Database</t>
        </is>
      </c>
      <c r="F743" s="16" t="inlineStr">
        <is>
          <t>Diagram 1</t>
        </is>
      </c>
      <c r="G743" s="16" t="inlineStr">
        <is>
          <t>profile data response</t>
        </is>
      </c>
      <c r="H743" s="16" t="inlineStr">
        <is>
          <t>TMT/S3</t>
        </is>
      </c>
    </row>
    <row r="744" ht="16" customHeight="1">
      <c r="A744" s="16" t="inlineStr">
        <is>
          <t>TMT-S3-F025</t>
        </is>
      </c>
      <c r="B744" s="16" t="inlineStr">
        <is>
          <t>TMT</t>
        </is>
      </c>
      <c r="C744" s="16" t="inlineStr">
        <is>
          <t>S3</t>
        </is>
      </c>
      <c r="D744" s="16" t="inlineStr">
        <is>
          <t>mass_disclosure</t>
        </is>
      </c>
      <c r="E744" s="17" t="inlineStr">
        <is>
          <t>Weak Access Control for a Resource</t>
        </is>
      </c>
      <c r="F744" s="16" t="inlineStr">
        <is>
          <t>Diagram 1</t>
        </is>
      </c>
      <c r="G744" s="16" t="inlineStr">
        <is>
          <t>profile data response</t>
        </is>
      </c>
      <c r="H744" s="16" t="inlineStr">
        <is>
          <t>TMT/S3</t>
        </is>
      </c>
    </row>
    <row r="745" ht="16" customHeight="1">
      <c r="A745" s="16" t="inlineStr">
        <is>
          <t>TMT-S3-F026</t>
        </is>
      </c>
      <c r="B745" s="16" t="inlineStr">
        <is>
          <t>TMT</t>
        </is>
      </c>
      <c r="C745" s="16" t="inlineStr">
        <is>
          <t>S3</t>
        </is>
      </c>
      <c r="D745" s="16" t="inlineStr"/>
      <c r="E745" s="17" t="inlineStr">
        <is>
          <t>P4 User Profile API Handler Process Memory Tampered</t>
        </is>
      </c>
      <c r="F745" s="16" t="inlineStr">
        <is>
          <t>Diagram 1</t>
        </is>
      </c>
      <c r="G745" s="16" t="inlineStr">
        <is>
          <t>api response</t>
        </is>
      </c>
      <c r="H745" s="16" t="inlineStr">
        <is>
          <t>TMT/S3</t>
        </is>
      </c>
    </row>
    <row r="746" ht="16" customHeight="1">
      <c r="A746" s="16" t="inlineStr">
        <is>
          <t>TMT-S3-F027</t>
        </is>
      </c>
      <c r="B746" s="16" t="inlineStr">
        <is>
          <t>TMT</t>
        </is>
      </c>
      <c r="C746" s="16" t="inlineStr">
        <is>
          <t>S3</t>
        </is>
      </c>
      <c r="D746" s="16" t="inlineStr">
        <is>
          <t>stored_active_content</t>
        </is>
      </c>
      <c r="E746" s="17" t="inlineStr">
        <is>
          <t>Cross Site Scripting</t>
        </is>
      </c>
      <c r="F746" s="16" t="inlineStr">
        <is>
          <t>Diagram 1</t>
        </is>
      </c>
      <c r="G746" s="16" t="inlineStr">
        <is>
          <t>api response</t>
        </is>
      </c>
      <c r="H746" s="16" t="inlineStr">
        <is>
          <t>TMT/S3</t>
        </is>
      </c>
    </row>
    <row r="747" ht="16" customHeight="1">
      <c r="A747" s="16" t="inlineStr">
        <is>
          <t>TMT-S3-F028</t>
        </is>
      </c>
      <c r="B747" s="16" t="inlineStr">
        <is>
          <t>TMT</t>
        </is>
      </c>
      <c r="C747" s="16" t="inlineStr">
        <is>
          <t>S3</t>
        </is>
      </c>
      <c r="D747" s="16" t="inlineStr"/>
      <c r="E747" s="17" t="inlineStr">
        <is>
          <t>Elevation Using Impersonation</t>
        </is>
      </c>
      <c r="F747" s="16" t="inlineStr">
        <is>
          <t>Diagram 1</t>
        </is>
      </c>
      <c r="G747" s="16" t="inlineStr">
        <is>
          <t>api response</t>
        </is>
      </c>
      <c r="H747" s="16" t="inlineStr">
        <is>
          <t>TMT/S3</t>
        </is>
      </c>
    </row>
    <row r="748" ht="16" customHeight="1">
      <c r="A748" s="16" t="inlineStr">
        <is>
          <t>TMT-S3-F029</t>
        </is>
      </c>
      <c r="B748" s="16" t="inlineStr">
        <is>
          <t>TMT</t>
        </is>
      </c>
      <c r="C748" s="16" t="inlineStr">
        <is>
          <t>S3</t>
        </is>
      </c>
      <c r="D748" s="16" t="inlineStr"/>
      <c r="E748" s="17" t="inlineStr">
        <is>
          <t>P1 Web Frontend Interface Process Memory Tampered</t>
        </is>
      </c>
      <c r="F748" s="16" t="inlineStr">
        <is>
          <t>Diagram 1</t>
        </is>
      </c>
      <c r="G748" s="16" t="inlineStr">
        <is>
          <t>Api response</t>
        </is>
      </c>
      <c r="H748" s="16" t="inlineStr">
        <is>
          <t>TMT/S3</t>
        </is>
      </c>
    </row>
    <row r="749" ht="16" customHeight="1">
      <c r="A749" s="16" t="inlineStr">
        <is>
          <t>TMT-S3-F030</t>
        </is>
      </c>
      <c r="B749" s="16" t="inlineStr">
        <is>
          <t>TMT</t>
        </is>
      </c>
      <c r="C749" s="16" t="inlineStr">
        <is>
          <t>S3</t>
        </is>
      </c>
      <c r="D749" s="16" t="inlineStr"/>
      <c r="E749" s="17" t="inlineStr">
        <is>
          <t>Elevation Using Impersonation</t>
        </is>
      </c>
      <c r="F749" s="16" t="inlineStr">
        <is>
          <t>Diagram 1</t>
        </is>
      </c>
      <c r="G749" s="16" t="inlineStr">
        <is>
          <t>Api response</t>
        </is>
      </c>
      <c r="H749" s="16" t="inlineStr">
        <is>
          <t>TMT/S3</t>
        </is>
      </c>
    </row>
    <row r="750" ht="16" customHeight="1">
      <c r="A750" s="16" t="inlineStr">
        <is>
          <t>TMT-S3-F031</t>
        </is>
      </c>
      <c r="B750" s="16" t="inlineStr">
        <is>
          <t>TMT</t>
        </is>
      </c>
      <c r="C750" s="16" t="inlineStr">
        <is>
          <t>S3</t>
        </is>
      </c>
      <c r="D750" s="16" t="inlineStr"/>
      <c r="E750" s="17" t="inlineStr">
        <is>
          <t>Elevation Using Impersonation</t>
        </is>
      </c>
      <c r="F750" s="16" t="inlineStr">
        <is>
          <t>Diagram 1</t>
        </is>
      </c>
      <c r="G750" s="16" t="inlineStr">
        <is>
          <t>Sanitized Prompt + Approved Context</t>
        </is>
      </c>
      <c r="H750" s="16" t="inlineStr">
        <is>
          <t>TMT/S3</t>
        </is>
      </c>
    </row>
    <row r="751" ht="16" customHeight="1">
      <c r="A751" s="16" t="inlineStr">
        <is>
          <t>TMT-S3-F032</t>
        </is>
      </c>
      <c r="B751" s="16" t="inlineStr">
        <is>
          <t>TMT</t>
        </is>
      </c>
      <c r="C751" s="16" t="inlineStr">
        <is>
          <t>S3</t>
        </is>
      </c>
      <c r="D751" s="16" t="inlineStr"/>
      <c r="E751" s="17" t="inlineStr">
        <is>
          <t>P5 AI Account Support Assistant Process Memory Tampered</t>
        </is>
      </c>
      <c r="F751" s="16" t="inlineStr">
        <is>
          <t>Diagram 1</t>
        </is>
      </c>
      <c r="G751" s="16" t="inlineStr">
        <is>
          <t>Sanitized Prompt + Approved Context</t>
        </is>
      </c>
      <c r="H751" s="16" t="inlineStr">
        <is>
          <t>TMT/S3</t>
        </is>
      </c>
    </row>
    <row r="752" ht="16" customHeight="1">
      <c r="A752" s="16" t="inlineStr">
        <is>
          <t>TMT-S3-F033</t>
        </is>
      </c>
      <c r="B752" s="16" t="inlineStr">
        <is>
          <t>TMT</t>
        </is>
      </c>
      <c r="C752" s="16" t="inlineStr">
        <is>
          <t>S3</t>
        </is>
      </c>
      <c r="D752" s="16" t="inlineStr"/>
      <c r="E752" s="17" t="inlineStr">
        <is>
          <t>Elevation Using Impersonation</t>
        </is>
      </c>
      <c r="F752" s="16" t="inlineStr">
        <is>
          <t>Diagram 1</t>
        </is>
      </c>
      <c r="G752" s="16" t="inlineStr">
        <is>
          <t>Generated LLM Response</t>
        </is>
      </c>
      <c r="H752" s="16" t="inlineStr">
        <is>
          <t>TMT/S3</t>
        </is>
      </c>
    </row>
    <row r="753" ht="16" customHeight="1">
      <c r="A753" s="16" t="inlineStr">
        <is>
          <t>TMT-S3-F034</t>
        </is>
      </c>
      <c r="B753" s="16" t="inlineStr">
        <is>
          <t>TMT</t>
        </is>
      </c>
      <c r="C753" s="16" t="inlineStr">
        <is>
          <t>S3</t>
        </is>
      </c>
      <c r="D753" s="16" t="inlineStr">
        <is>
          <t>model_substitution</t>
        </is>
      </c>
      <c r="E753" s="17" t="inlineStr">
        <is>
          <t>Spoofing the EE2 External LLM Provider External Entity</t>
        </is>
      </c>
      <c r="F753" s="16" t="inlineStr">
        <is>
          <t>Diagram 1</t>
        </is>
      </c>
      <c r="G753" s="16" t="inlineStr">
        <is>
          <t>Generated LLM Response</t>
        </is>
      </c>
      <c r="H753" s="16" t="inlineStr">
        <is>
          <t>TMT/S3</t>
        </is>
      </c>
    </row>
    <row r="754" ht="16" customHeight="1">
      <c r="A754" s="16" t="inlineStr">
        <is>
          <t>TMT-S3-F035</t>
        </is>
      </c>
      <c r="B754" s="16" t="inlineStr">
        <is>
          <t>TMT</t>
        </is>
      </c>
      <c r="C754" s="16" t="inlineStr">
        <is>
          <t>S3</t>
        </is>
      </c>
      <c r="D754" s="16" t="inlineStr"/>
      <c r="E754" s="17" t="inlineStr">
        <is>
          <t>Elevation Using Impersonation</t>
        </is>
      </c>
      <c r="F754" s="16" t="inlineStr">
        <is>
          <t>Diagram 1</t>
        </is>
      </c>
      <c r="G754" s="16" t="inlineStr">
        <is>
          <t>Processed AI Response</t>
        </is>
      </c>
      <c r="H754" s="16" t="inlineStr">
        <is>
          <t>TMT/S3</t>
        </is>
      </c>
    </row>
    <row r="755" ht="16" customHeight="1">
      <c r="A755" s="16" t="inlineStr">
        <is>
          <t>TMT-S3-F036</t>
        </is>
      </c>
      <c r="B755" s="16" t="inlineStr">
        <is>
          <t>TMT</t>
        </is>
      </c>
      <c r="C755" s="16" t="inlineStr">
        <is>
          <t>S3</t>
        </is>
      </c>
      <c r="D755" s="16" t="inlineStr"/>
      <c r="E755" s="17" t="inlineStr">
        <is>
          <t>P6 LLM Integration Service Process Memory Tampered</t>
        </is>
      </c>
      <c r="F755" s="16" t="inlineStr">
        <is>
          <t>Diagram 1</t>
        </is>
      </c>
      <c r="G755" s="16" t="inlineStr">
        <is>
          <t>Processed AI Response</t>
        </is>
      </c>
      <c r="H755" s="16" t="inlineStr">
        <is>
          <t>TMT/S3</t>
        </is>
      </c>
    </row>
    <row r="756" ht="16" customHeight="1">
      <c r="A756" s="16" t="inlineStr">
        <is>
          <t>TMT-S3-F037</t>
        </is>
      </c>
      <c r="B756" s="16" t="inlineStr">
        <is>
          <t>TMT</t>
        </is>
      </c>
      <c r="C756" s="16" t="inlineStr">
        <is>
          <t>S3</t>
        </is>
      </c>
      <c r="D756" s="16" t="inlineStr"/>
      <c r="E756" s="17" t="inlineStr">
        <is>
          <t>P1 Web Frontend Interface May be Subject to Elevation of Privilege Using Remote Code Execution</t>
        </is>
      </c>
      <c r="F756" s="16" t="inlineStr">
        <is>
          <t>Diagram 1</t>
        </is>
      </c>
      <c r="G756" s="16" t="inlineStr">
        <is>
          <t>Password reset request</t>
        </is>
      </c>
      <c r="H756" s="16" t="inlineStr">
        <is>
          <t>TMT/S3</t>
        </is>
      </c>
    </row>
    <row r="757" ht="16" customHeight="1">
      <c r="A757" s="16" t="inlineStr">
        <is>
          <t>TMT-S3-F038</t>
        </is>
      </c>
      <c r="B757" s="16" t="inlineStr">
        <is>
          <t>TMT</t>
        </is>
      </c>
      <c r="C757" s="16" t="inlineStr">
        <is>
          <t>S3</t>
        </is>
      </c>
      <c r="D757" s="16" t="inlineStr">
        <is>
          <t>dos_service</t>
        </is>
      </c>
      <c r="E757" s="17" t="inlineStr">
        <is>
          <t>Data Flow Password reset request Is Potentially Interrupted</t>
        </is>
      </c>
      <c r="F757" s="16" t="inlineStr">
        <is>
          <t>Diagram 1</t>
        </is>
      </c>
      <c r="G757" s="16" t="inlineStr">
        <is>
          <t>Password reset request</t>
        </is>
      </c>
      <c r="H757" s="16" t="inlineStr">
        <is>
          <t>TMT/S3</t>
        </is>
      </c>
    </row>
    <row r="758" ht="16" customHeight="1">
      <c r="A758" s="16" t="inlineStr">
        <is>
          <t>TMT-S3-F039</t>
        </is>
      </c>
      <c r="B758" s="16" t="inlineStr">
        <is>
          <t>TMT</t>
        </is>
      </c>
      <c r="C758" s="16" t="inlineStr">
        <is>
          <t>S3</t>
        </is>
      </c>
      <c r="D758" s="16" t="inlineStr"/>
      <c r="E758" s="17" t="inlineStr">
        <is>
          <t>Potential Process Crash or Stop for P1 Web Frontend Interface</t>
        </is>
      </c>
      <c r="F758" s="16" t="inlineStr">
        <is>
          <t>Diagram 1</t>
        </is>
      </c>
      <c r="G758" s="16" t="inlineStr">
        <is>
          <t>Password reset request</t>
        </is>
      </c>
      <c r="H758" s="16" t="inlineStr">
        <is>
          <t>TMT/S3</t>
        </is>
      </c>
    </row>
    <row r="759" ht="16" customHeight="1">
      <c r="A759" s="16" t="inlineStr">
        <is>
          <t>TMT-S3-F040</t>
        </is>
      </c>
      <c r="B759" s="16" t="inlineStr">
        <is>
          <t>TMT</t>
        </is>
      </c>
      <c r="C759" s="16" t="inlineStr">
        <is>
          <t>S3</t>
        </is>
      </c>
      <c r="D759" s="16" t="inlineStr">
        <is>
          <t>repudiation</t>
        </is>
      </c>
      <c r="E759" s="17" t="inlineStr">
        <is>
          <t>Potential Data Repudiation by P1 Web Frontend Interface</t>
        </is>
      </c>
      <c r="F759" s="16" t="inlineStr">
        <is>
          <t>Diagram 1</t>
        </is>
      </c>
      <c r="G759" s="16" t="inlineStr">
        <is>
          <t>Password reset request</t>
        </is>
      </c>
      <c r="H759" s="16" t="inlineStr">
        <is>
          <t>TMT/S3</t>
        </is>
      </c>
    </row>
    <row r="760" ht="16" customHeight="1">
      <c r="A760" s="16" t="inlineStr">
        <is>
          <t>TMT-S3-F041</t>
        </is>
      </c>
      <c r="B760" s="16" t="inlineStr">
        <is>
          <t>TMT</t>
        </is>
      </c>
      <c r="C760" s="16" t="inlineStr">
        <is>
          <t>S3</t>
        </is>
      </c>
      <c r="D760" s="16" t="inlineStr"/>
      <c r="E760" s="17" t="inlineStr">
        <is>
          <t>Elevation by Changing the Execution Flow in P1 Web Frontend Interface</t>
        </is>
      </c>
      <c r="F760" s="16" t="inlineStr">
        <is>
          <t>Diagram 1</t>
        </is>
      </c>
      <c r="G760" s="16" t="inlineStr">
        <is>
          <t>reset token and new password</t>
        </is>
      </c>
      <c r="H760" s="16" t="inlineStr">
        <is>
          <t>TMT/S3</t>
        </is>
      </c>
    </row>
    <row r="761" ht="16" customHeight="1">
      <c r="A761" s="16" t="inlineStr">
        <is>
          <t>TMT-S3-F042</t>
        </is>
      </c>
      <c r="B761" s="16" t="inlineStr">
        <is>
          <t>TMT</t>
        </is>
      </c>
      <c r="C761" s="16" t="inlineStr">
        <is>
          <t>S3</t>
        </is>
      </c>
      <c r="D761" s="16" t="inlineStr"/>
      <c r="E761" s="17" t="inlineStr">
        <is>
          <t>P1 Web Frontend Interface May be Subject to Elevation of Privilege Using Remote Code Execution</t>
        </is>
      </c>
      <c r="F761" s="16" t="inlineStr">
        <is>
          <t>Diagram 1</t>
        </is>
      </c>
      <c r="G761" s="16" t="inlineStr">
        <is>
          <t>reset token and new password</t>
        </is>
      </c>
      <c r="H761" s="16" t="inlineStr">
        <is>
          <t>TMT/S3</t>
        </is>
      </c>
    </row>
    <row r="762" ht="16" customHeight="1">
      <c r="A762" s="16" t="inlineStr">
        <is>
          <t>TMT-S3-F043</t>
        </is>
      </c>
      <c r="B762" s="16" t="inlineStr">
        <is>
          <t>TMT</t>
        </is>
      </c>
      <c r="C762" s="16" t="inlineStr">
        <is>
          <t>S3</t>
        </is>
      </c>
      <c r="D762" s="16" t="inlineStr">
        <is>
          <t>dos_service</t>
        </is>
      </c>
      <c r="E762" s="17" t="inlineStr">
        <is>
          <t>Data Flow reset token and new password Is Potentially Interrupted</t>
        </is>
      </c>
      <c r="F762" s="16" t="inlineStr">
        <is>
          <t>Diagram 1</t>
        </is>
      </c>
      <c r="G762" s="16" t="inlineStr">
        <is>
          <t>reset token and new password</t>
        </is>
      </c>
      <c r="H762" s="16" t="inlineStr">
        <is>
          <t>TMT/S3</t>
        </is>
      </c>
    </row>
    <row r="763" ht="16" customHeight="1">
      <c r="A763" s="16" t="inlineStr">
        <is>
          <t>TMT-S3-F044</t>
        </is>
      </c>
      <c r="B763" s="16" t="inlineStr">
        <is>
          <t>TMT</t>
        </is>
      </c>
      <c r="C763" s="16" t="inlineStr">
        <is>
          <t>S3</t>
        </is>
      </c>
      <c r="D763" s="16" t="inlineStr"/>
      <c r="E763" s="17" t="inlineStr">
        <is>
          <t>Potential Process Crash or Stop for P1 Web Frontend Interface</t>
        </is>
      </c>
      <c r="F763" s="16" t="inlineStr">
        <is>
          <t>Diagram 1</t>
        </is>
      </c>
      <c r="G763" s="16" t="inlineStr">
        <is>
          <t>reset token and new password</t>
        </is>
      </c>
      <c r="H763" s="16" t="inlineStr">
        <is>
          <t>TMT/S3</t>
        </is>
      </c>
    </row>
    <row r="764" ht="16" customHeight="1">
      <c r="A764" s="16" t="inlineStr">
        <is>
          <t>TMT-S3-F045</t>
        </is>
      </c>
      <c r="B764" s="16" t="inlineStr">
        <is>
          <t>TMT</t>
        </is>
      </c>
      <c r="C764" s="16" t="inlineStr">
        <is>
          <t>S3</t>
        </is>
      </c>
      <c r="D764" s="16" t="inlineStr">
        <is>
          <t>repudiation</t>
        </is>
      </c>
      <c r="E764" s="17" t="inlineStr">
        <is>
          <t>Potential Data Repudiation by P1 Web Frontend Interface</t>
        </is>
      </c>
      <c r="F764" s="16" t="inlineStr">
        <is>
          <t>Diagram 1</t>
        </is>
      </c>
      <c r="G764" s="16" t="inlineStr">
        <is>
          <t>reset token and new password</t>
        </is>
      </c>
      <c r="H764" s="16" t="inlineStr">
        <is>
          <t>TMT/S3</t>
        </is>
      </c>
    </row>
    <row r="765" ht="16" customHeight="1">
      <c r="A765" s="16" t="inlineStr">
        <is>
          <t>TMT-S3-F046</t>
        </is>
      </c>
      <c r="B765" s="16" t="inlineStr">
        <is>
          <t>TMT</t>
        </is>
      </c>
      <c r="C765" s="16" t="inlineStr">
        <is>
          <t>S3</t>
        </is>
      </c>
      <c r="D765" s="16" t="inlineStr"/>
      <c r="E765" s="17" t="inlineStr">
        <is>
          <t>Cross Site Request Forgery</t>
        </is>
      </c>
      <c r="F765" s="16" t="inlineStr">
        <is>
          <t>Diagram 1</t>
        </is>
      </c>
      <c r="G765" s="16" t="inlineStr">
        <is>
          <t>Password reset request</t>
        </is>
      </c>
      <c r="H765" s="16" t="inlineStr">
        <is>
          <t>TMT/S3</t>
        </is>
      </c>
    </row>
    <row r="766" ht="16" customHeight="1">
      <c r="A766" s="16" t="inlineStr">
        <is>
          <t>TMT-S3-F047</t>
        </is>
      </c>
      <c r="B766" s="16" t="inlineStr">
        <is>
          <t>TMT</t>
        </is>
      </c>
      <c r="C766" s="16" t="inlineStr">
        <is>
          <t>S3</t>
        </is>
      </c>
      <c r="D766" s="16" t="inlineStr"/>
      <c r="E766" s="17" t="inlineStr">
        <is>
          <t>Elevation by Changing the Execution Flow in P1 Web Frontend Interface</t>
        </is>
      </c>
      <c r="F766" s="16" t="inlineStr">
        <is>
          <t>Diagram 1</t>
        </is>
      </c>
      <c r="G766" s="16" t="inlineStr">
        <is>
          <t>Password reset request</t>
        </is>
      </c>
      <c r="H766" s="16" t="inlineStr">
        <is>
          <t>TMT/S3</t>
        </is>
      </c>
    </row>
    <row r="767" ht="16" customHeight="1">
      <c r="A767" s="16" t="inlineStr">
        <is>
          <t>TMT-S3-F048</t>
        </is>
      </c>
      <c r="B767" s="16" t="inlineStr">
        <is>
          <t>TMT</t>
        </is>
      </c>
      <c r="C767" s="16" t="inlineStr">
        <is>
          <t>S3</t>
        </is>
      </c>
      <c r="D767" s="16" t="inlineStr"/>
      <c r="E767" s="17" t="inlineStr">
        <is>
          <t>Cross Site Request Forgery</t>
        </is>
      </c>
      <c r="F767" s="16" t="inlineStr">
        <is>
          <t>Diagram 1</t>
        </is>
      </c>
      <c r="G767" s="16" t="inlineStr">
        <is>
          <t>reset token and new password</t>
        </is>
      </c>
      <c r="H767" s="16" t="inlineStr">
        <is>
          <t>TMT/S3</t>
        </is>
      </c>
    </row>
    <row r="768" ht="16" customHeight="1">
      <c r="A768" s="16" t="inlineStr">
        <is>
          <t>TMT-S3-F049</t>
        </is>
      </c>
      <c r="B768" s="16" t="inlineStr">
        <is>
          <t>TMT</t>
        </is>
      </c>
      <c r="C768" s="16" t="inlineStr">
        <is>
          <t>S3</t>
        </is>
      </c>
      <c r="D768" s="16" t="inlineStr"/>
      <c r="E768" s="17" t="inlineStr">
        <is>
          <t>Spoofing the EE1 Registered User (Browser) Process</t>
        </is>
      </c>
      <c r="F768" s="16" t="inlineStr">
        <is>
          <t>Diagram 1</t>
        </is>
      </c>
      <c r="G768" s="16" t="inlineStr">
        <is>
          <t>password reset token</t>
        </is>
      </c>
      <c r="H768" s="16" t="inlineStr">
        <is>
          <t>TMT/S3</t>
        </is>
      </c>
    </row>
    <row r="769" ht="16" customHeight="1">
      <c r="A769" s="16" t="inlineStr">
        <is>
          <t>TMT-S3-F050</t>
        </is>
      </c>
      <c r="B769" s="16" t="inlineStr">
        <is>
          <t>TMT</t>
        </is>
      </c>
      <c r="C769" s="16" t="inlineStr">
        <is>
          <t>S3</t>
        </is>
      </c>
      <c r="D769" s="16" t="inlineStr"/>
      <c r="E769" s="17" t="inlineStr">
        <is>
          <t>Potential Lack of Input Validation for EE1 Registered User (Browser)</t>
        </is>
      </c>
      <c r="F769" s="16" t="inlineStr">
        <is>
          <t>Diagram 1</t>
        </is>
      </c>
      <c r="G769" s="16" t="inlineStr">
        <is>
          <t>password reset token</t>
        </is>
      </c>
      <c r="H769" s="16" t="inlineStr">
        <is>
          <t>TMT/S3</t>
        </is>
      </c>
    </row>
    <row r="770" ht="16" customHeight="1">
      <c r="A770" s="16" t="inlineStr">
        <is>
          <t>TMT-S3-F051</t>
        </is>
      </c>
      <c r="B770" s="16" t="inlineStr">
        <is>
          <t>TMT</t>
        </is>
      </c>
      <c r="C770" s="16" t="inlineStr">
        <is>
          <t>S3</t>
        </is>
      </c>
      <c r="D770" s="16" t="inlineStr">
        <is>
          <t>repudiation</t>
        </is>
      </c>
      <c r="E770" s="17" t="inlineStr">
        <is>
          <t>Potential Data Repudiation by EE1 Registered User (Browser)</t>
        </is>
      </c>
      <c r="F770" s="16" t="inlineStr">
        <is>
          <t>Diagram 1</t>
        </is>
      </c>
      <c r="G770" s="16" t="inlineStr">
        <is>
          <t>password reset token</t>
        </is>
      </c>
      <c r="H770" s="16" t="inlineStr">
        <is>
          <t>TMT/S3</t>
        </is>
      </c>
    </row>
    <row r="771" ht="16" customHeight="1">
      <c r="A771" s="16" t="inlineStr">
        <is>
          <t>TMT-S3-F052</t>
        </is>
      </c>
      <c r="B771" s="16" t="inlineStr">
        <is>
          <t>TMT</t>
        </is>
      </c>
      <c r="C771" s="16" t="inlineStr">
        <is>
          <t>S3</t>
        </is>
      </c>
      <c r="D771" s="16" t="inlineStr">
        <is>
          <t>transit_token</t>
        </is>
      </c>
      <c r="E771" s="17" t="inlineStr">
        <is>
          <t>Data Flow Sniffing</t>
        </is>
      </c>
      <c r="F771" s="16" t="inlineStr">
        <is>
          <t>Diagram 1</t>
        </is>
      </c>
      <c r="G771" s="16" t="inlineStr">
        <is>
          <t>password reset token</t>
        </is>
      </c>
      <c r="H771" s="16" t="inlineStr">
        <is>
          <t>TMT/S3</t>
        </is>
      </c>
    </row>
    <row r="772" ht="16" customHeight="1">
      <c r="A772" s="16" t="inlineStr">
        <is>
          <t>TMT-S3-F053</t>
        </is>
      </c>
      <c r="B772" s="16" t="inlineStr">
        <is>
          <t>TMT</t>
        </is>
      </c>
      <c r="C772" s="16" t="inlineStr">
        <is>
          <t>S3</t>
        </is>
      </c>
      <c r="D772" s="16" t="inlineStr"/>
      <c r="E772" s="17" t="inlineStr">
        <is>
          <t>Potential Process Crash or Stop for EE1 Registered User (Browser)</t>
        </is>
      </c>
      <c r="F772" s="16" t="inlineStr">
        <is>
          <t>Diagram 1</t>
        </is>
      </c>
      <c r="G772" s="16" t="inlineStr">
        <is>
          <t>password reset token</t>
        </is>
      </c>
      <c r="H772" s="16" t="inlineStr">
        <is>
          <t>TMT/S3</t>
        </is>
      </c>
    </row>
    <row r="773" ht="16" customHeight="1">
      <c r="A773" s="16" t="inlineStr">
        <is>
          <t>TMT-S3-F054</t>
        </is>
      </c>
      <c r="B773" s="16" t="inlineStr">
        <is>
          <t>TMT</t>
        </is>
      </c>
      <c r="C773" s="16" t="inlineStr">
        <is>
          <t>S3</t>
        </is>
      </c>
      <c r="D773" s="16" t="inlineStr">
        <is>
          <t>dos_service</t>
        </is>
      </c>
      <c r="E773" s="17" t="inlineStr">
        <is>
          <t>Data Flow password reset token Is Potentially Interrupted</t>
        </is>
      </c>
      <c r="F773" s="16" t="inlineStr">
        <is>
          <t>Diagram 1</t>
        </is>
      </c>
      <c r="G773" s="16" t="inlineStr">
        <is>
          <t>password reset token</t>
        </is>
      </c>
      <c r="H773" s="16" t="inlineStr">
        <is>
          <t>TMT/S3</t>
        </is>
      </c>
    </row>
    <row r="774" ht="16" customHeight="1">
      <c r="A774" s="16" t="inlineStr">
        <is>
          <t>TMT-S3-F055</t>
        </is>
      </c>
      <c r="B774" s="16" t="inlineStr">
        <is>
          <t>TMT</t>
        </is>
      </c>
      <c r="C774" s="16" t="inlineStr">
        <is>
          <t>S3</t>
        </is>
      </c>
      <c r="D774" s="16" t="inlineStr"/>
      <c r="E774" s="17" t="inlineStr">
        <is>
          <t>EE1 Registered User (Browser) May be Subject to Elevation of Privilege Using Remote Code Execution</t>
        </is>
      </c>
      <c r="F774" s="16" t="inlineStr">
        <is>
          <t>Diagram 1</t>
        </is>
      </c>
      <c r="G774" s="16" t="inlineStr">
        <is>
          <t>password reset token</t>
        </is>
      </c>
      <c r="H774" s="16" t="inlineStr">
        <is>
          <t>TMT/S3</t>
        </is>
      </c>
    </row>
    <row r="775" ht="16" customHeight="1">
      <c r="A775" s="16" t="inlineStr">
        <is>
          <t>TMT-S3-F056</t>
        </is>
      </c>
      <c r="B775" s="16" t="inlineStr">
        <is>
          <t>TMT</t>
        </is>
      </c>
      <c r="C775" s="16" t="inlineStr">
        <is>
          <t>S3</t>
        </is>
      </c>
      <c r="D775" s="16" t="inlineStr"/>
      <c r="E775" s="17" t="inlineStr">
        <is>
          <t>Elevation by Changing the Execution Flow in EE1 Registered User (Browser)</t>
        </is>
      </c>
      <c r="F775" s="16" t="inlineStr">
        <is>
          <t>Diagram 1</t>
        </is>
      </c>
      <c r="G775" s="16" t="inlineStr">
        <is>
          <t>password reset token</t>
        </is>
      </c>
      <c r="H775" s="16" t="inlineStr">
        <is>
          <t>TMT/S3</t>
        </is>
      </c>
    </row>
    <row r="776" ht="16" customHeight="1">
      <c r="A776" s="16" t="inlineStr">
        <is>
          <t>TMT-S3-F057</t>
        </is>
      </c>
      <c r="B776" s="16" t="inlineStr">
        <is>
          <t>TMT</t>
        </is>
      </c>
      <c r="C776" s="16" t="inlineStr">
        <is>
          <t>S3</t>
        </is>
      </c>
      <c r="D776" s="16" t="inlineStr"/>
      <c r="E776" s="17" t="inlineStr">
        <is>
          <t>Elevation by Changing the Execution Flow in EE1 Registered User (Browser)</t>
        </is>
      </c>
      <c r="F776" s="16" t="inlineStr">
        <is>
          <t>Diagram 1</t>
        </is>
      </c>
      <c r="G776" s="16" t="inlineStr">
        <is>
          <t>Api response</t>
        </is>
      </c>
      <c r="H776" s="16" t="inlineStr">
        <is>
          <t>TMT/S3</t>
        </is>
      </c>
    </row>
    <row r="777" ht="16" customHeight="1">
      <c r="A777" s="16" t="inlineStr">
        <is>
          <t>TMT-S3-F058</t>
        </is>
      </c>
      <c r="B777" s="16" t="inlineStr">
        <is>
          <t>TMT</t>
        </is>
      </c>
      <c r="C777" s="16" t="inlineStr">
        <is>
          <t>S3</t>
        </is>
      </c>
      <c r="D777" s="16" t="inlineStr"/>
      <c r="E777" s="17" t="inlineStr">
        <is>
          <t>EE1 Registered User (Browser) May be Subject to Elevation of Privilege Using Remote Code Execution</t>
        </is>
      </c>
      <c r="F777" s="16" t="inlineStr">
        <is>
          <t>Diagram 1</t>
        </is>
      </c>
      <c r="G777" s="16" t="inlineStr">
        <is>
          <t>Api response</t>
        </is>
      </c>
      <c r="H777" s="16" t="inlineStr">
        <is>
          <t>TMT/S3</t>
        </is>
      </c>
    </row>
    <row r="778" ht="16" customHeight="1">
      <c r="A778" s="16" t="inlineStr">
        <is>
          <t>TMT-S3-F059</t>
        </is>
      </c>
      <c r="B778" s="16" t="inlineStr">
        <is>
          <t>TMT</t>
        </is>
      </c>
      <c r="C778" s="16" t="inlineStr">
        <is>
          <t>S3</t>
        </is>
      </c>
      <c r="D778" s="16" t="inlineStr">
        <is>
          <t>dos_service</t>
        </is>
      </c>
      <c r="E778" s="17" t="inlineStr">
        <is>
          <t>Data Flow Api response Is Potentially Interrupted</t>
        </is>
      </c>
      <c r="F778" s="16" t="inlineStr">
        <is>
          <t>Diagram 1</t>
        </is>
      </c>
      <c r="G778" s="16" t="inlineStr">
        <is>
          <t>Api response</t>
        </is>
      </c>
      <c r="H778" s="16" t="inlineStr">
        <is>
          <t>TMT/S3</t>
        </is>
      </c>
    </row>
    <row r="779" ht="16" customHeight="1">
      <c r="A779" s="16" t="inlineStr">
        <is>
          <t>TMT-S3-F060</t>
        </is>
      </c>
      <c r="B779" s="16" t="inlineStr">
        <is>
          <t>TMT</t>
        </is>
      </c>
      <c r="C779" s="16" t="inlineStr">
        <is>
          <t>S3</t>
        </is>
      </c>
      <c r="D779" s="16" t="inlineStr"/>
      <c r="E779" s="17" t="inlineStr">
        <is>
          <t>Potential Process Crash or Stop for EE1 Registered User (Browser)</t>
        </is>
      </c>
      <c r="F779" s="16" t="inlineStr">
        <is>
          <t>Diagram 1</t>
        </is>
      </c>
      <c r="G779" s="16" t="inlineStr">
        <is>
          <t>Api response</t>
        </is>
      </c>
      <c r="H779" s="16" t="inlineStr">
        <is>
          <t>TMT/S3</t>
        </is>
      </c>
    </row>
    <row r="780" ht="16" customHeight="1">
      <c r="A780" s="16" t="inlineStr">
        <is>
          <t>TMT-S3-F061</t>
        </is>
      </c>
      <c r="B780" s="16" t="inlineStr">
        <is>
          <t>TMT</t>
        </is>
      </c>
      <c r="C780" s="16" t="inlineStr">
        <is>
          <t>S3</t>
        </is>
      </c>
      <c r="D780" s="16" t="inlineStr">
        <is>
          <t>repudiation</t>
        </is>
      </c>
      <c r="E780" s="17" t="inlineStr">
        <is>
          <t>Potential Data Repudiation by EE1 Registered User (Browser)</t>
        </is>
      </c>
      <c r="F780" s="16" t="inlineStr">
        <is>
          <t>Diagram 1</t>
        </is>
      </c>
      <c r="G780" s="16" t="inlineStr">
        <is>
          <t>Api response</t>
        </is>
      </c>
      <c r="H780" s="16" t="inlineStr">
        <is>
          <t>TMT/S3</t>
        </is>
      </c>
    </row>
    <row r="781" ht="16" customHeight="1">
      <c r="A781" s="16" t="inlineStr">
        <is>
          <t>TMT-S3-F062</t>
        </is>
      </c>
      <c r="B781" s="16" t="inlineStr">
        <is>
          <t>TMT</t>
        </is>
      </c>
      <c r="C781" s="16" t="inlineStr">
        <is>
          <t>S3</t>
        </is>
      </c>
      <c r="D781" s="16" t="inlineStr"/>
      <c r="E781" s="17" t="inlineStr">
        <is>
          <t>Cross Site Request Forgery</t>
        </is>
      </c>
      <c r="F781" s="16" t="inlineStr">
        <is>
          <t>Diagram 1</t>
        </is>
      </c>
      <c r="G781" s="16" t="inlineStr">
        <is>
          <t>authenticated api request</t>
        </is>
      </c>
      <c r="H781" s="16" t="inlineStr">
        <is>
          <t>TMT/S3</t>
        </is>
      </c>
    </row>
    <row r="782" ht="16" customHeight="1">
      <c r="A782" s="16" t="inlineStr">
        <is>
          <t>TMT-S3-F063</t>
        </is>
      </c>
      <c r="B782" s="16" t="inlineStr">
        <is>
          <t>TMT</t>
        </is>
      </c>
      <c r="C782" s="16" t="inlineStr">
        <is>
          <t>S3</t>
        </is>
      </c>
      <c r="D782" s="16" t="inlineStr"/>
      <c r="E782" s="17" t="inlineStr">
        <is>
          <t>Elevation by Changing the Execution Flow in P1 Web Frontend Interface</t>
        </is>
      </c>
      <c r="F782" s="16" t="inlineStr">
        <is>
          <t>Diagram 1</t>
        </is>
      </c>
      <c r="G782" s="16" t="inlineStr">
        <is>
          <t>authenticated api request</t>
        </is>
      </c>
      <c r="H782" s="16" t="inlineStr">
        <is>
          <t>TMT/S3</t>
        </is>
      </c>
    </row>
    <row r="783" ht="16" customHeight="1">
      <c r="A783" s="16" t="inlineStr">
        <is>
          <t>TMT-S3-F064</t>
        </is>
      </c>
      <c r="B783" s="16" t="inlineStr">
        <is>
          <t>TMT</t>
        </is>
      </c>
      <c r="C783" s="16" t="inlineStr">
        <is>
          <t>S3</t>
        </is>
      </c>
      <c r="D783" s="16" t="inlineStr"/>
      <c r="E783" s="17" t="inlineStr">
        <is>
          <t>P1 Web Frontend Interface May be Subject to Elevation of Privilege Using Remote Code Execution</t>
        </is>
      </c>
      <c r="F783" s="16" t="inlineStr">
        <is>
          <t>Diagram 1</t>
        </is>
      </c>
      <c r="G783" s="16" t="inlineStr">
        <is>
          <t>authenticated api request</t>
        </is>
      </c>
      <c r="H783" s="16" t="inlineStr">
        <is>
          <t>TMT/S3</t>
        </is>
      </c>
    </row>
    <row r="784" ht="16" customHeight="1">
      <c r="A784" s="16" t="inlineStr">
        <is>
          <t>TMT-S3-F065</t>
        </is>
      </c>
      <c r="B784" s="16" t="inlineStr">
        <is>
          <t>TMT</t>
        </is>
      </c>
      <c r="C784" s="16" t="inlineStr">
        <is>
          <t>S3</t>
        </is>
      </c>
      <c r="D784" s="16" t="inlineStr">
        <is>
          <t>dos_service</t>
        </is>
      </c>
      <c r="E784" s="17" t="inlineStr">
        <is>
          <t>Data Flow authenticated api request Is Potentially Interrupted</t>
        </is>
      </c>
      <c r="F784" s="16" t="inlineStr">
        <is>
          <t>Diagram 1</t>
        </is>
      </c>
      <c r="G784" s="16" t="inlineStr">
        <is>
          <t>authenticated api request</t>
        </is>
      </c>
      <c r="H784" s="16" t="inlineStr">
        <is>
          <t>TMT/S3</t>
        </is>
      </c>
    </row>
    <row r="785" ht="16" customHeight="1">
      <c r="A785" s="16" t="inlineStr">
        <is>
          <t>TMT-S3-F066</t>
        </is>
      </c>
      <c r="B785" s="16" t="inlineStr">
        <is>
          <t>TMT</t>
        </is>
      </c>
      <c r="C785" s="16" t="inlineStr">
        <is>
          <t>S3</t>
        </is>
      </c>
      <c r="D785" s="16" t="inlineStr"/>
      <c r="E785" s="17" t="inlineStr">
        <is>
          <t>Potential Process Crash or Stop for P1 Web Frontend Interface</t>
        </is>
      </c>
      <c r="F785" s="16" t="inlineStr">
        <is>
          <t>Diagram 1</t>
        </is>
      </c>
      <c r="G785" s="16" t="inlineStr">
        <is>
          <t>authenticated api request</t>
        </is>
      </c>
      <c r="H785" s="16" t="inlineStr">
        <is>
          <t>TMT/S3</t>
        </is>
      </c>
    </row>
    <row r="786" ht="16" customHeight="1">
      <c r="A786" s="16" t="inlineStr">
        <is>
          <t>TMT-S3-F067</t>
        </is>
      </c>
      <c r="B786" s="16" t="inlineStr">
        <is>
          <t>TMT</t>
        </is>
      </c>
      <c r="C786" s="16" t="inlineStr">
        <is>
          <t>S3</t>
        </is>
      </c>
      <c r="D786" s="16" t="inlineStr">
        <is>
          <t>repudiation</t>
        </is>
      </c>
      <c r="E786" s="17" t="inlineStr">
        <is>
          <t>Potential Data Repudiation by P1 Web Frontend Interface</t>
        </is>
      </c>
      <c r="F786" s="16" t="inlineStr">
        <is>
          <t>Diagram 1</t>
        </is>
      </c>
      <c r="G786" s="16" t="inlineStr">
        <is>
          <t>authenticated api request</t>
        </is>
      </c>
      <c r="H786" s="16" t="inlineStr">
        <is>
          <t>TMT/S3</t>
        </is>
      </c>
    </row>
    <row r="787" ht="16" customHeight="1">
      <c r="A787" s="16" t="inlineStr">
        <is>
          <t>TMT-S3-F068</t>
        </is>
      </c>
      <c r="B787" s="16" t="inlineStr">
        <is>
          <t>TMT</t>
        </is>
      </c>
      <c r="C787" s="16" t="inlineStr">
        <is>
          <t>S3</t>
        </is>
      </c>
      <c r="D787" s="16" t="inlineStr"/>
      <c r="E787" s="17" t="inlineStr">
        <is>
          <t>Cross Site Request Forgery</t>
        </is>
      </c>
      <c r="F787" s="16" t="inlineStr">
        <is>
          <t>Diagram 1</t>
        </is>
      </c>
      <c r="G787" s="16" t="inlineStr">
        <is>
          <t>Generated LLM Response</t>
        </is>
      </c>
      <c r="H787" s="16" t="inlineStr">
        <is>
          <t>TMT/S3</t>
        </is>
      </c>
    </row>
    <row r="788" ht="16" customHeight="1">
      <c r="A788" s="16" t="inlineStr">
        <is>
          <t>TMT-S3-F069</t>
        </is>
      </c>
      <c r="B788" s="16" t="inlineStr">
        <is>
          <t>TMT</t>
        </is>
      </c>
      <c r="C788" s="16" t="inlineStr">
        <is>
          <t>S3</t>
        </is>
      </c>
      <c r="D788" s="16" t="inlineStr"/>
      <c r="E788" s="17" t="inlineStr">
        <is>
          <t>Elevation by Changing the Execution Flow in P6 LLM Integration Service</t>
        </is>
      </c>
      <c r="F788" s="16" t="inlineStr">
        <is>
          <t>Diagram 1</t>
        </is>
      </c>
      <c r="G788" s="16" t="inlineStr">
        <is>
          <t>Generated LLM Response</t>
        </is>
      </c>
      <c r="H788" s="16" t="inlineStr">
        <is>
          <t>TMT/S3</t>
        </is>
      </c>
    </row>
    <row r="789" ht="16" customHeight="1">
      <c r="A789" s="16" t="inlineStr">
        <is>
          <t>TMT-S3-F070</t>
        </is>
      </c>
      <c r="B789" s="16" t="inlineStr">
        <is>
          <t>TMT</t>
        </is>
      </c>
      <c r="C789" s="16" t="inlineStr">
        <is>
          <t>S3</t>
        </is>
      </c>
      <c r="D789" s="16" t="inlineStr"/>
      <c r="E789" s="17" t="inlineStr">
        <is>
          <t>P6 LLM Integration Service May be Subject to Elevation of Privilege Using Remote Code Execution</t>
        </is>
      </c>
      <c r="F789" s="16" t="inlineStr">
        <is>
          <t>Diagram 1</t>
        </is>
      </c>
      <c r="G789" s="16" t="inlineStr">
        <is>
          <t>Generated LLM Response</t>
        </is>
      </c>
      <c r="H789" s="16" t="inlineStr">
        <is>
          <t>TMT/S3</t>
        </is>
      </c>
    </row>
    <row r="790" ht="16" customHeight="1">
      <c r="A790" s="16" t="inlineStr">
        <is>
          <t>TMT-S3-F071</t>
        </is>
      </c>
      <c r="B790" s="16" t="inlineStr">
        <is>
          <t>TMT</t>
        </is>
      </c>
      <c r="C790" s="16" t="inlineStr">
        <is>
          <t>S3</t>
        </is>
      </c>
      <c r="D790" s="16" t="inlineStr">
        <is>
          <t>llm_unavailable</t>
        </is>
      </c>
      <c r="E790" s="17" t="inlineStr">
        <is>
          <t>Data Flow Generated LLM Response Is Potentially Interrupted</t>
        </is>
      </c>
      <c r="F790" s="16" t="inlineStr">
        <is>
          <t>Diagram 1</t>
        </is>
      </c>
      <c r="G790" s="16" t="inlineStr">
        <is>
          <t>Generated LLM Response</t>
        </is>
      </c>
      <c r="H790" s="16" t="inlineStr">
        <is>
          <t>TMT/S3</t>
        </is>
      </c>
    </row>
    <row r="791" ht="16" customHeight="1">
      <c r="A791" s="16" t="inlineStr">
        <is>
          <t>TMT-S3-F072</t>
        </is>
      </c>
      <c r="B791" s="16" t="inlineStr">
        <is>
          <t>TMT</t>
        </is>
      </c>
      <c r="C791" s="16" t="inlineStr">
        <is>
          <t>S3</t>
        </is>
      </c>
      <c r="D791" s="16" t="inlineStr"/>
      <c r="E791" s="17" t="inlineStr">
        <is>
          <t>Potential Process Crash or Stop for P6 LLM Integration Service</t>
        </is>
      </c>
      <c r="F791" s="16" t="inlineStr">
        <is>
          <t>Diagram 1</t>
        </is>
      </c>
      <c r="G791" s="16" t="inlineStr">
        <is>
          <t>Generated LLM Response</t>
        </is>
      </c>
      <c r="H791" s="16" t="inlineStr">
        <is>
          <t>TMT/S3</t>
        </is>
      </c>
    </row>
    <row r="792" ht="16" customHeight="1">
      <c r="A792" s="16" t="inlineStr">
        <is>
          <t>TMT-S3-F073</t>
        </is>
      </c>
      <c r="B792" s="16" t="inlineStr">
        <is>
          <t>TMT</t>
        </is>
      </c>
      <c r="C792" s="16" t="inlineStr">
        <is>
          <t>S3</t>
        </is>
      </c>
      <c r="D792" s="16" t="inlineStr"/>
      <c r="E792" s="17" t="inlineStr">
        <is>
          <t>Data Flow Sniffing</t>
        </is>
      </c>
      <c r="F792" s="16" t="inlineStr">
        <is>
          <t>Diagram 1</t>
        </is>
      </c>
      <c r="G792" s="16" t="inlineStr">
        <is>
          <t>Generated LLM Response</t>
        </is>
      </c>
      <c r="H792" s="16" t="inlineStr">
        <is>
          <t>TMT/S3</t>
        </is>
      </c>
    </row>
    <row r="793" ht="16" customHeight="1">
      <c r="A793" s="16" t="inlineStr">
        <is>
          <t>TMT-S3-F074</t>
        </is>
      </c>
      <c r="B793" s="16" t="inlineStr">
        <is>
          <t>TMT</t>
        </is>
      </c>
      <c r="C793" s="16" t="inlineStr">
        <is>
          <t>S3</t>
        </is>
      </c>
      <c r="D793" s="16" t="inlineStr">
        <is>
          <t>repudiation</t>
        </is>
      </c>
      <c r="E793" s="17" t="inlineStr">
        <is>
          <t>Potential Data Repudiation by P6 LLM Integration Service</t>
        </is>
      </c>
      <c r="F793" s="16" t="inlineStr">
        <is>
          <t>Diagram 1</t>
        </is>
      </c>
      <c r="G793" s="16" t="inlineStr">
        <is>
          <t>Generated LLM Response</t>
        </is>
      </c>
      <c r="H793" s="16" t="inlineStr">
        <is>
          <t>TMT/S3</t>
        </is>
      </c>
    </row>
    <row r="794" ht="16" customHeight="1">
      <c r="A794" s="16" t="inlineStr">
        <is>
          <t>TMT-S3-F075</t>
        </is>
      </c>
      <c r="B794" s="16" t="inlineStr">
        <is>
          <t>TMT</t>
        </is>
      </c>
      <c r="C794" s="16" t="inlineStr">
        <is>
          <t>S3</t>
        </is>
      </c>
      <c r="D794" s="16" t="inlineStr">
        <is>
          <t>unsafe_output</t>
        </is>
      </c>
      <c r="E794" s="17" t="inlineStr">
        <is>
          <t>Potential Lack of Input Validation for P6 LLM Integration Service</t>
        </is>
      </c>
      <c r="F794" s="16" t="inlineStr">
        <is>
          <t>Diagram 1</t>
        </is>
      </c>
      <c r="G794" s="16" t="inlineStr">
        <is>
          <t>Generated LLM Response</t>
        </is>
      </c>
      <c r="H794" s="16" t="inlineStr">
        <is>
          <t>TMT/S3</t>
        </is>
      </c>
    </row>
    <row r="795" ht="16" customHeight="1">
      <c r="A795" s="16" t="inlineStr">
        <is>
          <t>TMT-S3-F076</t>
        </is>
      </c>
      <c r="B795" s="16" t="inlineStr">
        <is>
          <t>TMT</t>
        </is>
      </c>
      <c r="C795" s="16" t="inlineStr">
        <is>
          <t>S3</t>
        </is>
      </c>
      <c r="D795" s="16" t="inlineStr"/>
      <c r="E795" s="17" t="inlineStr">
        <is>
          <t>Spoofing the P6 LLM Integration Service Process</t>
        </is>
      </c>
      <c r="F795" s="16" t="inlineStr">
        <is>
          <t>Diagram 1</t>
        </is>
      </c>
      <c r="G795" s="16" t="inlineStr">
        <is>
          <t>Generated LLM Response</t>
        </is>
      </c>
      <c r="H795" s="16" t="inlineStr">
        <is>
          <t>TMT/S3</t>
        </is>
      </c>
    </row>
    <row r="796" ht="16" customHeight="1">
      <c r="A796" s="16" t="inlineStr">
        <is>
          <t>TMT-S3-F077</t>
        </is>
      </c>
      <c r="B796" s="16" t="inlineStr">
        <is>
          <t>TMT</t>
        </is>
      </c>
      <c r="C796" s="16" t="inlineStr">
        <is>
          <t>S3</t>
        </is>
      </c>
      <c r="D796" s="16" t="inlineStr">
        <is>
          <t>llm_unavailable</t>
        </is>
      </c>
      <c r="E796" s="17" t="inlineStr">
        <is>
          <t>Data Flow LLM Prompt Request Is Potentially Interrupted</t>
        </is>
      </c>
      <c r="F796" s="16" t="inlineStr">
        <is>
          <t>Diagram 1</t>
        </is>
      </c>
      <c r="G796" s="16" t="inlineStr">
        <is>
          <t>LLM Prompt Request</t>
        </is>
      </c>
      <c r="H796" s="16" t="inlineStr">
        <is>
          <t>TMT/S3</t>
        </is>
      </c>
    </row>
    <row r="797" ht="16" customHeight="1">
      <c r="A797" s="16" t="inlineStr">
        <is>
          <t>TMT-S3-F078</t>
        </is>
      </c>
      <c r="B797" s="16" t="inlineStr">
        <is>
          <t>TMT</t>
        </is>
      </c>
      <c r="C797" s="16" t="inlineStr">
        <is>
          <t>S3</t>
        </is>
      </c>
      <c r="D797" s="16" t="inlineStr"/>
      <c r="E797" s="17" t="inlineStr">
        <is>
          <t>External Entity EE2 External LLM Provider Potentially Denies Receiving Data</t>
        </is>
      </c>
      <c r="F797" s="16" t="inlineStr">
        <is>
          <t>Diagram 1</t>
        </is>
      </c>
      <c r="G797" s="16" t="inlineStr">
        <is>
          <t>LLM Prompt Request</t>
        </is>
      </c>
      <c r="H797" s="16" t="inlineStr">
        <is>
          <t>TMT/S3</t>
        </is>
      </c>
    </row>
    <row r="798" ht="16" customHeight="1">
      <c r="A798" s="16" t="inlineStr">
        <is>
          <t>TMT-S3-F079</t>
        </is>
      </c>
      <c r="B798" s="16" t="inlineStr">
        <is>
          <t>TMT</t>
        </is>
      </c>
      <c r="C798" s="16" t="inlineStr">
        <is>
          <t>S3</t>
        </is>
      </c>
      <c r="D798" s="16" t="inlineStr">
        <is>
          <t>model_substitution</t>
        </is>
      </c>
      <c r="E798" s="17" t="inlineStr">
        <is>
          <t>Spoofing of the EE2 External LLM Provider External Destination Entity</t>
        </is>
      </c>
      <c r="F798" s="16" t="inlineStr">
        <is>
          <t>Diagram 1</t>
        </is>
      </c>
      <c r="G798" s="16" t="inlineStr">
        <is>
          <t>LLM Prompt Request</t>
        </is>
      </c>
      <c r="H798" s="16" t="inlineStr">
        <is>
          <t>TMT/S3</t>
        </is>
      </c>
    </row>
    <row r="799" ht="16" customHeight="1">
      <c r="A799" s="16" t="inlineStr">
        <is>
          <t>TMT-S3-F080</t>
        </is>
      </c>
      <c r="B799" s="16" t="inlineStr">
        <is>
          <t>TMT</t>
        </is>
      </c>
      <c r="C799" s="16" t="inlineStr">
        <is>
          <t>S3</t>
        </is>
      </c>
      <c r="D799" s="16" t="inlineStr">
        <is>
          <t>dos_service</t>
        </is>
      </c>
      <c r="E799" s="17" t="inlineStr">
        <is>
          <t>Data Flow password reset token Is Potentially Interrupted</t>
        </is>
      </c>
      <c r="F799" s="16" t="inlineStr">
        <is>
          <t>Diagram 1</t>
        </is>
      </c>
      <c r="G799" s="16" t="inlineStr">
        <is>
          <t>password reset token</t>
        </is>
      </c>
      <c r="H799" s="16" t="inlineStr">
        <is>
          <t>TMT/S3</t>
        </is>
      </c>
    </row>
    <row r="800" ht="16" customHeight="1">
      <c r="A800" s="16" t="inlineStr">
        <is>
          <t>TMT-S3-F081</t>
        </is>
      </c>
      <c r="B800" s="16" t="inlineStr">
        <is>
          <t>TMT</t>
        </is>
      </c>
      <c r="C800" s="16" t="inlineStr">
        <is>
          <t>S3</t>
        </is>
      </c>
      <c r="D800" s="16" t="inlineStr"/>
      <c r="E800" s="17" t="inlineStr">
        <is>
          <t>External Entity External communication channel Potentially Denies Receiving Data</t>
        </is>
      </c>
      <c r="F800" s="16" t="inlineStr">
        <is>
          <t>Diagram 1</t>
        </is>
      </c>
      <c r="G800" s="16" t="inlineStr">
        <is>
          <t>password reset token</t>
        </is>
      </c>
      <c r="H800" s="16" t="inlineStr">
        <is>
          <t>TMT/S3</t>
        </is>
      </c>
    </row>
    <row r="801" ht="16" customHeight="1">
      <c r="A801" s="16" t="inlineStr">
        <is>
          <t>TMT-S3-F082</t>
        </is>
      </c>
      <c r="B801" s="16" t="inlineStr">
        <is>
          <t>TMT</t>
        </is>
      </c>
      <c r="C801" s="16" t="inlineStr">
        <is>
          <t>S3</t>
        </is>
      </c>
      <c r="D801" s="16" t="inlineStr">
        <is>
          <t>transit_token</t>
        </is>
      </c>
      <c r="E801" s="17" t="inlineStr">
        <is>
          <t>Spoofing of the External communication channel External Destination Entity</t>
        </is>
      </c>
      <c r="F801" s="16" t="inlineStr">
        <is>
          <t>Diagram 1</t>
        </is>
      </c>
      <c r="G801" s="16" t="inlineStr">
        <is>
          <t>password reset token</t>
        </is>
      </c>
      <c r="H801" s="16" t="inlineStr">
        <is>
          <t>TMT/S3</t>
        </is>
      </c>
    </row>
    <row r="802" ht="16" customHeight="1">
      <c r="A802" s="16" t="inlineStr">
        <is>
          <t>TMT-S3-F083</t>
        </is>
      </c>
      <c r="B802" s="16" t="inlineStr">
        <is>
          <t>TMT</t>
        </is>
      </c>
      <c r="C802" s="16" t="inlineStr">
        <is>
          <t>S3</t>
        </is>
      </c>
      <c r="D802" s="16" t="inlineStr"/>
      <c r="E802" s="17" t="inlineStr">
        <is>
          <t>Elevation Using Impersonation</t>
        </is>
      </c>
      <c r="F802" s="16" t="inlineStr">
        <is>
          <t>Diagram 1</t>
        </is>
      </c>
      <c r="G802" s="16" t="inlineStr">
        <is>
          <t>Token Validation Request</t>
        </is>
      </c>
      <c r="H802" s="16" t="inlineStr">
        <is>
          <t>TMT/S3</t>
        </is>
      </c>
    </row>
    <row r="803" ht="16" customHeight="1">
      <c r="A803" s="16" t="inlineStr">
        <is>
          <t>TMT-S3-F084</t>
        </is>
      </c>
      <c r="B803" s="16" t="inlineStr">
        <is>
          <t>TMT</t>
        </is>
      </c>
      <c r="C803" s="16" t="inlineStr">
        <is>
          <t>S3</t>
        </is>
      </c>
      <c r="D803" s="16" t="inlineStr"/>
      <c r="E803" s="17" t="inlineStr">
        <is>
          <t>P2 Account Management Service Process Memory Tampered</t>
        </is>
      </c>
      <c r="F803" s="16" t="inlineStr">
        <is>
          <t>Diagram 1</t>
        </is>
      </c>
      <c r="G803" s="16" t="inlineStr">
        <is>
          <t>Token Validation Request</t>
        </is>
      </c>
      <c r="H803" s="16" t="inlineStr">
        <is>
          <t>TMT/S3</t>
        </is>
      </c>
    </row>
    <row r="804" ht="16" customHeight="1">
      <c r="A804" s="16" t="inlineStr">
        <is>
          <t>TMT-S3-F085</t>
        </is>
      </c>
      <c r="B804" s="16" t="inlineStr">
        <is>
          <t>TMT</t>
        </is>
      </c>
      <c r="C804" s="16" t="inlineStr">
        <is>
          <t>S3</t>
        </is>
      </c>
      <c r="D804" s="16" t="inlineStr"/>
      <c r="E804" s="17" t="inlineStr">
        <is>
          <t>Elevation Using Impersonation</t>
        </is>
      </c>
      <c r="F804" s="16" t="inlineStr">
        <is>
          <t>Diagram 1</t>
        </is>
      </c>
      <c r="G804" s="16" t="inlineStr">
        <is>
          <t>Token Validation Result</t>
        </is>
      </c>
      <c r="H804" s="16" t="inlineStr">
        <is>
          <t>TMT/S3</t>
        </is>
      </c>
    </row>
    <row r="805" ht="16" customHeight="1">
      <c r="A805" s="16" t="inlineStr">
        <is>
          <t>TMT-S3-F086</t>
        </is>
      </c>
      <c r="B805" s="16" t="inlineStr">
        <is>
          <t>TMT</t>
        </is>
      </c>
      <c r="C805" s="16" t="inlineStr">
        <is>
          <t>S3</t>
        </is>
      </c>
      <c r="D805" s="16" t="inlineStr"/>
      <c r="E805" s="17" t="inlineStr">
        <is>
          <t>P3 Password Reset Token Module Process Memory Tampered</t>
        </is>
      </c>
      <c r="F805" s="16" t="inlineStr">
        <is>
          <t>Diagram 1</t>
        </is>
      </c>
      <c r="G805" s="16" t="inlineStr">
        <is>
          <t>Token Validation Result</t>
        </is>
      </c>
      <c r="H805" s="16" t="inlineStr">
        <is>
          <t>TMT/S3</t>
        </is>
      </c>
    </row>
    <row r="806" ht="16" customHeight="1">
      <c r="A806" s="16" t="inlineStr">
        <is>
          <t>TMT-S3-F087</t>
        </is>
      </c>
      <c r="B806" s="16" t="inlineStr">
        <is>
          <t>TMT</t>
        </is>
      </c>
      <c r="C806" s="16" t="inlineStr">
        <is>
          <t>S3</t>
        </is>
      </c>
      <c r="D806" s="16" t="inlineStr">
        <is>
          <t>dos_service</t>
        </is>
      </c>
      <c r="E806" s="17" t="inlineStr">
        <is>
          <t>Potential Excessive Resource Consumption for P2 Account Management Service or DS1 Backend User Database</t>
        </is>
      </c>
      <c r="F806" s="16" t="inlineStr">
        <is>
          <t>Diagram 1</t>
        </is>
      </c>
      <c r="G806" s="16" t="inlineStr">
        <is>
          <t>Password Update</t>
        </is>
      </c>
      <c r="H806" s="16" t="inlineStr">
        <is>
          <t>TMT/S3</t>
        </is>
      </c>
    </row>
    <row r="807" ht="16" customHeight="1">
      <c r="A807" s="16" t="inlineStr">
        <is>
          <t>TMT-S3-F088</t>
        </is>
      </c>
      <c r="B807" s="16" t="inlineStr">
        <is>
          <t>TMT</t>
        </is>
      </c>
      <c r="C807" s="16" t="inlineStr">
        <is>
          <t>S3</t>
        </is>
      </c>
      <c r="D807" s="16" t="inlineStr"/>
      <c r="E807" s="17" t="inlineStr">
        <is>
          <t>Spoofing of Destination Data Store DS1 Backend User Database</t>
        </is>
      </c>
      <c r="F807" s="16" t="inlineStr">
        <is>
          <t>Diagram 1</t>
        </is>
      </c>
      <c r="G807" s="16" t="inlineStr">
        <is>
          <t>Password Update</t>
        </is>
      </c>
      <c r="H807" s="16" t="inlineStr">
        <is>
          <t>TMT/S3</t>
        </is>
      </c>
    </row>
    <row r="808" ht="16" customHeight="1">
      <c r="A808" s="16" t="inlineStr">
        <is>
          <t>TMT-S3-F089</t>
        </is>
      </c>
      <c r="B808" s="16" t="inlineStr">
        <is>
          <t>TMT</t>
        </is>
      </c>
      <c r="C808" s="16" t="inlineStr">
        <is>
          <t>S3</t>
        </is>
      </c>
      <c r="D808" s="16" t="inlineStr"/>
      <c r="E808" s="17" t="inlineStr">
        <is>
          <t>Cross Site Request Forgery</t>
        </is>
      </c>
      <c r="F808" s="16" t="inlineStr">
        <is>
          <t>Diagram 1</t>
        </is>
      </c>
      <c r="G808" s="16" t="inlineStr">
        <is>
          <t>Account-Related AI Question</t>
        </is>
      </c>
      <c r="H808" s="16" t="inlineStr">
        <is>
          <t>TMT/S3</t>
        </is>
      </c>
    </row>
    <row r="809" ht="16" customHeight="1">
      <c r="A809" s="16" t="inlineStr">
        <is>
          <t>TMT-S3-F090</t>
        </is>
      </c>
      <c r="B809" s="16" t="inlineStr">
        <is>
          <t>TMT</t>
        </is>
      </c>
      <c r="C809" s="16" t="inlineStr">
        <is>
          <t>S3</t>
        </is>
      </c>
      <c r="D809" s="16" t="inlineStr"/>
      <c r="E809" s="17" t="inlineStr">
        <is>
          <t>Elevation by Changing the Execution Flow in P1 Web Frontend Interface</t>
        </is>
      </c>
      <c r="F809" s="16" t="inlineStr">
        <is>
          <t>Diagram 1</t>
        </is>
      </c>
      <c r="G809" s="16" t="inlineStr">
        <is>
          <t>Account-Related AI Question</t>
        </is>
      </c>
      <c r="H809" s="16" t="inlineStr">
        <is>
          <t>TMT/S3</t>
        </is>
      </c>
    </row>
    <row r="810" ht="16" customHeight="1">
      <c r="A810" s="16" t="inlineStr">
        <is>
          <t>TMT-S3-F091</t>
        </is>
      </c>
      <c r="B810" s="16" t="inlineStr">
        <is>
          <t>TMT</t>
        </is>
      </c>
      <c r="C810" s="16" t="inlineStr">
        <is>
          <t>S3</t>
        </is>
      </c>
      <c r="D810" s="16" t="inlineStr"/>
      <c r="E810" s="17" t="inlineStr">
        <is>
          <t>P1 Web Frontend Interface May be Subject to Elevation of Privilege Using Remote Code Execution</t>
        </is>
      </c>
      <c r="F810" s="16" t="inlineStr">
        <is>
          <t>Diagram 1</t>
        </is>
      </c>
      <c r="G810" s="16" t="inlineStr">
        <is>
          <t>Account-Related AI Question</t>
        </is>
      </c>
      <c r="H810" s="16" t="inlineStr">
        <is>
          <t>TMT/S3</t>
        </is>
      </c>
    </row>
    <row r="811" ht="16" customHeight="1">
      <c r="A811" s="16" t="inlineStr">
        <is>
          <t>TMT-S3-F092</t>
        </is>
      </c>
      <c r="B811" s="16" t="inlineStr">
        <is>
          <t>TMT</t>
        </is>
      </c>
      <c r="C811" s="16" t="inlineStr">
        <is>
          <t>S3</t>
        </is>
      </c>
      <c r="D811" s="16" t="inlineStr"/>
      <c r="E811" s="17" t="inlineStr">
        <is>
          <t>Elevation Using Impersonation</t>
        </is>
      </c>
      <c r="F811" s="16" t="inlineStr">
        <is>
          <t>Diagram 1</t>
        </is>
      </c>
      <c r="G811" s="16" t="inlineStr">
        <is>
          <t>Account-Related AI Question</t>
        </is>
      </c>
      <c r="H811" s="16" t="inlineStr">
        <is>
          <t>TMT/S3</t>
        </is>
      </c>
    </row>
    <row r="812" ht="16" customHeight="1">
      <c r="A812" s="16" t="inlineStr">
        <is>
          <t>TMT-S3-F093</t>
        </is>
      </c>
      <c r="B812" s="16" t="inlineStr">
        <is>
          <t>TMT</t>
        </is>
      </c>
      <c r="C812" s="16" t="inlineStr">
        <is>
          <t>S3</t>
        </is>
      </c>
      <c r="D812" s="16" t="inlineStr"/>
      <c r="E812" s="17" t="inlineStr">
        <is>
          <t>Data Flow Account-Related AI Question Is Potentially Interrupted</t>
        </is>
      </c>
      <c r="F812" s="16" t="inlineStr">
        <is>
          <t>Diagram 1</t>
        </is>
      </c>
      <c r="G812" s="16" t="inlineStr">
        <is>
          <t>Account-Related AI Question</t>
        </is>
      </c>
      <c r="H812" s="16" t="inlineStr">
        <is>
          <t>TMT/S3</t>
        </is>
      </c>
    </row>
    <row r="813" ht="16" customHeight="1">
      <c r="A813" s="16" t="inlineStr">
        <is>
          <t>TMT-S3-F094</t>
        </is>
      </c>
      <c r="B813" s="16" t="inlineStr">
        <is>
          <t>TMT</t>
        </is>
      </c>
      <c r="C813" s="16" t="inlineStr">
        <is>
          <t>S3</t>
        </is>
      </c>
      <c r="D813" s="16" t="inlineStr"/>
      <c r="E813" s="17" t="inlineStr">
        <is>
          <t>Potential Process Crash or Stop for P1 Web Frontend Interface</t>
        </is>
      </c>
      <c r="F813" s="16" t="inlineStr">
        <is>
          <t>Diagram 1</t>
        </is>
      </c>
      <c r="G813" s="16" t="inlineStr">
        <is>
          <t>Account-Related AI Question</t>
        </is>
      </c>
      <c r="H813" s="16" t="inlineStr">
        <is>
          <t>TMT/S3</t>
        </is>
      </c>
    </row>
    <row r="814" ht="16" customHeight="1">
      <c r="A814" s="16" t="inlineStr">
        <is>
          <t>TMT-S3-F095</t>
        </is>
      </c>
      <c r="B814" s="16" t="inlineStr">
        <is>
          <t>TMT</t>
        </is>
      </c>
      <c r="C814" s="16" t="inlineStr">
        <is>
          <t>S3</t>
        </is>
      </c>
      <c r="D814" s="16" t="inlineStr">
        <is>
          <t>transit_creds</t>
        </is>
      </c>
      <c r="E814" s="17" t="inlineStr">
        <is>
          <t>Data Flow Sniffing</t>
        </is>
      </c>
      <c r="F814" s="16" t="inlineStr">
        <is>
          <t>Diagram 1</t>
        </is>
      </c>
      <c r="G814" s="16" t="inlineStr">
        <is>
          <t>Account-Related AI Question</t>
        </is>
      </c>
      <c r="H814" s="16" t="inlineStr">
        <is>
          <t>TMT/S3</t>
        </is>
      </c>
    </row>
    <row r="815" ht="16" customHeight="1">
      <c r="A815" s="16" t="inlineStr">
        <is>
          <t>TMT-S3-F096</t>
        </is>
      </c>
      <c r="B815" s="16" t="inlineStr">
        <is>
          <t>TMT</t>
        </is>
      </c>
      <c r="C815" s="16" t="inlineStr">
        <is>
          <t>S3</t>
        </is>
      </c>
      <c r="D815" s="16" t="inlineStr">
        <is>
          <t>repudiation</t>
        </is>
      </c>
      <c r="E815" s="17" t="inlineStr">
        <is>
          <t>Potential Data Repudiation by P1 Web Frontend Interface</t>
        </is>
      </c>
      <c r="F815" s="16" t="inlineStr">
        <is>
          <t>Diagram 1</t>
        </is>
      </c>
      <c r="G815" s="16" t="inlineStr">
        <is>
          <t>Account-Related AI Question</t>
        </is>
      </c>
      <c r="H815" s="16" t="inlineStr">
        <is>
          <t>TMT/S3</t>
        </is>
      </c>
    </row>
    <row r="816" ht="16" customHeight="1">
      <c r="A816" s="16" t="inlineStr">
        <is>
          <t>TMT-S3-F097</t>
        </is>
      </c>
      <c r="B816" s="16" t="inlineStr">
        <is>
          <t>TMT</t>
        </is>
      </c>
      <c r="C816" s="16" t="inlineStr">
        <is>
          <t>S3</t>
        </is>
      </c>
      <c r="D816" s="16" t="inlineStr">
        <is>
          <t>stored_active_content</t>
        </is>
      </c>
      <c r="E816" s="17" t="inlineStr">
        <is>
          <t>Cross Site Scripting</t>
        </is>
      </c>
      <c r="F816" s="16" t="inlineStr">
        <is>
          <t>Diagram 1</t>
        </is>
      </c>
      <c r="G816" s="16" t="inlineStr">
        <is>
          <t>Account-Related AI Question</t>
        </is>
      </c>
      <c r="H816" s="16" t="inlineStr">
        <is>
          <t>TMT/S3</t>
        </is>
      </c>
    </row>
    <row r="817" ht="16" customHeight="1">
      <c r="A817" s="16" t="inlineStr">
        <is>
          <t>TMT-S3-F098</t>
        </is>
      </c>
      <c r="B817" s="16" t="inlineStr">
        <is>
          <t>TMT</t>
        </is>
      </c>
      <c r="C817" s="16" t="inlineStr">
        <is>
          <t>S3</t>
        </is>
      </c>
      <c r="D817" s="16" t="inlineStr"/>
      <c r="E817" s="17" t="inlineStr">
        <is>
          <t>EE1 Registered User (Browser) Process Memory Tampered</t>
        </is>
      </c>
      <c r="F817" s="16" t="inlineStr">
        <is>
          <t>Diagram 1</t>
        </is>
      </c>
      <c r="G817" s="16" t="inlineStr">
        <is>
          <t>Account-Related AI Question</t>
        </is>
      </c>
      <c r="H817" s="16" t="inlineStr">
        <is>
          <t>TMT/S3</t>
        </is>
      </c>
    </row>
    <row r="818" ht="16" customHeight="1">
      <c r="A818" s="16" t="inlineStr">
        <is>
          <t>TMT-S3-F099</t>
        </is>
      </c>
      <c r="B818" s="16" t="inlineStr">
        <is>
          <t>TMT</t>
        </is>
      </c>
      <c r="C818" s="16" t="inlineStr">
        <is>
          <t>S3</t>
        </is>
      </c>
      <c r="D818" s="16" t="inlineStr"/>
      <c r="E818" s="17" t="inlineStr">
        <is>
          <t>Potential Lack of Input Validation for P1 Web Frontend Interface</t>
        </is>
      </c>
      <c r="F818" s="16" t="inlineStr">
        <is>
          <t>Diagram 1</t>
        </is>
      </c>
      <c r="G818" s="16" t="inlineStr">
        <is>
          <t>Account-Related AI Question</t>
        </is>
      </c>
      <c r="H818" s="16" t="inlineStr">
        <is>
          <t>TMT/S3</t>
        </is>
      </c>
    </row>
    <row r="819" ht="16" customHeight="1">
      <c r="A819" s="16" t="inlineStr">
        <is>
          <t>TMT-S3-F100</t>
        </is>
      </c>
      <c r="B819" s="16" t="inlineStr">
        <is>
          <t>TMT</t>
        </is>
      </c>
      <c r="C819" s="16" t="inlineStr">
        <is>
          <t>S3</t>
        </is>
      </c>
      <c r="D819" s="16" t="inlineStr"/>
      <c r="E819" s="17" t="inlineStr">
        <is>
          <t>Spoofing the P1 Web Frontend Interface Process</t>
        </is>
      </c>
      <c r="F819" s="16" t="inlineStr">
        <is>
          <t>Diagram 1</t>
        </is>
      </c>
      <c r="G819" s="16" t="inlineStr">
        <is>
          <t>Account-Related AI Question</t>
        </is>
      </c>
      <c r="H819" s="16" t="inlineStr">
        <is>
          <t>TMT/S3</t>
        </is>
      </c>
    </row>
    <row r="820" ht="16" customHeight="1">
      <c r="A820" s="16" t="inlineStr">
        <is>
          <t>TMT-S3-F101</t>
        </is>
      </c>
      <c r="B820" s="16" t="inlineStr">
        <is>
          <t>TMT</t>
        </is>
      </c>
      <c r="C820" s="16" t="inlineStr">
        <is>
          <t>S3</t>
        </is>
      </c>
      <c r="D820" s="16" t="inlineStr"/>
      <c r="E820" s="17" t="inlineStr">
        <is>
          <t>Spoofing the EE1 Registered User (Browser) Process</t>
        </is>
      </c>
      <c r="F820" s="16" t="inlineStr">
        <is>
          <t>Diagram 1</t>
        </is>
      </c>
      <c r="G820" s="16" t="inlineStr">
        <is>
          <t>Account-Related AI Question</t>
        </is>
      </c>
      <c r="H820" s="16" t="inlineStr">
        <is>
          <t>TMT/S3</t>
        </is>
      </c>
    </row>
    <row r="821" ht="16" customHeight="1">
      <c r="A821" s="16" t="inlineStr">
        <is>
          <t>TMT-S3-F102</t>
        </is>
      </c>
      <c r="B821" s="16" t="inlineStr">
        <is>
          <t>TMT</t>
        </is>
      </c>
      <c r="C821" s="16" t="inlineStr">
        <is>
          <t>S3</t>
        </is>
      </c>
      <c r="D821" s="16" t="inlineStr"/>
      <c r="E821" s="17" t="inlineStr">
        <is>
          <t>Elevation Using Impersonation</t>
        </is>
      </c>
      <c r="F821" s="16" t="inlineStr">
        <is>
          <t>Diagram 1</t>
        </is>
      </c>
      <c r="G821" s="16" t="inlineStr">
        <is>
          <t>AI Question</t>
        </is>
      </c>
      <c r="H821" s="16" t="inlineStr">
        <is>
          <t>TMT/S3</t>
        </is>
      </c>
    </row>
    <row r="822" ht="16" customHeight="1">
      <c r="A822" s="16" t="inlineStr">
        <is>
          <t>TMT-S3-F103</t>
        </is>
      </c>
      <c r="B822" s="16" t="inlineStr">
        <is>
          <t>TMT</t>
        </is>
      </c>
      <c r="C822" s="16" t="inlineStr">
        <is>
          <t>S3</t>
        </is>
      </c>
      <c r="D822" s="16" t="inlineStr"/>
      <c r="E822" s="17" t="inlineStr">
        <is>
          <t>P1 Web Frontend Interface Process Memory Tampered</t>
        </is>
      </c>
      <c r="F822" s="16" t="inlineStr">
        <is>
          <t>Diagram 1</t>
        </is>
      </c>
      <c r="G822" s="16" t="inlineStr">
        <is>
          <t>AI Question</t>
        </is>
      </c>
      <c r="H822" s="16" t="inlineStr">
        <is>
          <t>TMT/S3</t>
        </is>
      </c>
    </row>
    <row r="823" ht="16" customHeight="1">
      <c r="A823" s="16" t="inlineStr">
        <is>
          <t>TMT-S3-F104</t>
        </is>
      </c>
      <c r="B823" s="16" t="inlineStr">
        <is>
          <t>TMT</t>
        </is>
      </c>
      <c r="C823" s="16" t="inlineStr">
        <is>
          <t>S3</t>
        </is>
      </c>
      <c r="D823" s="16" t="inlineStr"/>
      <c r="E823" s="17" t="inlineStr">
        <is>
          <t>Elevation Using Impersonation</t>
        </is>
      </c>
      <c r="F823" s="16" t="inlineStr">
        <is>
          <t>Diagram 1</t>
        </is>
      </c>
      <c r="G823" s="16" t="inlineStr">
        <is>
          <t>AI Support Response</t>
        </is>
      </c>
      <c r="H823" s="16" t="inlineStr">
        <is>
          <t>TMT/S3</t>
        </is>
      </c>
    </row>
    <row r="824" ht="16" customHeight="1">
      <c r="A824" s="16" t="inlineStr">
        <is>
          <t>TMT-S3-F105</t>
        </is>
      </c>
      <c r="B824" s="16" t="inlineStr">
        <is>
          <t>TMT</t>
        </is>
      </c>
      <c r="C824" s="16" t="inlineStr">
        <is>
          <t>S3</t>
        </is>
      </c>
      <c r="D824" s="16" t="inlineStr">
        <is>
          <t>unsafe_output</t>
        </is>
      </c>
      <c r="E824" s="17" t="inlineStr">
        <is>
          <t>Cross Site Scripting</t>
        </is>
      </c>
      <c r="F824" s="16" t="inlineStr">
        <is>
          <t>Diagram 1</t>
        </is>
      </c>
      <c r="G824" s="16" t="inlineStr">
        <is>
          <t>AI Support Response</t>
        </is>
      </c>
      <c r="H824" s="16" t="inlineStr">
        <is>
          <t>TMT/S3</t>
        </is>
      </c>
    </row>
    <row r="825" ht="16" customHeight="1">
      <c r="A825" s="16" t="inlineStr">
        <is>
          <t>TMT-S3-F106</t>
        </is>
      </c>
      <c r="B825" s="16" t="inlineStr">
        <is>
          <t>TMT</t>
        </is>
      </c>
      <c r="C825" s="16" t="inlineStr">
        <is>
          <t>S3</t>
        </is>
      </c>
      <c r="D825" s="16" t="inlineStr"/>
      <c r="E825" s="17" t="inlineStr">
        <is>
          <t>P5 AI Account Support Assistant Process Memory Tampered</t>
        </is>
      </c>
      <c r="F825" s="16" t="inlineStr">
        <is>
          <t>Diagram 1</t>
        </is>
      </c>
      <c r="G825" s="16" t="inlineStr">
        <is>
          <t>AI Support Response</t>
        </is>
      </c>
      <c r="H825" s="16" t="inlineStr">
        <is>
          <t>TMT/S3</t>
        </is>
      </c>
    </row>
    <row r="826" ht="16" customHeight="1">
      <c r="A826" s="16" t="inlineStr">
        <is>
          <t>TMT-S3-F107</t>
        </is>
      </c>
      <c r="B826" s="16" t="inlineStr">
        <is>
          <t>TMT</t>
        </is>
      </c>
      <c r="C826" s="16" t="inlineStr">
        <is>
          <t>S3</t>
        </is>
      </c>
      <c r="D826" s="16" t="inlineStr"/>
      <c r="E826" s="17" t="inlineStr">
        <is>
          <t>Elevation by Changing the Execution Flow in EE1 Registered User (Browser)</t>
        </is>
      </c>
      <c r="F826" s="16" t="inlineStr">
        <is>
          <t>Diagram 1</t>
        </is>
      </c>
      <c r="G826" s="16" t="inlineStr">
        <is>
          <t>AI Response</t>
        </is>
      </c>
      <c r="H826" s="16" t="inlineStr">
        <is>
          <t>TMT/S3</t>
        </is>
      </c>
    </row>
    <row r="827" ht="16" customHeight="1">
      <c r="A827" s="16" t="inlineStr">
        <is>
          <t>TMT-S3-F108</t>
        </is>
      </c>
      <c r="B827" s="16" t="inlineStr">
        <is>
          <t>TMT</t>
        </is>
      </c>
      <c r="C827" s="16" t="inlineStr">
        <is>
          <t>S3</t>
        </is>
      </c>
      <c r="D827" s="16" t="inlineStr"/>
      <c r="E827" s="17" t="inlineStr">
        <is>
          <t>EE1 Registered User (Browser) May be Subject to Elevation of Privilege Using Remote Code Execution</t>
        </is>
      </c>
      <c r="F827" s="16" t="inlineStr">
        <is>
          <t>Diagram 1</t>
        </is>
      </c>
      <c r="G827" s="16" t="inlineStr">
        <is>
          <t>AI Response</t>
        </is>
      </c>
      <c r="H827" s="16" t="inlineStr">
        <is>
          <t>TMT/S3</t>
        </is>
      </c>
    </row>
    <row r="828" ht="16" customHeight="1">
      <c r="A828" s="16" t="inlineStr">
        <is>
          <t>TMT-S3-F109</t>
        </is>
      </c>
      <c r="B828" s="16" t="inlineStr">
        <is>
          <t>TMT</t>
        </is>
      </c>
      <c r="C828" s="16" t="inlineStr">
        <is>
          <t>S3</t>
        </is>
      </c>
      <c r="D828" s="16" t="inlineStr"/>
      <c r="E828" s="17" t="inlineStr">
        <is>
          <t>Elevation Using Impersonation</t>
        </is>
      </c>
      <c r="F828" s="16" t="inlineStr">
        <is>
          <t>Diagram 1</t>
        </is>
      </c>
      <c r="G828" s="16" t="inlineStr">
        <is>
          <t>AI Response</t>
        </is>
      </c>
      <c r="H828" s="16" t="inlineStr">
        <is>
          <t>TMT/S3</t>
        </is>
      </c>
    </row>
    <row r="829" ht="16" customHeight="1">
      <c r="A829" s="16" t="inlineStr">
        <is>
          <t>TMT-S3-F110</t>
        </is>
      </c>
      <c r="B829" s="16" t="inlineStr">
        <is>
          <t>TMT</t>
        </is>
      </c>
      <c r="C829" s="16" t="inlineStr">
        <is>
          <t>S3</t>
        </is>
      </c>
      <c r="D829" s="16" t="inlineStr">
        <is>
          <t>llm_unavailable</t>
        </is>
      </c>
      <c r="E829" s="17" t="inlineStr">
        <is>
          <t>Data Flow AI Response Is Potentially Interrupted</t>
        </is>
      </c>
      <c r="F829" s="16" t="inlineStr">
        <is>
          <t>Diagram 1</t>
        </is>
      </c>
      <c r="G829" s="16" t="inlineStr">
        <is>
          <t>AI Response</t>
        </is>
      </c>
      <c r="H829" s="16" t="inlineStr">
        <is>
          <t>TMT/S3</t>
        </is>
      </c>
    </row>
    <row r="830" ht="16" customHeight="1">
      <c r="A830" s="16" t="inlineStr">
        <is>
          <t>TMT-S3-F111</t>
        </is>
      </c>
      <c r="B830" s="16" t="inlineStr">
        <is>
          <t>TMT</t>
        </is>
      </c>
      <c r="C830" s="16" t="inlineStr">
        <is>
          <t>S3</t>
        </is>
      </c>
      <c r="D830" s="16" t="inlineStr"/>
      <c r="E830" s="17" t="inlineStr">
        <is>
          <t>Potential Process Crash or Stop for EE1 Registered User (Browser)</t>
        </is>
      </c>
      <c r="F830" s="16" t="inlineStr">
        <is>
          <t>Diagram 1</t>
        </is>
      </c>
      <c r="G830" s="16" t="inlineStr">
        <is>
          <t>AI Response</t>
        </is>
      </c>
      <c r="H830" s="16" t="inlineStr">
        <is>
          <t>TMT/S3</t>
        </is>
      </c>
    </row>
    <row r="831" ht="16" customHeight="1">
      <c r="A831" s="16" t="inlineStr">
        <is>
          <t>TMT-S3-F112</t>
        </is>
      </c>
      <c r="B831" s="16" t="inlineStr">
        <is>
          <t>TMT</t>
        </is>
      </c>
      <c r="C831" s="16" t="inlineStr">
        <is>
          <t>S3</t>
        </is>
      </c>
      <c r="D831" s="16" t="inlineStr"/>
      <c r="E831" s="17" t="inlineStr">
        <is>
          <t>Data Flow Sniffing</t>
        </is>
      </c>
      <c r="F831" s="16" t="inlineStr">
        <is>
          <t>Diagram 1</t>
        </is>
      </c>
      <c r="G831" s="16" t="inlineStr">
        <is>
          <t>AI Response</t>
        </is>
      </c>
      <c r="H831" s="16" t="inlineStr">
        <is>
          <t>TMT/S3</t>
        </is>
      </c>
    </row>
    <row r="832" ht="16" customHeight="1">
      <c r="A832" s="16" t="inlineStr">
        <is>
          <t>TMT-S3-F113</t>
        </is>
      </c>
      <c r="B832" s="16" t="inlineStr">
        <is>
          <t>TMT</t>
        </is>
      </c>
      <c r="C832" s="16" t="inlineStr">
        <is>
          <t>S3</t>
        </is>
      </c>
      <c r="D832" s="16" t="inlineStr">
        <is>
          <t>repudiation</t>
        </is>
      </c>
      <c r="E832" s="17" t="inlineStr">
        <is>
          <t>Potential Data Repudiation by EE1 Registered User (Browser)</t>
        </is>
      </c>
      <c r="F832" s="16" t="inlineStr">
        <is>
          <t>Diagram 1</t>
        </is>
      </c>
      <c r="G832" s="16" t="inlineStr">
        <is>
          <t>AI Response</t>
        </is>
      </c>
      <c r="H832" s="16" t="inlineStr">
        <is>
          <t>TMT/S3</t>
        </is>
      </c>
    </row>
    <row r="833" ht="16" customHeight="1">
      <c r="A833" s="16" t="inlineStr">
        <is>
          <t>TMT-S3-F114</t>
        </is>
      </c>
      <c r="B833" s="16" t="inlineStr">
        <is>
          <t>TMT</t>
        </is>
      </c>
      <c r="C833" s="16" t="inlineStr">
        <is>
          <t>S3</t>
        </is>
      </c>
      <c r="D833" s="16" t="inlineStr"/>
      <c r="E833" s="17" t="inlineStr">
        <is>
          <t>P1 Web Frontend Interface Process Memory Tampered</t>
        </is>
      </c>
      <c r="F833" s="16" t="inlineStr">
        <is>
          <t>Diagram 1</t>
        </is>
      </c>
      <c r="G833" s="16" t="inlineStr">
        <is>
          <t>AI Response</t>
        </is>
      </c>
      <c r="H833" s="16" t="inlineStr">
        <is>
          <t>TMT/S3</t>
        </is>
      </c>
    </row>
    <row r="834" ht="16" customHeight="1">
      <c r="A834" s="16" t="inlineStr">
        <is>
          <t>TMT-S3-F115</t>
        </is>
      </c>
      <c r="B834" s="16" t="inlineStr">
        <is>
          <t>TMT</t>
        </is>
      </c>
      <c r="C834" s="16" t="inlineStr">
        <is>
          <t>S3</t>
        </is>
      </c>
      <c r="D834" s="16" t="inlineStr"/>
      <c r="E834" s="17" t="inlineStr">
        <is>
          <t>Potential Lack of Input Validation for EE1 Registered User (Browser)</t>
        </is>
      </c>
      <c r="F834" s="16" t="inlineStr">
        <is>
          <t>Diagram 1</t>
        </is>
      </c>
      <c r="G834" s="16" t="inlineStr">
        <is>
          <t>AI Response</t>
        </is>
      </c>
      <c r="H834" s="16" t="inlineStr">
        <is>
          <t>TMT/S3</t>
        </is>
      </c>
    </row>
    <row r="835" ht="16" customHeight="1">
      <c r="A835" s="16" t="inlineStr">
        <is>
          <t>TMT-S3-F116</t>
        </is>
      </c>
      <c r="B835" s="16" t="inlineStr">
        <is>
          <t>TMT</t>
        </is>
      </c>
      <c r="C835" s="16" t="inlineStr">
        <is>
          <t>S3</t>
        </is>
      </c>
      <c r="D835" s="16" t="inlineStr"/>
      <c r="E835" s="17" t="inlineStr">
        <is>
          <t>Spoofing the EE1 Registered User (Browser) Process</t>
        </is>
      </c>
      <c r="F835" s="16" t="inlineStr">
        <is>
          <t>Diagram 1</t>
        </is>
      </c>
      <c r="G835" s="16" t="inlineStr">
        <is>
          <t>AI Response</t>
        </is>
      </c>
      <c r="H835" s="16" t="inlineStr">
        <is>
          <t>TMT/S3</t>
        </is>
      </c>
    </row>
    <row r="836" ht="16" customHeight="1">
      <c r="A836" s="16" t="inlineStr">
        <is>
          <t>TMT-S3-F117</t>
        </is>
      </c>
      <c r="B836" s="16" t="inlineStr">
        <is>
          <t>TMT</t>
        </is>
      </c>
      <c r="C836" s="16" t="inlineStr">
        <is>
          <t>S3</t>
        </is>
      </c>
      <c r="D836" s="16" t="inlineStr"/>
      <c r="E836" s="17" t="inlineStr">
        <is>
          <t>Spoofing the P1 Web Frontend Interface Process</t>
        </is>
      </c>
      <c r="F836" s="16" t="inlineStr">
        <is>
          <t>Diagram 1</t>
        </is>
      </c>
      <c r="G836" s="16" t="inlineStr">
        <is>
          <t>AI Response</t>
        </is>
      </c>
      <c r="H836" s="16" t="inlineStr">
        <is>
          <t>TMT/S3</t>
        </is>
      </c>
    </row>
    <row r="837" ht="16" customHeight="1">
      <c r="A837" s="16" t="inlineStr">
        <is>
          <t>CHATGPT-S3-F001</t>
        </is>
      </c>
      <c r="B837" s="16" t="inlineStr">
        <is>
          <t>CHATGPT</t>
        </is>
      </c>
      <c r="C837" s="16" t="inlineStr">
        <is>
          <t>S3</t>
        </is>
      </c>
      <c r="D837" s="16" t="inlineStr">
        <is>
          <t>repudiation</t>
        </is>
      </c>
      <c r="E837" s="17" t="inlineStr">
        <is>
          <t>Account Takeover Through Malicious Recovery Information</t>
        </is>
      </c>
      <c r="F837" s="16" t="inlineStr">
        <is>
          <t>EE1 → P1 → P2; P2 → DS1</t>
        </is>
      </c>
      <c r="G837" s="16" t="inlineStr"/>
      <c r="H837" s="16" t="inlineStr">
        <is>
          <t>CHATGPT/S3</t>
        </is>
      </c>
    </row>
    <row r="838" ht="16" customHeight="1">
      <c r="A838" s="16" t="inlineStr">
        <is>
          <t>CHATGPT-S3-F002</t>
        </is>
      </c>
      <c r="B838" s="16" t="inlineStr">
        <is>
          <t>CHATGPT</t>
        </is>
      </c>
      <c r="C838" s="16" t="inlineStr">
        <is>
          <t>S3</t>
        </is>
      </c>
      <c r="D838" s="16" t="inlineStr">
        <is>
          <t>verif_bypass_guessable</t>
        </is>
      </c>
      <c r="E838" s="17" t="inlineStr">
        <is>
          <t>AI-Assisted Identity Verification Bypass</t>
        </is>
      </c>
      <c r="F838" s="16" t="inlineStr">
        <is>
          <t>EE1 → P1 → P4/P5; P4/P5 → EE1</t>
        </is>
      </c>
      <c r="G838" s="16" t="inlineStr"/>
      <c r="H838" s="16" t="inlineStr">
        <is>
          <t>CHATGPT/S3</t>
        </is>
      </c>
    </row>
    <row r="839" ht="16" customHeight="1">
      <c r="A839" s="16" t="inlineStr">
        <is>
          <t>CHATGPT-S3-F003</t>
        </is>
      </c>
      <c r="B839" s="16" t="inlineStr">
        <is>
          <t>CHATGPT</t>
        </is>
      </c>
      <c r="C839" s="16" t="inlineStr">
        <is>
          <t>S3</t>
        </is>
      </c>
      <c r="D839" s="16" t="inlineStr">
        <is>
          <t>transit_token</t>
        </is>
      </c>
      <c r="E839" s="17" t="inlineStr">
        <is>
          <t>Recovery Token Disclosure</t>
        </is>
      </c>
      <c r="F839" s="16" t="inlineStr">
        <is>
          <t>P2 → DS2 → P2 → P1 → EE1</t>
        </is>
      </c>
      <c r="G839" s="16" t="inlineStr"/>
      <c r="H839" s="16" t="inlineStr">
        <is>
          <t>CHATGPT/S3</t>
        </is>
      </c>
    </row>
    <row r="840" ht="16" customHeight="1">
      <c r="A840" s="16" t="inlineStr">
        <is>
          <t>CHATGPT-S3-F004</t>
        </is>
      </c>
      <c r="B840" s="16" t="inlineStr">
        <is>
          <t>CHATGPT</t>
        </is>
      </c>
      <c r="C840" s="16" t="inlineStr">
        <is>
          <t>S3</t>
        </is>
      </c>
      <c r="D840" s="16" t="inlineStr">
        <is>
          <t>token_replay</t>
        </is>
      </c>
      <c r="E840" s="17" t="inlineStr">
        <is>
          <t>Recovery Token Replay</t>
        </is>
      </c>
      <c r="F840" s="16" t="inlineStr">
        <is>
          <t>EE1 → P1 → P2 → DS2</t>
        </is>
      </c>
      <c r="G840" s="16" t="inlineStr"/>
      <c r="H840" s="16" t="inlineStr">
        <is>
          <t>CHATGPT/S3</t>
        </is>
      </c>
    </row>
    <row r="841" ht="16" customHeight="1">
      <c r="A841" s="16" t="inlineStr">
        <is>
          <t>CHATGPT-S3-F005</t>
        </is>
      </c>
      <c r="B841" s="16" t="inlineStr">
        <is>
          <t>CHATGPT</t>
        </is>
      </c>
      <c r="C841" s="16" t="inlineStr">
        <is>
          <t>S3</t>
        </is>
      </c>
      <c r="D841" s="16" t="inlineStr">
        <is>
          <t>predictable_token</t>
        </is>
      </c>
      <c r="E841" s="17" t="inlineStr">
        <is>
          <t>Recovery Token Guessing</t>
        </is>
      </c>
      <c r="F841" s="16" t="inlineStr">
        <is>
          <t>EE1 → P1 → P2 → DS2</t>
        </is>
      </c>
      <c r="G841" s="16" t="inlineStr"/>
      <c r="H841" s="16" t="inlineStr">
        <is>
          <t>CHATGPT/S3</t>
        </is>
      </c>
    </row>
    <row r="842" ht="16" customHeight="1">
      <c r="A842" s="16" t="inlineStr">
        <is>
          <t>CHATGPT-S3-F006</t>
        </is>
      </c>
      <c r="B842" s="16" t="inlineStr">
        <is>
          <t>CHATGPT</t>
        </is>
      </c>
      <c r="C842" s="16" t="inlineStr">
        <is>
          <t>S3</t>
        </is>
      </c>
      <c r="D842" s="16" t="inlineStr">
        <is>
          <t>verbose_error</t>
        </is>
      </c>
      <c r="E842" s="17" t="inlineStr">
        <is>
          <t>Recovery Token Metadata Disclosure</t>
        </is>
      </c>
      <c r="F842" s="16" t="inlineStr">
        <is>
          <t>DS2 → P2 → P1 → EE1; P2/P5 context boundaries</t>
        </is>
      </c>
      <c r="G842" s="16" t="inlineStr"/>
      <c r="H842" s="16" t="inlineStr">
        <is>
          <t>CHATGPT/S3</t>
        </is>
      </c>
    </row>
    <row r="843" ht="16" customHeight="1">
      <c r="A843" s="16" t="inlineStr">
        <is>
          <t>CHATGPT-S3-F007</t>
        </is>
      </c>
      <c r="B843" s="16" t="inlineStr">
        <is>
          <t>CHATGPT</t>
        </is>
      </c>
      <c r="C843" s="16" t="inlineStr">
        <is>
          <t>S3</t>
        </is>
      </c>
      <c r="D843" s="16" t="inlineStr"/>
      <c r="E843" s="17" t="inlineStr">
        <is>
          <t>Profile Modification Without Recovery Authorization</t>
        </is>
      </c>
      <c r="F843" s="16" t="inlineStr">
        <is>
          <t>P1 → P3; P2 → P3; P3 → DS1</t>
        </is>
      </c>
      <c r="G843" s="16" t="inlineStr"/>
      <c r="H843" s="16" t="inlineStr">
        <is>
          <t>CHATGPT/S3</t>
        </is>
      </c>
    </row>
    <row r="844" ht="16" customHeight="1">
      <c r="A844" s="16" t="inlineStr">
        <is>
          <t>CHATGPT-S3-F008</t>
        </is>
      </c>
      <c r="B844" s="16" t="inlineStr">
        <is>
          <t>CHATGPT</t>
        </is>
      </c>
      <c r="C844" s="16" t="inlineStr">
        <is>
          <t>S3</t>
        </is>
      </c>
      <c r="D844" s="16" t="inlineStr"/>
      <c r="E844" s="17" t="inlineStr">
        <is>
          <t>False AI Authorization</t>
        </is>
      </c>
      <c r="F844" s="16" t="inlineStr">
        <is>
          <t>EE1 → P4 → P5 → EE2 → P5 → P4 → EE1</t>
        </is>
      </c>
      <c r="G844" s="16" t="inlineStr"/>
      <c r="H844" s="16" t="inlineStr">
        <is>
          <t>CHATGPT/S3</t>
        </is>
      </c>
    </row>
    <row r="845" ht="16" customHeight="1">
      <c r="A845" s="16" t="inlineStr">
        <is>
          <t>CHATGPT-S3-F009</t>
        </is>
      </c>
      <c r="B845" s="16" t="inlineStr">
        <is>
          <t>CHATGPT</t>
        </is>
      </c>
      <c r="C845" s="16" t="inlineStr">
        <is>
          <t>S3</t>
        </is>
      </c>
      <c r="D845" s="16" t="inlineStr">
        <is>
          <t>prompt_injection_direct</t>
        </is>
      </c>
      <c r="E845" s="17" t="inlineStr">
        <is>
          <t>Recovery-Related Prompt Injection</t>
        </is>
      </c>
      <c r="F845" s="16" t="inlineStr">
        <is>
          <t>EE1 → P1 → P4/P5 → EE2</t>
        </is>
      </c>
      <c r="G845" s="16" t="inlineStr"/>
      <c r="H845" s="16" t="inlineStr">
        <is>
          <t>CHATGPT/S3</t>
        </is>
      </c>
    </row>
    <row r="846" ht="16" customHeight="1">
      <c r="A846" s="16" t="inlineStr">
        <is>
          <t>CHATGPT-S3-F010</t>
        </is>
      </c>
      <c r="B846" s="16" t="inlineStr">
        <is>
          <t>CHATGPT</t>
        </is>
      </c>
      <c r="C846" s="16" t="inlineStr">
        <is>
          <t>S3</t>
        </is>
      </c>
      <c r="D846" s="16" t="inlineStr">
        <is>
          <t>kb_disclosure</t>
        </is>
      </c>
      <c r="E846" s="17" t="inlineStr">
        <is>
          <t>Malicious Instructions Embedded in Recovery Data</t>
        </is>
      </c>
      <c r="F846" s="16" t="inlineStr">
        <is>
          <t>EE1 → P1 → P2/P4; P4 → P5 → EE2</t>
        </is>
      </c>
      <c r="G846" s="16" t="inlineStr"/>
      <c r="H846" s="16" t="inlineStr">
        <is>
          <t>CHATGPT/S3</t>
        </is>
      </c>
    </row>
    <row r="847" ht="16" customHeight="1">
      <c r="A847" s="16" t="inlineStr">
        <is>
          <t>CHATGPT-S3-F011</t>
        </is>
      </c>
      <c r="B847" s="16" t="inlineStr">
        <is>
          <t>CHATGPT</t>
        </is>
      </c>
      <c r="C847" s="16" t="inlineStr">
        <is>
          <t>S3</t>
        </is>
      </c>
      <c r="D847" s="16" t="inlineStr"/>
      <c r="E847" s="17" t="inlineStr">
        <is>
          <t>Unauthorized Sensitive Context Transmission</t>
        </is>
      </c>
      <c r="F847" s="16" t="inlineStr">
        <is>
          <t>P1/P2/P4 → P5 → EE2</t>
        </is>
      </c>
      <c r="G847" s="16" t="inlineStr"/>
      <c r="H847" s="16" t="inlineStr">
        <is>
          <t>CHATGPT/S3</t>
        </is>
      </c>
    </row>
    <row r="848" ht="16" customHeight="1">
      <c r="A848" s="16" t="inlineStr">
        <is>
          <t>CHATGPT-S3-F012</t>
        </is>
      </c>
      <c r="B848" s="16" t="inlineStr">
        <is>
          <t>CHATGPT</t>
        </is>
      </c>
      <c r="C848" s="16" t="inlineStr">
        <is>
          <t>S3</t>
        </is>
      </c>
      <c r="D848" s="16" t="inlineStr">
        <is>
          <t>prompt_injection_direct</t>
        </is>
      </c>
      <c r="E848" s="17" t="inlineStr">
        <is>
          <t>Prompt Injection-Induced Data Disclosure</t>
        </is>
      </c>
      <c r="F848" s="16" t="inlineStr">
        <is>
          <t>EE1 → P4/P5 → EE2 → P5/P4 → EE1</t>
        </is>
      </c>
      <c r="G848" s="16" t="inlineStr"/>
      <c r="H848" s="16" t="inlineStr">
        <is>
          <t>CHATGPT/S3</t>
        </is>
      </c>
    </row>
    <row r="849" ht="16" customHeight="1">
      <c r="A849" s="16" t="inlineStr">
        <is>
          <t>CHATGPT-S3-F013</t>
        </is>
      </c>
      <c r="B849" s="16" t="inlineStr">
        <is>
          <t>CHATGPT</t>
        </is>
      </c>
      <c r="C849" s="16" t="inlineStr">
        <is>
          <t>S3</t>
        </is>
      </c>
      <c r="D849" s="16" t="inlineStr">
        <is>
          <t>malicious_upload</t>
        </is>
      </c>
      <c r="E849" s="17" t="inlineStr">
        <is>
          <t>Improper Output Handling</t>
        </is>
      </c>
      <c r="F849" s="16" t="inlineStr">
        <is>
          <t>EE2 → P5 → P4 → P1 → EE1</t>
        </is>
      </c>
      <c r="G849" s="16" t="inlineStr"/>
      <c r="H849" s="16" t="inlineStr">
        <is>
          <t>CHATGPT/S3</t>
        </is>
      </c>
    </row>
    <row r="850" ht="16" customHeight="1">
      <c r="A850" s="16" t="inlineStr">
        <is>
          <t>CHATGPT-S3-F014</t>
        </is>
      </c>
      <c r="B850" s="16" t="inlineStr">
        <is>
          <t>CHATGPT</t>
        </is>
      </c>
      <c r="C850" s="16" t="inlineStr">
        <is>
          <t>S3</t>
        </is>
      </c>
      <c r="D850" s="16" t="inlineStr"/>
      <c r="E850" s="17" t="inlineStr">
        <is>
          <t>AI Influence Over Security-Critical Operations</t>
        </is>
      </c>
      <c r="F850" s="16" t="inlineStr">
        <is>
          <t>P4/P5 ↔ P1/P2/P3</t>
        </is>
      </c>
      <c r="G850" s="16" t="inlineStr"/>
      <c r="H850" s="16" t="inlineStr">
        <is>
          <t>CHATGPT/S3</t>
        </is>
      </c>
    </row>
    <row r="851" ht="16" customHeight="1">
      <c r="A851" s="16" t="inlineStr">
        <is>
          <t>CHATGPT-S3-F015</t>
        </is>
      </c>
      <c r="B851" s="16" t="inlineStr">
        <is>
          <t>CHATGPT</t>
        </is>
      </c>
      <c r="C851" s="16" t="inlineStr">
        <is>
          <t>S3</t>
        </is>
      </c>
      <c r="D851" s="16" t="inlineStr"/>
      <c r="E851" s="17" t="inlineStr">
        <is>
          <t>Manipulation of Recovery Authorization</t>
        </is>
      </c>
      <c r="F851" s="16" t="inlineStr">
        <is>
          <t>P2 → P3; P2 → DS2; P3 → DS1</t>
        </is>
      </c>
      <c r="G851" s="16" t="inlineStr"/>
      <c r="H851" s="16" t="inlineStr">
        <is>
          <t>CHATGPT/S3</t>
        </is>
      </c>
    </row>
    <row r="852" ht="16" customHeight="1">
      <c r="A852" s="16" t="inlineStr">
        <is>
          <t>CHATGPT-S3-F016</t>
        </is>
      </c>
      <c r="B852" s="16" t="inlineStr">
        <is>
          <t>CHATGPT</t>
        </is>
      </c>
      <c r="C852" s="16" t="inlineStr">
        <is>
          <t>S3</t>
        </is>
      </c>
      <c r="D852" s="16" t="inlineStr">
        <is>
          <t>kb_disclosure</t>
        </is>
      </c>
      <c r="E852" s="17" t="inlineStr">
        <is>
          <t>Unauthorized Profile Data Exposure</t>
        </is>
      </c>
      <c r="F852" s="16" t="inlineStr">
        <is>
          <t>DS1 → P4/P5 → EE2 or P4 → P1 → EE1</t>
        </is>
      </c>
      <c r="G852" s="16" t="inlineStr"/>
      <c r="H852" s="16" t="inlineStr">
        <is>
          <t>CHATGPT/S3</t>
        </is>
      </c>
    </row>
    <row r="853" ht="16" customHeight="1">
      <c r="A853" s="16" t="inlineStr">
        <is>
          <t>CHATGPT-S3-F017</t>
        </is>
      </c>
      <c r="B853" s="16" t="inlineStr">
        <is>
          <t>CHATGPT</t>
        </is>
      </c>
      <c r="C853" s="16" t="inlineStr">
        <is>
          <t>S3</t>
        </is>
      </c>
      <c r="D853" s="16" t="inlineStr">
        <is>
          <t>sensitive_to_llm</t>
        </is>
      </c>
      <c r="E853" s="17" t="inlineStr">
        <is>
          <t>Disclosure of Recovery Verification Information</t>
        </is>
      </c>
      <c r="F853" s="16" t="inlineStr">
        <is>
          <t>DS1 → P4/P5 → EE2 → P4 → EE1</t>
        </is>
      </c>
      <c r="G853" s="16" t="inlineStr"/>
      <c r="H853" s="16" t="inlineStr">
        <is>
          <t>CHATGPT/S3</t>
        </is>
      </c>
    </row>
    <row r="854" ht="16" customHeight="1">
      <c r="A854" s="16" t="inlineStr">
        <is>
          <t>CHATGPT-S3-F018</t>
        </is>
      </c>
      <c r="B854" s="16" t="inlineStr">
        <is>
          <t>CHATGPT</t>
        </is>
      </c>
      <c r="C854" s="16" t="inlineStr">
        <is>
          <t>S3</t>
        </is>
      </c>
      <c r="D854" s="16" t="inlineStr"/>
      <c r="E854" s="17" t="inlineStr">
        <is>
          <t>External LLM Data Security Risk</t>
        </is>
      </c>
      <c r="F854" s="16" t="inlineStr">
        <is>
          <t>P5 ↔ EE2</t>
        </is>
      </c>
      <c r="G854" s="16" t="inlineStr"/>
      <c r="H854" s="16" t="inlineStr">
        <is>
          <t>CHATGPT/S3</t>
        </is>
      </c>
    </row>
    <row r="855" ht="16" customHeight="1">
      <c r="A855" s="16" t="inlineStr">
        <is>
          <t>CHATGPT-S3-F019</t>
        </is>
      </c>
      <c r="B855" s="16" t="inlineStr">
        <is>
          <t>CHATGPT</t>
        </is>
      </c>
      <c r="C855" s="16" t="inlineStr">
        <is>
          <t>S3</t>
        </is>
      </c>
      <c r="D855" s="16" t="inlineStr">
        <is>
          <t>model_substitution</t>
        </is>
      </c>
      <c r="E855" s="17" t="inlineStr">
        <is>
          <t>Malicious or Compromised External LLM Behavior</t>
        </is>
      </c>
      <c r="F855" s="16" t="inlineStr">
        <is>
          <t>P5 ↔ EE2</t>
        </is>
      </c>
      <c r="G855" s="16" t="inlineStr"/>
      <c r="H855" s="16" t="inlineStr">
        <is>
          <t>CHATGPT/S3</t>
        </is>
      </c>
    </row>
    <row r="856" ht="16" customHeight="1">
      <c r="A856" s="16" t="inlineStr">
        <is>
          <t>CHATGPT-S3-F020</t>
        </is>
      </c>
      <c r="B856" s="16" t="inlineStr">
        <is>
          <t>CHATGPT</t>
        </is>
      </c>
      <c r="C856" s="16" t="inlineStr">
        <is>
          <t>S3</t>
        </is>
      </c>
      <c r="D856" s="16" t="inlineStr">
        <is>
          <t>attacker_instructions</t>
        </is>
      </c>
      <c r="E856" s="17" t="inlineStr">
        <is>
          <t>Incorrect Recovery Guidance</t>
        </is>
      </c>
      <c r="F856" s="16" t="inlineStr">
        <is>
          <t>EE2 → P5 → P4 → P1 → EE1</t>
        </is>
      </c>
      <c r="G856" s="16" t="inlineStr"/>
      <c r="H856" s="16" t="inlineStr">
        <is>
          <t>CHATGPT/S3</t>
        </is>
      </c>
    </row>
    <row r="857" ht="16" customHeight="1">
      <c r="A857" s="16" t="inlineStr">
        <is>
          <t>CHATGPT-S3-F021</t>
        </is>
      </c>
      <c r="B857" s="16" t="inlineStr">
        <is>
          <t>CHATGPT</t>
        </is>
      </c>
      <c r="C857" s="16" t="inlineStr">
        <is>
          <t>S3</t>
        </is>
      </c>
      <c r="D857" s="16" t="inlineStr">
        <is>
          <t>system_prompt_extract</t>
        </is>
      </c>
      <c r="E857" s="17" t="inlineStr">
        <is>
          <t>AI Instruction Leakage</t>
        </is>
      </c>
      <c r="F857" s="16" t="inlineStr">
        <is>
          <t>EE1 → P4/P5 → EE2 → P4 → EE1</t>
        </is>
      </c>
      <c r="G857" s="16" t="inlineStr"/>
      <c r="H857" s="16" t="inlineStr">
        <is>
          <t>CHATGPT/S3</t>
        </is>
      </c>
    </row>
    <row r="858" ht="16" customHeight="1">
      <c r="A858" s="16" t="inlineStr">
        <is>
          <t>CHATGPT-S3-F022</t>
        </is>
      </c>
      <c r="B858" s="16" t="inlineStr">
        <is>
          <t>CHATGPT</t>
        </is>
      </c>
      <c r="C858" s="16" t="inlineStr">
        <is>
          <t>S3</t>
        </is>
      </c>
      <c r="D858" s="16" t="inlineStr"/>
      <c r="E858" s="17" t="inlineStr">
        <is>
          <t>Account or Recovery-State Enumeration</t>
        </is>
      </c>
      <c r="F858" s="16" t="inlineStr">
        <is>
          <t>EE1 → P1 → P2 → P1 → EE1</t>
        </is>
      </c>
      <c r="G858" s="16" t="inlineStr"/>
      <c r="H858" s="16" t="inlineStr">
        <is>
          <t>CHATGPT/S3</t>
        </is>
      </c>
    </row>
    <row r="859" ht="16" customHeight="1">
      <c r="A859" s="16" t="inlineStr">
        <is>
          <t>CHATGPT-S3-F023</t>
        </is>
      </c>
      <c r="B859" s="16" t="inlineStr">
        <is>
          <t>CHATGPT</t>
        </is>
      </c>
      <c r="C859" s="16" t="inlineStr">
        <is>
          <t>S3</t>
        </is>
      </c>
      <c r="D859" s="16" t="inlineStr">
        <is>
          <t>dos_service</t>
        </is>
      </c>
      <c r="E859" s="17" t="inlineStr">
        <is>
          <t>Unbounded AI Resource Consumption</t>
        </is>
      </c>
      <c r="F859" s="16" t="inlineStr">
        <is>
          <t>EE1 → P1 → P4 → P5 → EE2</t>
        </is>
      </c>
      <c r="G859" s="16" t="inlineStr"/>
      <c r="H859" s="16" t="inlineStr">
        <is>
          <t>CHATGPT/S3</t>
        </is>
      </c>
    </row>
    <row r="860" ht="16" customHeight="1">
      <c r="A860" s="16" t="inlineStr">
        <is>
          <t>CHATGPT-S3-F024</t>
        </is>
      </c>
      <c r="B860" s="16" t="inlineStr">
        <is>
          <t>CHATGPT</t>
        </is>
      </c>
      <c r="C860" s="16" t="inlineStr">
        <is>
          <t>S3</t>
        </is>
      </c>
      <c r="D860" s="16" t="inlineStr">
        <is>
          <t>prompt_injection_direct</t>
        </is>
      </c>
      <c r="E860" s="17" t="inlineStr">
        <is>
          <t>Context Boundary Confusion</t>
        </is>
      </c>
      <c r="F860" s="16" t="inlineStr">
        <is>
          <t>EE1 → P1 → P4 → P5 → EE2</t>
        </is>
      </c>
      <c r="G860" s="16" t="inlineStr"/>
      <c r="H860" s="16" t="inlineStr">
        <is>
          <t>CHATGPT/S3</t>
        </is>
      </c>
    </row>
    <row r="861" ht="16" customHeight="1">
      <c r="A861" s="16" t="inlineStr">
        <is>
          <t>CHATGPT-S3-F025</t>
        </is>
      </c>
      <c r="B861" s="16" t="inlineStr">
        <is>
          <t>CHATGPT</t>
        </is>
      </c>
      <c r="C861" s="16" t="inlineStr">
        <is>
          <t>S3</t>
        </is>
      </c>
      <c r="D861" s="16" t="inlineStr"/>
      <c r="E861" s="17" t="inlineStr">
        <is>
          <t>AI-Driven Unauthorized Profile Modification</t>
        </is>
      </c>
      <c r="F861" s="16" t="inlineStr">
        <is>
          <t>P4/P5 → P1 → P3 → DS1</t>
        </is>
      </c>
      <c r="G861" s="16" t="inlineStr"/>
      <c r="H861" s="16" t="inlineStr">
        <is>
          <t>CHATGPT/S3</t>
        </is>
      </c>
    </row>
    <row r="862" ht="16" customHeight="1">
      <c r="A862" s="16" t="inlineStr">
        <is>
          <t>CHATGPT-S3-F026</t>
        </is>
      </c>
      <c r="B862" s="16" t="inlineStr">
        <is>
          <t>CHATGPT</t>
        </is>
      </c>
      <c r="C862" s="16" t="inlineStr">
        <is>
          <t>S3</t>
        </is>
      </c>
      <c r="D862" s="16" t="inlineStr">
        <is>
          <t>access_bypass_logic</t>
        </is>
      </c>
      <c r="E862" s="17" t="inlineStr">
        <is>
          <t>Account Recovery Authorization Bypass</t>
        </is>
      </c>
      <c r="F862" s="16" t="inlineStr">
        <is>
          <t>EE1 → P1 → P2; P2 → DS1/DS2</t>
        </is>
      </c>
      <c r="G862" s="16" t="inlineStr"/>
      <c r="H862" s="16" t="inlineStr">
        <is>
          <t>CHATGPT/S3</t>
        </is>
      </c>
    </row>
    <row r="863" ht="16" customHeight="1">
      <c r="A863" s="16" t="inlineStr">
        <is>
          <t>CHATGPT-S3-F027</t>
        </is>
      </c>
      <c r="B863" s="16" t="inlineStr">
        <is>
          <t>CHATGPT</t>
        </is>
      </c>
      <c r="C863" s="16" t="inlineStr">
        <is>
          <t>S3</t>
        </is>
      </c>
      <c r="D863" s="16" t="inlineStr">
        <is>
          <t>verif_bypass_guessable</t>
        </is>
      </c>
      <c r="E863" s="17" t="inlineStr">
        <is>
          <t>Recovery Verification Data Manipulation</t>
        </is>
      </c>
      <c r="F863" s="16" t="inlineStr">
        <is>
          <t>EE1 → P1 → P2 → DS1</t>
        </is>
      </c>
      <c r="G863" s="16" t="inlineStr"/>
      <c r="H863" s="16" t="inlineStr">
        <is>
          <t>CHATGPT/S3</t>
        </is>
      </c>
    </row>
    <row r="864" ht="16" customHeight="1">
      <c r="A864" s="16" t="inlineStr">
        <is>
          <t>CHATGPT-S3-F028</t>
        </is>
      </c>
      <c r="B864" s="16" t="inlineStr">
        <is>
          <t>CHATGPT</t>
        </is>
      </c>
      <c r="C864" s="16" t="inlineStr">
        <is>
          <t>S3</t>
        </is>
      </c>
      <c r="D864" s="16" t="inlineStr">
        <is>
          <t>token_replay</t>
        </is>
      </c>
      <c r="E864" s="17" t="inlineStr">
        <is>
          <t>Recovery Token Replay</t>
        </is>
      </c>
      <c r="F864" s="16" t="inlineStr">
        <is>
          <t>P2 ↔ DS2; recovery token validation</t>
        </is>
      </c>
      <c r="G864" s="16" t="inlineStr"/>
      <c r="H864" s="16" t="inlineStr">
        <is>
          <t>CHATGPT/S3</t>
        </is>
      </c>
    </row>
    <row r="865" ht="16" customHeight="1">
      <c r="A865" s="16" t="inlineStr">
        <is>
          <t>CHATGPT-S3-F029</t>
        </is>
      </c>
      <c r="B865" s="16" t="inlineStr">
        <is>
          <t>CHATGPT</t>
        </is>
      </c>
      <c r="C865" s="16" t="inlineStr">
        <is>
          <t>S3</t>
        </is>
      </c>
      <c r="D865" s="16" t="inlineStr">
        <is>
          <t>transit_token</t>
        </is>
      </c>
      <c r="E865" s="17" t="inlineStr">
        <is>
          <t>Exposure of Recovery Tokens</t>
        </is>
      </c>
      <c r="F865" s="16" t="inlineStr">
        <is>
          <t>P2 ↔ DS2; P1 ↔ P2; P4/P5 → EE2</t>
        </is>
      </c>
      <c r="G865" s="16" t="inlineStr"/>
      <c r="H865" s="16" t="inlineStr">
        <is>
          <t>CHATGPT/S3</t>
        </is>
      </c>
    </row>
    <row r="866" ht="16" customHeight="1">
      <c r="A866" s="16" t="inlineStr">
        <is>
          <t>CHATGPT-S3-F030</t>
        </is>
      </c>
      <c r="B866" s="16" t="inlineStr">
        <is>
          <t>CHATGPT</t>
        </is>
      </c>
      <c r="C866" s="16" t="inlineStr">
        <is>
          <t>S3</t>
        </is>
      </c>
      <c r="D866" s="16" t="inlineStr"/>
      <c r="E866" s="17" t="inlineStr">
        <is>
          <t>AI-Assisted Identity Verification Manipulation</t>
        </is>
      </c>
      <c r="F866" s="16" t="inlineStr">
        <is>
          <t>EE1 → P4 → P5 → EE2; P4 → EE1</t>
        </is>
      </c>
      <c r="G866" s="16" t="inlineStr"/>
      <c r="H866" s="16" t="inlineStr">
        <is>
          <t>CHATGPT/S3</t>
        </is>
      </c>
    </row>
    <row r="867" ht="16" customHeight="1">
      <c r="A867" s="16" t="inlineStr">
        <is>
          <t>CHATGPT-S3-F031</t>
        </is>
      </c>
      <c r="B867" s="16" t="inlineStr">
        <is>
          <t>CHATGPT</t>
        </is>
      </c>
      <c r="C867" s="16" t="inlineStr">
        <is>
          <t>S3</t>
        </is>
      </c>
      <c r="D867" s="16" t="inlineStr">
        <is>
          <t>prompt_injection_direct</t>
        </is>
      </c>
      <c r="E867" s="17" t="inlineStr">
        <is>
          <t>Recovery-Input Prompt Injection</t>
        </is>
      </c>
      <c r="F867" s="16" t="inlineStr">
        <is>
          <t>EE1 → P1 → P4/P5 → EE2</t>
        </is>
      </c>
      <c r="G867" s="16" t="inlineStr"/>
      <c r="H867" s="16" t="inlineStr">
        <is>
          <t>CHATGPT/S3</t>
        </is>
      </c>
    </row>
    <row r="868" ht="16" customHeight="1">
      <c r="A868" s="16" t="inlineStr">
        <is>
          <t>CHATGPT-S3-F032</t>
        </is>
      </c>
      <c r="B868" s="16" t="inlineStr">
        <is>
          <t>CHATGPT</t>
        </is>
      </c>
      <c r="C868" s="16" t="inlineStr">
        <is>
          <t>S3</t>
        </is>
      </c>
      <c r="D868" s="16" t="inlineStr">
        <is>
          <t>malicious_upload</t>
        </is>
      </c>
      <c r="E868" s="17" t="inlineStr">
        <is>
          <t>Malicious Content in LLM Context</t>
        </is>
      </c>
      <c r="F868" s="16" t="inlineStr">
        <is>
          <t>DS1 → P5 → EE2 → P4</t>
        </is>
      </c>
      <c r="G868" s="16" t="inlineStr"/>
      <c r="H868" s="16" t="inlineStr">
        <is>
          <t>CHATGPT/S3</t>
        </is>
      </c>
    </row>
    <row r="869" ht="16" customHeight="1">
      <c r="A869" s="16" t="inlineStr">
        <is>
          <t>CHATGPT-S3-F033</t>
        </is>
      </c>
      <c r="B869" s="16" t="inlineStr">
        <is>
          <t>CHATGPT</t>
        </is>
      </c>
      <c r="C869" s="16" t="inlineStr">
        <is>
          <t>S3</t>
        </is>
      </c>
      <c r="D869" s="16" t="inlineStr">
        <is>
          <t>sensitive_to_llm</t>
        </is>
      </c>
      <c r="E869" s="17" t="inlineStr">
        <is>
          <t>Unauthorized Disclosure of Account Information</t>
        </is>
      </c>
      <c r="F869" s="16" t="inlineStr">
        <is>
          <t>DS1 → P5 → EE2; P4 → EE1</t>
        </is>
      </c>
      <c r="G869" s="16" t="inlineStr"/>
      <c r="H869" s="16" t="inlineStr">
        <is>
          <t>CHATGPT/S3</t>
        </is>
      </c>
    </row>
    <row r="870" ht="16" customHeight="1">
      <c r="A870" s="16" t="inlineStr">
        <is>
          <t>CHATGPT-S3-F034</t>
        </is>
      </c>
      <c r="B870" s="16" t="inlineStr">
        <is>
          <t>CHATGPT</t>
        </is>
      </c>
      <c r="C870" s="16" t="inlineStr">
        <is>
          <t>S3</t>
        </is>
      </c>
      <c r="D870" s="16" t="inlineStr">
        <is>
          <t>malicious_upload</t>
        </is>
      </c>
      <c r="E870" s="17" t="inlineStr">
        <is>
          <t>Malicious or Misleading LLM Output</t>
        </is>
      </c>
      <c r="F870" s="16" t="inlineStr">
        <is>
          <t>EE2 → P5 → P4 → P1 → EE1</t>
        </is>
      </c>
      <c r="G870" s="16" t="inlineStr"/>
      <c r="H870" s="16" t="inlineStr">
        <is>
          <t>CHATGPT/S3</t>
        </is>
      </c>
    </row>
    <row r="871" ht="16" customHeight="1">
      <c r="A871" s="16" t="inlineStr">
        <is>
          <t>CHATGPT-S3-F035</t>
        </is>
      </c>
      <c r="B871" s="16" t="inlineStr">
        <is>
          <t>CHATGPT</t>
        </is>
      </c>
      <c r="C871" s="16" t="inlineStr">
        <is>
          <t>S3</t>
        </is>
      </c>
      <c r="D871" s="16" t="inlineStr"/>
      <c r="E871" s="17" t="inlineStr">
        <is>
          <t>Unauthorized Expansion of AI Authority</t>
        </is>
      </c>
      <c r="F871" s="16" t="inlineStr">
        <is>
          <t>P4/P5 ↔ P2/P3</t>
        </is>
      </c>
      <c r="G871" s="16" t="inlineStr"/>
      <c r="H871" s="16" t="inlineStr">
        <is>
          <t>CHATGPT/S3</t>
        </is>
      </c>
    </row>
    <row r="872" ht="16" customHeight="1">
      <c r="A872" s="16" t="inlineStr">
        <is>
          <t>CHATGPT-S3-F036</t>
        </is>
      </c>
      <c r="B872" s="16" t="inlineStr">
        <is>
          <t>CHATGPT</t>
        </is>
      </c>
      <c r="C872" s="16" t="inlineStr">
        <is>
          <t>S3</t>
        </is>
      </c>
      <c r="D872" s="16" t="inlineStr"/>
      <c r="E872" s="17" t="inlineStr">
        <is>
          <t>Profile Update Without Recovery Authorization</t>
        </is>
      </c>
      <c r="F872" s="16" t="inlineStr">
        <is>
          <t>P1 → P3; P2 → P3; P3 → DS1</t>
        </is>
      </c>
      <c r="G872" s="16" t="inlineStr"/>
      <c r="H872" s="16" t="inlineStr">
        <is>
          <t>CHATGPT/S3</t>
        </is>
      </c>
    </row>
    <row r="873" ht="16" customHeight="1">
      <c r="A873" s="16" t="inlineStr">
        <is>
          <t>CHATGPT-S3-F037</t>
        </is>
      </c>
      <c r="B873" s="16" t="inlineStr">
        <is>
          <t>CHATGPT</t>
        </is>
      </c>
      <c r="C873" s="16" t="inlineStr">
        <is>
          <t>S3</t>
        </is>
      </c>
      <c r="D873" s="16" t="inlineStr">
        <is>
          <t>malicious_upload</t>
        </is>
      </c>
      <c r="E873" s="17" t="inlineStr">
        <is>
          <t>Malicious Profile Update Manipulation</t>
        </is>
      </c>
      <c r="F873" s="16" t="inlineStr">
        <is>
          <t>EE1 → P1 → P3 → DS1</t>
        </is>
      </c>
      <c r="G873" s="16" t="inlineStr"/>
      <c r="H873" s="16" t="inlineStr">
        <is>
          <t>CHATGPT/S3</t>
        </is>
      </c>
    </row>
    <row r="874" ht="16" customHeight="1">
      <c r="A874" s="16" t="inlineStr">
        <is>
          <t>CHATGPT-S3-F038</t>
        </is>
      </c>
      <c r="B874" s="16" t="inlineStr">
        <is>
          <t>CHATGPT</t>
        </is>
      </c>
      <c r="C874" s="16" t="inlineStr">
        <is>
          <t>S3</t>
        </is>
      </c>
      <c r="D874" s="16" t="inlineStr">
        <is>
          <t>token_replay</t>
        </is>
      </c>
      <c r="E874" s="17" t="inlineStr">
        <is>
          <t>Token Lifecycle Information Leakage</t>
        </is>
      </c>
      <c r="F874" s="16" t="inlineStr">
        <is>
          <t>DS2 → P2 → P1/P4</t>
        </is>
      </c>
      <c r="G874" s="16" t="inlineStr"/>
      <c r="H874" s="16" t="inlineStr">
        <is>
          <t>CHATGPT/S3</t>
        </is>
      </c>
    </row>
    <row r="875" ht="16" customHeight="1">
      <c r="A875" s="16" t="inlineStr">
        <is>
          <t>CHATGPT-S3-F039</t>
        </is>
      </c>
      <c r="B875" s="16" t="inlineStr">
        <is>
          <t>CHATGPT</t>
        </is>
      </c>
      <c r="C875" s="16" t="inlineStr">
        <is>
          <t>S3</t>
        </is>
      </c>
      <c r="D875" s="16" t="inlineStr">
        <is>
          <t>enumeration</t>
        </is>
      </c>
      <c r="E875" s="17" t="inlineStr">
        <is>
          <t>Recovery-Based Account Enumeration</t>
        </is>
      </c>
      <c r="F875" s="16" t="inlineStr">
        <is>
          <t>EE1 → P1 → P2 → P1</t>
        </is>
      </c>
      <c r="G875" s="16" t="inlineStr"/>
      <c r="H875" s="16" t="inlineStr">
        <is>
          <t>CHATGPT/S3</t>
        </is>
      </c>
    </row>
    <row r="876" ht="16" customHeight="1">
      <c r="A876" s="16" t="inlineStr">
        <is>
          <t>CHATGPT-S3-F040</t>
        </is>
      </c>
      <c r="B876" s="16" t="inlineStr">
        <is>
          <t>CHATGPT</t>
        </is>
      </c>
      <c r="C876" s="16" t="inlineStr">
        <is>
          <t>S3</t>
        </is>
      </c>
      <c r="D876" s="16" t="inlineStr">
        <is>
          <t>provider_retention</t>
        </is>
      </c>
      <c r="E876" s="17" t="inlineStr">
        <is>
          <t>External LLM Provider Compromise or Misuse</t>
        </is>
      </c>
      <c r="F876" s="16" t="inlineStr">
        <is>
          <t>P5 → EE2 → P5</t>
        </is>
      </c>
      <c r="G876" s="16" t="inlineStr"/>
      <c r="H876" s="16" t="inlineStr">
        <is>
          <t>CHATGPT/S3</t>
        </is>
      </c>
    </row>
    <row r="877" ht="16" customHeight="1">
      <c r="A877" s="16" t="inlineStr">
        <is>
          <t>CHATGPT-S3-F041</t>
        </is>
      </c>
      <c r="B877" s="16" t="inlineStr">
        <is>
          <t>CHATGPT</t>
        </is>
      </c>
      <c r="C877" s="16" t="inlineStr">
        <is>
          <t>S3</t>
        </is>
      </c>
      <c r="D877" s="16" t="inlineStr">
        <is>
          <t>session_store_tamper</t>
        </is>
      </c>
      <c r="E877" s="17" t="inlineStr">
        <is>
          <t>External LLM Response Manipulation</t>
        </is>
      </c>
      <c r="F877" s="16" t="inlineStr">
        <is>
          <t>EE2 → P5 → P4</t>
        </is>
      </c>
      <c r="G877" s="16" t="inlineStr"/>
      <c r="H877" s="16" t="inlineStr">
        <is>
          <t>CHATGPT/S3</t>
        </is>
      </c>
    </row>
    <row r="878" ht="16" customHeight="1">
      <c r="A878" s="16" t="inlineStr">
        <is>
          <t>CHATGPT-S3-F042</t>
        </is>
      </c>
      <c r="B878" s="16" t="inlineStr">
        <is>
          <t>CHATGPT</t>
        </is>
      </c>
      <c r="C878" s="16" t="inlineStr">
        <is>
          <t>S3</t>
        </is>
      </c>
      <c r="D878" s="16" t="inlineStr">
        <is>
          <t>system_prompt_extract</t>
        </is>
      </c>
      <c r="E878" s="17" t="inlineStr">
        <is>
          <t>AI Instruction Disclosure</t>
        </is>
      </c>
      <c r="F878" s="16" t="inlineStr">
        <is>
          <t>EE1 → P4/P5; P5 → EE2</t>
        </is>
      </c>
      <c r="G878" s="16" t="inlineStr"/>
      <c r="H878" s="16" t="inlineStr">
        <is>
          <t>CHATGPT/S3</t>
        </is>
      </c>
    </row>
    <row r="879" ht="16" customHeight="1">
      <c r="A879" s="16" t="inlineStr">
        <is>
          <t>CHATGPT-S3-F043</t>
        </is>
      </c>
      <c r="B879" s="16" t="inlineStr">
        <is>
          <t>CHATGPT</t>
        </is>
      </c>
      <c r="C879" s="16" t="inlineStr">
        <is>
          <t>S3</t>
        </is>
      </c>
      <c r="D879" s="16" t="inlineStr">
        <is>
          <t>dos_service</t>
        </is>
      </c>
      <c r="E879" s="17" t="inlineStr">
        <is>
          <t>AI-Assisted Denial of Service</t>
        </is>
      </c>
      <c r="F879" s="16" t="inlineStr">
        <is>
          <t>EE1 → P1 → P4/P5 → EE2</t>
        </is>
      </c>
      <c r="G879" s="16" t="inlineStr"/>
      <c r="H879" s="16" t="inlineStr">
        <is>
          <t>CHATGPT/S3</t>
        </is>
      </c>
    </row>
    <row r="880" ht="16" customHeight="1">
      <c r="A880" s="16" t="inlineStr">
        <is>
          <t>CHATGPT-S3-F044</t>
        </is>
      </c>
      <c r="B880" s="16" t="inlineStr">
        <is>
          <t>CHATGPT</t>
        </is>
      </c>
      <c r="C880" s="16" t="inlineStr">
        <is>
          <t>S3</t>
        </is>
      </c>
      <c r="D880" s="16" t="inlineStr"/>
      <c r="E880" s="17" t="inlineStr">
        <is>
          <t>Incorrect Recovery Guidance</t>
        </is>
      </c>
      <c r="F880" s="16" t="inlineStr">
        <is>
          <t>EE2 → P5 → P4 → EE1</t>
        </is>
      </c>
      <c r="G880" s="16" t="inlineStr"/>
      <c r="H880" s="16" t="inlineStr">
        <is>
          <t>CHATGPT/S3</t>
        </is>
      </c>
    </row>
    <row r="881" ht="16" customHeight="1">
      <c r="A881" s="16" t="inlineStr">
        <is>
          <t>CHATGPT-S3-F045</t>
        </is>
      </c>
      <c r="B881" s="16" t="inlineStr">
        <is>
          <t>CHATGPT</t>
        </is>
      </c>
      <c r="C881" s="16" t="inlineStr">
        <is>
          <t>S3</t>
        </is>
      </c>
      <c r="D881" s="16" t="inlineStr"/>
      <c r="E881" s="17" t="inlineStr">
        <is>
          <t>Recovery Authorization Used Beyond Its Intended Scope</t>
        </is>
      </c>
      <c r="F881" s="16" t="inlineStr">
        <is>
          <t>P2 → P3 → DS1</t>
        </is>
      </c>
      <c r="G881" s="16" t="inlineStr"/>
      <c r="H881" s="16" t="inlineStr">
        <is>
          <t>CHATGPT/S3</t>
        </is>
      </c>
    </row>
    <row r="882" ht="16" customHeight="1">
      <c r="A882" s="16" t="inlineStr">
        <is>
          <t>CHATGPT-S3-F046</t>
        </is>
      </c>
      <c r="B882" s="16" t="inlineStr">
        <is>
          <t>CHATGPT</t>
        </is>
      </c>
      <c r="C882" s="16" t="inlineStr">
        <is>
          <t>S3</t>
        </is>
      </c>
      <c r="D882" s="16" t="inlineStr"/>
      <c r="E882" s="17" t="inlineStr">
        <is>
          <t>Sensitive Information Exposure Through Support Queries</t>
        </is>
      </c>
      <c r="F882" s="16" t="inlineStr">
        <is>
          <t>EE1 → P4 → P5 → EE2 / P4 → EE1</t>
        </is>
      </c>
      <c r="G882" s="16" t="inlineStr"/>
      <c r="H882" s="16" t="inlineStr">
        <is>
          <t>CHATGPT/S3</t>
        </is>
      </c>
    </row>
    <row r="883" ht="16" customHeight="1">
      <c r="A883" s="16" t="inlineStr">
        <is>
          <t>CHATGPT-S3-F047</t>
        </is>
      </c>
      <c r="B883" s="16" t="inlineStr">
        <is>
          <t>CHATGPT</t>
        </is>
      </c>
      <c r="C883" s="16" t="inlineStr">
        <is>
          <t>S3</t>
        </is>
      </c>
      <c r="D883" s="16" t="inlineStr"/>
      <c r="E883" s="17" t="inlineStr">
        <is>
          <t>AI Authority Impersonation</t>
        </is>
      </c>
      <c r="F883" s="16" t="inlineStr">
        <is>
          <t>P4 → P1 → EE1</t>
        </is>
      </c>
      <c r="G883" s="16" t="inlineStr"/>
      <c r="H883" s="16" t="inlineStr">
        <is>
          <t>CHATGPT/S3</t>
        </is>
      </c>
    </row>
    <row r="884" ht="16" customHeight="1">
      <c r="A884" s="16" t="inlineStr">
        <is>
          <t>CHATGPT-S3-F048</t>
        </is>
      </c>
      <c r="B884" s="16" t="inlineStr">
        <is>
          <t>CHATGPT</t>
        </is>
      </c>
      <c r="C884" s="16" t="inlineStr">
        <is>
          <t>S3</t>
        </is>
      </c>
      <c r="D884" s="16" t="inlineStr">
        <is>
          <t>session_store_tamper</t>
        </is>
      </c>
      <c r="E884" s="17" t="inlineStr">
        <is>
          <t>Token Validation Bypass</t>
        </is>
      </c>
      <c r="F884" s="16" t="inlineStr">
        <is>
          <t>EE1 → P1 → P2 → DS2</t>
        </is>
      </c>
      <c r="G884" s="16" t="inlineStr"/>
      <c r="H884" s="16" t="inlineStr">
        <is>
          <t>CHATGPT/S3</t>
        </is>
      </c>
    </row>
    <row r="885" ht="16" customHeight="1">
      <c r="A885" s="16" t="inlineStr">
        <is>
          <t>CHATGPT-S3-F049</t>
        </is>
      </c>
      <c r="B885" s="16" t="inlineStr">
        <is>
          <t>CHATGPT</t>
        </is>
      </c>
      <c r="C885" s="16" t="inlineStr">
        <is>
          <t>S3</t>
        </is>
      </c>
      <c r="D885" s="16" t="inlineStr"/>
      <c r="E885" s="17" t="inlineStr">
        <is>
          <t>Recovery-to-Persistence Attack</t>
        </is>
      </c>
      <c r="F885" s="16" t="inlineStr">
        <is>
          <t>EE1 → P1 → P2 → P3 → DS1</t>
        </is>
      </c>
      <c r="G885" s="16" t="inlineStr"/>
      <c r="H885" s="16" t="inlineStr">
        <is>
          <t>CHATGPT/S3</t>
        </is>
      </c>
    </row>
    <row r="886" ht="16" customHeight="1">
      <c r="A886" s="16" t="inlineStr">
        <is>
          <t>OLLAMA-S3-F001</t>
        </is>
      </c>
      <c r="B886" s="16" t="inlineStr">
        <is>
          <t>OLLAMA</t>
        </is>
      </c>
      <c r="C886" s="16" t="inlineStr">
        <is>
          <t>S3</t>
        </is>
      </c>
      <c r="D886" s="16" t="inlineStr">
        <is>
          <t>brute_force</t>
        </is>
      </c>
      <c r="E886" s="17" t="inlineStr">
        <is>
          <t>Brute Force Attack on User Authentication</t>
        </is>
      </c>
      <c r="F886" s="16" t="inlineStr">
        <is>
          <t>EE1, P1, DS1</t>
        </is>
      </c>
      <c r="G886" s="16" t="inlineStr"/>
      <c r="H886" s="16" t="inlineStr">
        <is>
          <t>OLLAMA/S3</t>
        </is>
      </c>
    </row>
    <row r="887" ht="16" customHeight="1">
      <c r="A887" s="16" t="inlineStr">
        <is>
          <t>OLLAMA-S3-F002</t>
        </is>
      </c>
      <c r="B887" s="16" t="inlineStr">
        <is>
          <t>OLLAMA</t>
        </is>
      </c>
      <c r="C887" s="16" t="inlineStr">
        <is>
          <t>S3</t>
        </is>
      </c>
      <c r="D887" s="16" t="inlineStr">
        <is>
          <t>session_store_tamper</t>
        </is>
      </c>
      <c r="E887" s="17" t="inlineStr">
        <is>
          <t>Recovery Token Misuse</t>
        </is>
      </c>
      <c r="F887" s="16" t="inlineStr">
        <is>
          <t>P2, DS2</t>
        </is>
      </c>
      <c r="G887" s="16" t="inlineStr"/>
      <c r="H887" s="16" t="inlineStr">
        <is>
          <t>OLLAMA/S3</t>
        </is>
      </c>
    </row>
    <row r="888" ht="16" customHeight="1">
      <c r="A888" s="16" t="inlineStr">
        <is>
          <t>OLLAMA-S3-F003</t>
        </is>
      </c>
      <c r="B888" s="16" t="inlineStr">
        <is>
          <t>OLLAMA</t>
        </is>
      </c>
      <c r="C888" s="16" t="inlineStr">
        <is>
          <t>S3</t>
        </is>
      </c>
      <c r="D888" s="16" t="inlineStr">
        <is>
          <t>token_replay</t>
        </is>
      </c>
      <c r="E888" s="17" t="inlineStr">
        <is>
          <t>Recovery Token Replay Attack</t>
        </is>
      </c>
      <c r="F888" s="16" t="inlineStr">
        <is>
          <t>P2, DS2, EE1</t>
        </is>
      </c>
      <c r="G888" s="16" t="inlineStr"/>
      <c r="H888" s="16" t="inlineStr">
        <is>
          <t>OLLAMA/S3</t>
        </is>
      </c>
    </row>
    <row r="889" ht="16" customHeight="1">
      <c r="A889" s="16" t="inlineStr">
        <is>
          <t>OLLAMA-S3-F004</t>
        </is>
      </c>
      <c r="B889" s="16" t="inlineStr">
        <is>
          <t>OLLAMA</t>
        </is>
      </c>
      <c r="C889" s="16" t="inlineStr">
        <is>
          <t>S3</t>
        </is>
      </c>
      <c r="D889" s="16" t="inlineStr">
        <is>
          <t>transit_token</t>
        </is>
      </c>
      <c r="E889" s="17" t="inlineStr">
        <is>
          <t>Recovery Token Exposure</t>
        </is>
      </c>
      <c r="F889" s="16" t="inlineStr">
        <is>
          <t>P2, DS2</t>
        </is>
      </c>
      <c r="G889" s="16" t="inlineStr"/>
      <c r="H889" s="16" t="inlineStr">
        <is>
          <t>OLLAMA/S3</t>
        </is>
      </c>
    </row>
    <row r="890" ht="16" customHeight="1">
      <c r="A890" s="16" t="inlineStr">
        <is>
          <t>OLLAMA-S3-F005</t>
        </is>
      </c>
      <c r="B890" s="16" t="inlineStr">
        <is>
          <t>OLLAMA</t>
        </is>
      </c>
      <c r="C890" s="16" t="inlineStr">
        <is>
          <t>S3</t>
        </is>
      </c>
      <c r="D890" s="16" t="inlineStr">
        <is>
          <t>access_bypass_logic</t>
        </is>
      </c>
      <c r="E890" s="17" t="inlineStr">
        <is>
          <t>Bypassing Recovery Authorization</t>
        </is>
      </c>
      <c r="F890" s="16" t="inlineStr">
        <is>
          <t>P2, DS1</t>
        </is>
      </c>
      <c r="G890" s="16" t="inlineStr"/>
      <c r="H890" s="16" t="inlineStr">
        <is>
          <t>OLLAMA/S3</t>
        </is>
      </c>
    </row>
    <row r="891" ht="16" customHeight="1">
      <c r="A891" s="16" t="inlineStr">
        <is>
          <t>OLLAMA-S3-F006</t>
        </is>
      </c>
      <c r="B891" s="16" t="inlineStr">
        <is>
          <t>OLLAMA</t>
        </is>
      </c>
      <c r="C891" s="16" t="inlineStr">
        <is>
          <t>S3</t>
        </is>
      </c>
      <c r="D891" s="16" t="inlineStr"/>
      <c r="E891" s="17" t="inlineStr">
        <is>
          <t>Unauthorized Account Access or Modification</t>
        </is>
      </c>
      <c r="F891" s="16" t="inlineStr">
        <is>
          <t>P3, DS1</t>
        </is>
      </c>
      <c r="G891" s="16" t="inlineStr"/>
      <c r="H891" s="16" t="inlineStr">
        <is>
          <t>OLLAMA/S3</t>
        </is>
      </c>
    </row>
    <row r="892" ht="16" customHeight="1">
      <c r="A892" s="16" t="inlineStr">
        <is>
          <t>OLLAMA-S3-F007</t>
        </is>
      </c>
      <c r="B892" s="16" t="inlineStr">
        <is>
          <t>OLLAMA</t>
        </is>
      </c>
      <c r="C892" s="16" t="inlineStr">
        <is>
          <t>S3</t>
        </is>
      </c>
      <c r="D892" s="16" t="inlineStr">
        <is>
          <t>access_bypass_logic</t>
        </is>
      </c>
      <c r="E892" s="17" t="inlineStr">
        <is>
          <t>Unauthenticated Account Information Update</t>
        </is>
      </c>
      <c r="F892" s="16" t="inlineStr">
        <is>
          <t>P3, DS1</t>
        </is>
      </c>
      <c r="G892" s="16" t="inlineStr"/>
      <c r="H892" s="16" t="inlineStr">
        <is>
          <t>OLLAMA/S3</t>
        </is>
      </c>
    </row>
    <row r="893" ht="16" customHeight="1">
      <c r="A893" s="16" t="inlineStr">
        <is>
          <t>OLLAMA-S3-F008</t>
        </is>
      </c>
      <c r="B893" s="16" t="inlineStr">
        <is>
          <t>OLLAMA</t>
        </is>
      </c>
      <c r="C893" s="16" t="inlineStr">
        <is>
          <t>S3</t>
        </is>
      </c>
      <c r="D893" s="16" t="inlineStr">
        <is>
          <t>prompt_injection_direct</t>
        </is>
      </c>
      <c r="E893" s="17" t="inlineStr">
        <is>
          <t>External LLM Input Manipulation</t>
        </is>
      </c>
      <c r="F893" s="16" t="inlineStr">
        <is>
          <t>P5, EE2</t>
        </is>
      </c>
      <c r="G893" s="16" t="inlineStr"/>
      <c r="H893" s="16" t="inlineStr">
        <is>
          <t>OLLAMA/S3</t>
        </is>
      </c>
    </row>
    <row r="894" ht="16" customHeight="1">
      <c r="A894" s="16" t="inlineStr">
        <is>
          <t>OLLAMA-S3-F009</t>
        </is>
      </c>
      <c r="B894" s="16" t="inlineStr">
        <is>
          <t>OLLAMA</t>
        </is>
      </c>
      <c r="C894" s="16" t="inlineStr">
        <is>
          <t>S3</t>
        </is>
      </c>
      <c r="D894" s="16" t="inlineStr">
        <is>
          <t>transit_token</t>
        </is>
      </c>
      <c r="E894" s="17" t="inlineStr">
        <is>
          <t>Unintended Exposure of Recovery Tokens or Account Data</t>
        </is>
      </c>
      <c r="F894" s="16" t="inlineStr">
        <is>
          <t>P2, DS2, EE1</t>
        </is>
      </c>
      <c r="G894" s="16" t="inlineStr"/>
      <c r="H894" s="16" t="inlineStr">
        <is>
          <t>OLLAMA/S3</t>
        </is>
      </c>
    </row>
    <row r="895" ht="16" customHeight="1">
      <c r="A895" s="16" t="inlineStr">
        <is>
          <t>OLLAMA-S3-F010</t>
        </is>
      </c>
      <c r="B895" s="16" t="inlineStr">
        <is>
          <t>OLLAMA</t>
        </is>
      </c>
      <c r="C895" s="16" t="inlineStr">
        <is>
          <t>S3</t>
        </is>
      </c>
      <c r="D895" s="16" t="inlineStr">
        <is>
          <t>unsafe_output</t>
        </is>
      </c>
      <c r="E895" s="17" t="inlineStr">
        <is>
          <t>Unvalidated or Malicious External LLM Output</t>
        </is>
      </c>
      <c r="F895" s="16" t="inlineStr">
        <is>
          <t>P5, EE2</t>
        </is>
      </c>
      <c r="G895" s="16" t="inlineStr"/>
      <c r="H895" s="16" t="inlineStr">
        <is>
          <t>OLLAMA/S3</t>
        </is>
      </c>
    </row>
    <row r="896" ht="16" customHeight="1">
      <c r="A896" s="16" t="inlineStr">
        <is>
          <t>OLLAMA-S3-F011</t>
        </is>
      </c>
      <c r="B896" s="16" t="inlineStr">
        <is>
          <t>OLLAMA</t>
        </is>
      </c>
      <c r="C896" s="16" t="inlineStr">
        <is>
          <t>S3</t>
        </is>
      </c>
      <c r="D896" s="16" t="inlineStr"/>
      <c r="E896" s="17" t="inlineStr">
        <is>
          <t>Unintended Behavior or Influence due to External LLM Output</t>
        </is>
      </c>
      <c r="F896" s="16" t="inlineStr">
        <is>
          <t>P4, EE2</t>
        </is>
      </c>
      <c r="G896" s="16" t="inlineStr"/>
      <c r="H896" s="16" t="inlineStr">
        <is>
          <t>OLLAMA/S3</t>
        </is>
      </c>
    </row>
    <row r="897" ht="16" customHeight="1">
      <c r="A897" s="16" t="inlineStr">
        <is>
          <t>OLLAMA-S3-F012</t>
        </is>
      </c>
      <c r="B897" s="16" t="inlineStr">
        <is>
          <t>OLLAMA</t>
        </is>
      </c>
      <c r="C897" s="16" t="inlineStr">
        <is>
          <t>S3</t>
        </is>
      </c>
      <c r="D897" s="16" t="inlineStr"/>
      <c r="E897" s="17" t="inlineStr">
        <is>
          <t>Unintended Behavior or Security Vulnerabilities due to External LLM Provider</t>
        </is>
      </c>
      <c r="F897" s="16" t="inlineStr">
        <is>
          <t>EE2, P5</t>
        </is>
      </c>
      <c r="G897" s="16" t="inlineStr"/>
      <c r="H897" s="16" t="inlineStr">
        <is>
          <t>OLLAMA/S3</t>
        </is>
      </c>
    </row>
    <row r="898" ht="16" customHeight="1">
      <c r="A898" s="16" t="inlineStr">
        <is>
          <t>OLLAMA-S3-F013</t>
        </is>
      </c>
      <c r="B898" s="16" t="inlineStr">
        <is>
          <t>OLLAMA</t>
        </is>
      </c>
      <c r="C898" s="16" t="inlineStr">
        <is>
          <t>S3</t>
        </is>
      </c>
      <c r="D898" s="16" t="inlineStr"/>
      <c r="E898" s="17" t="inlineStr">
        <is>
          <t>Account Takeover via User Input Tampering</t>
        </is>
      </c>
      <c r="F898" s="16" t="inlineStr">
        <is>
          <t>EE1, P1, DS1</t>
        </is>
      </c>
      <c r="G898" s="16" t="inlineStr"/>
      <c r="H898" s="16" t="inlineStr">
        <is>
          <t>OLLAMA/S3</t>
        </is>
      </c>
    </row>
    <row r="899" ht="16" customHeight="1">
      <c r="A899" s="16" t="inlineStr">
        <is>
          <t>OLLAMA-S3-F014</t>
        </is>
      </c>
      <c r="B899" s="16" t="inlineStr">
        <is>
          <t>OLLAMA</t>
        </is>
      </c>
      <c r="C899" s="16" t="inlineStr">
        <is>
          <t>S3</t>
        </is>
      </c>
      <c r="D899" s="16" t="inlineStr"/>
      <c r="E899" s="17" t="inlineStr">
        <is>
          <t>Recovery Token Abuse via P2 Exploitation</t>
        </is>
      </c>
      <c r="F899" s="16" t="inlineStr">
        <is>
          <t>P2, DS2</t>
        </is>
      </c>
      <c r="G899" s="16" t="inlineStr"/>
      <c r="H899" s="16" t="inlineStr">
        <is>
          <t>OLLAMA/S3</t>
        </is>
      </c>
    </row>
    <row r="900" ht="16" customHeight="1">
      <c r="A900" s="16" t="inlineStr">
        <is>
          <t>OLLAMA-S3-F015</t>
        </is>
      </c>
      <c r="B900" s="16" t="inlineStr">
        <is>
          <t>OLLAMA</t>
        </is>
      </c>
      <c r="C900" s="16" t="inlineStr">
        <is>
          <t>S3</t>
        </is>
      </c>
      <c r="D900" s="16" t="inlineStr">
        <is>
          <t>token_replay</t>
        </is>
      </c>
      <c r="E900" s="17" t="inlineStr">
        <is>
          <t>Token Replay via DS2 Exploitation</t>
        </is>
      </c>
      <c r="F900" s="16" t="inlineStr">
        <is>
          <t>DS2, P2</t>
        </is>
      </c>
      <c r="G900" s="16" t="inlineStr"/>
      <c r="H900" s="16" t="inlineStr">
        <is>
          <t>OLLAMA/S3</t>
        </is>
      </c>
    </row>
    <row r="901" ht="16" customHeight="1">
      <c r="A901" s="16" t="inlineStr">
        <is>
          <t>OLLAMA-S3-F016</t>
        </is>
      </c>
      <c r="B901" s="16" t="inlineStr">
        <is>
          <t>OLLAMA</t>
        </is>
      </c>
      <c r="C901" s="16" t="inlineStr">
        <is>
          <t>S3</t>
        </is>
      </c>
      <c r="D901" s="16" t="inlineStr">
        <is>
          <t>transit_token</t>
        </is>
      </c>
      <c r="E901" s="17" t="inlineStr">
        <is>
          <t>Token Leakage via P5 Exploitation</t>
        </is>
      </c>
      <c r="F901" s="16" t="inlineStr">
        <is>
          <t>P5, EE2</t>
        </is>
      </c>
      <c r="G901" s="16" t="inlineStr"/>
      <c r="H901" s="16" t="inlineStr">
        <is>
          <t>OLLAMA/S3</t>
        </is>
      </c>
    </row>
    <row r="902" ht="16" customHeight="1">
      <c r="A902" s="16" t="inlineStr">
        <is>
          <t>OLLAMA-S3-F017</t>
        </is>
      </c>
      <c r="B902" s="16" t="inlineStr">
        <is>
          <t>OLLAMA</t>
        </is>
      </c>
      <c r="C902" s="16" t="inlineStr">
        <is>
          <t>S3</t>
        </is>
      </c>
      <c r="D902" s="16" t="inlineStr">
        <is>
          <t>verif_bypass_guessable</t>
        </is>
      </c>
      <c r="E902" s="17" t="inlineStr">
        <is>
          <t>Identity Verification Bypass via P2 Exploitation</t>
        </is>
      </c>
      <c r="F902" s="16" t="inlineStr">
        <is>
          <t>P2</t>
        </is>
      </c>
      <c r="G902" s="16" t="inlineStr"/>
      <c r="H902" s="16" t="inlineStr">
        <is>
          <t>OLLAMA/S3</t>
        </is>
      </c>
    </row>
    <row r="903" ht="16" customHeight="1">
      <c r="A903" s="16" t="inlineStr">
        <is>
          <t>OLLAMA-S3-F018</t>
        </is>
      </c>
      <c r="B903" s="16" t="inlineStr">
        <is>
          <t>OLLAMA</t>
        </is>
      </c>
      <c r="C903" s="16" t="inlineStr">
        <is>
          <t>S3</t>
        </is>
      </c>
      <c r="D903" s="16" t="inlineStr"/>
      <c r="E903" s="17" t="inlineStr">
        <is>
          <t>Privilege Escalation via EE1 Manipulation</t>
        </is>
      </c>
      <c r="F903" s="16" t="inlineStr">
        <is>
          <t>EE1, DS1</t>
        </is>
      </c>
      <c r="G903" s="16" t="inlineStr"/>
      <c r="H903" s="16" t="inlineStr">
        <is>
          <t>OLLAMA/S3</t>
        </is>
      </c>
    </row>
    <row r="904" ht="16" customHeight="1">
      <c r="A904" s="16" t="inlineStr">
        <is>
          <t>OLLAMA-S3-F019</t>
        </is>
      </c>
      <c r="B904" s="16" t="inlineStr">
        <is>
          <t>OLLAMA</t>
        </is>
      </c>
      <c r="C904" s="16" t="inlineStr">
        <is>
          <t>S3</t>
        </is>
      </c>
      <c r="D904" s="16" t="inlineStr"/>
      <c r="E904" s="17" t="inlineStr">
        <is>
          <t>Unauthorized Profile Modification via P3 Exploitation</t>
        </is>
      </c>
      <c r="F904" s="16" t="inlineStr">
        <is>
          <t>P3, DS1</t>
        </is>
      </c>
      <c r="G904" s="16" t="inlineStr"/>
      <c r="H904" s="16" t="inlineStr">
        <is>
          <t>OLLAMA/S3</t>
        </is>
      </c>
    </row>
    <row r="905" ht="16" customHeight="1">
      <c r="A905" s="16" t="inlineStr">
        <is>
          <t>OLLAMA-S3-F020</t>
        </is>
      </c>
      <c r="B905" s="16" t="inlineStr">
        <is>
          <t>OLLAMA</t>
        </is>
      </c>
      <c r="C905" s="16" t="inlineStr">
        <is>
          <t>S3</t>
        </is>
      </c>
      <c r="D905" s="16" t="inlineStr">
        <is>
          <t>prompt_injection_direct</t>
        </is>
      </c>
      <c r="E905" s="17" t="inlineStr">
        <is>
          <t>Prompt Injection via EE1 Manipulation</t>
        </is>
      </c>
      <c r="F905" s="16" t="inlineStr">
        <is>
          <t>EE1, P5</t>
        </is>
      </c>
      <c r="G905" s="16" t="inlineStr"/>
      <c r="H905" s="16" t="inlineStr">
        <is>
          <t>OLLAMA/S3</t>
        </is>
      </c>
    </row>
    <row r="906" ht="16" customHeight="1">
      <c r="A906" s="16" t="inlineStr">
        <is>
          <t>OLLAMA-S3-F021</t>
        </is>
      </c>
      <c r="B906" s="16" t="inlineStr">
        <is>
          <t>OLLAMA</t>
        </is>
      </c>
      <c r="C906" s="16" t="inlineStr">
        <is>
          <t>S3</t>
        </is>
      </c>
      <c r="D906" s="16" t="inlineStr"/>
      <c r="E906" s="17" t="inlineStr">
        <is>
          <t>Sensitive Information Disclosure via P5 Exploitation</t>
        </is>
      </c>
      <c r="F906" s="16" t="inlineStr">
        <is>
          <t>P5, EE2</t>
        </is>
      </c>
      <c r="G906" s="16" t="inlineStr"/>
      <c r="H906" s="16" t="inlineStr">
        <is>
          <t>OLLAMA/S3</t>
        </is>
      </c>
    </row>
    <row r="907" ht="16" customHeight="1">
      <c r="A907" s="16" t="inlineStr">
        <is>
          <t>OLLAMA-S3-F022</t>
        </is>
      </c>
      <c r="B907" s="16" t="inlineStr">
        <is>
          <t>OLLAMA</t>
        </is>
      </c>
      <c r="C907" s="16" t="inlineStr">
        <is>
          <t>S3</t>
        </is>
      </c>
      <c r="D907" s="16" t="inlineStr"/>
      <c r="E907" s="17" t="inlineStr">
        <is>
          <t>Insecure Output Handling via EE2 Exploitation</t>
        </is>
      </c>
      <c r="F907" s="16" t="inlineStr">
        <is>
          <t>EE2</t>
        </is>
      </c>
      <c r="G907" s="16" t="inlineStr"/>
      <c r="H907" s="16" t="inlineStr">
        <is>
          <t>OLLAMA/S3</t>
        </is>
      </c>
    </row>
    <row r="908" ht="16" customHeight="1">
      <c r="A908" s="16" t="inlineStr">
        <is>
          <t>OLLAMA-S3-F023</t>
        </is>
      </c>
      <c r="B908" s="16" t="inlineStr">
        <is>
          <t>OLLAMA</t>
        </is>
      </c>
      <c r="C908" s="16" t="inlineStr">
        <is>
          <t>S3</t>
        </is>
      </c>
      <c r="D908" s="16" t="inlineStr"/>
      <c r="E908" s="17" t="inlineStr">
        <is>
          <t>Excessive AI Agency via P4 Exploitation</t>
        </is>
      </c>
      <c r="F908" s="16" t="inlineStr">
        <is>
          <t>P4</t>
        </is>
      </c>
      <c r="G908" s="16" t="inlineStr"/>
      <c r="H908" s="16" t="inlineStr">
        <is>
          <t>OLLAMA/S3</t>
        </is>
      </c>
    </row>
    <row r="909" ht="16" customHeight="1">
      <c r="A909" s="16" t="inlineStr">
        <is>
          <t>OLLAMA-S3-F024</t>
        </is>
      </c>
      <c r="B909" s="16" t="inlineStr">
        <is>
          <t>OLLAMA</t>
        </is>
      </c>
      <c r="C909" s="16" t="inlineStr">
        <is>
          <t>S3</t>
        </is>
      </c>
      <c r="D909" s="16" t="inlineStr"/>
      <c r="E909" s="17" t="inlineStr">
        <is>
          <t>External LLM Risks via EE2 Exploitation</t>
        </is>
      </c>
      <c r="F909" s="16" t="inlineStr">
        <is>
          <t>EE2</t>
        </is>
      </c>
      <c r="G909" s="16" t="inlineStr"/>
      <c r="H909" s="16" t="inlineStr">
        <is>
          <t>OLLAMA/S3</t>
        </is>
      </c>
    </row>
    <row r="910" ht="16" customHeight="1">
      <c r="A910" s="16" t="inlineStr">
        <is>
          <t>THREMOLIA-S3-F001</t>
        </is>
      </c>
      <c r="B910" s="16" t="inlineStr">
        <is>
          <t>THREMOLIA</t>
        </is>
      </c>
      <c r="C910" s="16" t="inlineStr">
        <is>
          <t>S3</t>
        </is>
      </c>
      <c r="D910" s="16" t="inlineStr"/>
      <c r="E910" s="17" t="inlineStr"/>
      <c r="F910" s="16" t="inlineStr">
        <is>
          <t>EE1: End User</t>
        </is>
      </c>
      <c r="G910" s="16" t="inlineStr"/>
      <c r="H910" s="16" t="inlineStr">
        <is>
          <t>THREMOLIA/S3</t>
        </is>
      </c>
    </row>
    <row r="911" ht="16" customHeight="1">
      <c r="A911" s="16" t="inlineStr">
        <is>
          <t>THREMOLIA-S3-F002</t>
        </is>
      </c>
      <c r="B911" s="16" t="inlineStr">
        <is>
          <t>THREMOLIA</t>
        </is>
      </c>
      <c r="C911" s="16" t="inlineStr">
        <is>
          <t>S3</t>
        </is>
      </c>
      <c r="D911" s="16" t="inlineStr">
        <is>
          <t>repudiation</t>
        </is>
      </c>
      <c r="E911" s="17" t="inlineStr"/>
      <c r="F911" s="16" t="inlineStr">
        <is>
          <t>EE1: End User</t>
        </is>
      </c>
      <c r="G911" s="16" t="inlineStr"/>
      <c r="H911" s="16" t="inlineStr">
        <is>
          <t>THREMOLIA/S3</t>
        </is>
      </c>
    </row>
    <row r="912" ht="16" customHeight="1">
      <c r="A912" s="16" t="inlineStr">
        <is>
          <t>THREMOLIA-S3-F003</t>
        </is>
      </c>
      <c r="B912" s="16" t="inlineStr">
        <is>
          <t>THREMOLIA</t>
        </is>
      </c>
      <c r="C912" s="16" t="inlineStr">
        <is>
          <t>S3</t>
        </is>
      </c>
      <c r="D912" s="16" t="inlineStr">
        <is>
          <t>model_substitution</t>
        </is>
      </c>
      <c r="E912" s="17" t="inlineStr"/>
      <c r="F912" s="16" t="inlineStr">
        <is>
          <t>EE2: External LLM Provider</t>
        </is>
      </c>
      <c r="G912" s="16" t="inlineStr"/>
      <c r="H912" s="16" t="inlineStr">
        <is>
          <t>THREMOLIA/S3</t>
        </is>
      </c>
    </row>
    <row r="913" ht="16" customHeight="1">
      <c r="A913" s="16" t="inlineStr">
        <is>
          <t>THREMOLIA-S3-F004</t>
        </is>
      </c>
      <c r="B913" s="16" t="inlineStr">
        <is>
          <t>THREMOLIA</t>
        </is>
      </c>
      <c r="C913" s="16" t="inlineStr">
        <is>
          <t>S3</t>
        </is>
      </c>
      <c r="D913" s="16" t="inlineStr"/>
      <c r="E913" s="17" t="inlineStr"/>
      <c r="F913" s="16" t="inlineStr">
        <is>
          <t>EE2: External LLM Provider</t>
        </is>
      </c>
      <c r="G913" s="16" t="inlineStr"/>
      <c r="H913" s="16" t="inlineStr">
        <is>
          <t>THREMOLIA/S3</t>
        </is>
      </c>
    </row>
    <row r="914" ht="16" customHeight="1">
      <c r="A914" s="16" t="inlineStr">
        <is>
          <t>THREMOLIA-S3-F005</t>
        </is>
      </c>
      <c r="B914" s="16" t="inlineStr">
        <is>
          <t>THREMOLIA</t>
        </is>
      </c>
      <c r="C914" s="16" t="inlineStr">
        <is>
          <t>S3</t>
        </is>
      </c>
      <c r="D914" s="16" t="inlineStr">
        <is>
          <t>phishing</t>
        </is>
      </c>
      <c r="E914" s="17" t="inlineStr"/>
      <c r="F914" s="16" t="inlineStr">
        <is>
          <t>P1: Web Frontend Interface</t>
        </is>
      </c>
      <c r="G914" s="16" t="inlineStr"/>
      <c r="H914" s="16" t="inlineStr">
        <is>
          <t>THREMOLIA/S3</t>
        </is>
      </c>
    </row>
    <row r="915" ht="16" customHeight="1">
      <c r="A915" s="16" t="inlineStr">
        <is>
          <t>THREMOLIA-S3-F006</t>
        </is>
      </c>
      <c r="B915" s="16" t="inlineStr">
        <is>
          <t>THREMOLIA</t>
        </is>
      </c>
      <c r="C915" s="16" t="inlineStr">
        <is>
          <t>S3</t>
        </is>
      </c>
      <c r="D915" s="16" t="inlineStr">
        <is>
          <t>session_store_tamper</t>
        </is>
      </c>
      <c r="E915" s="17" t="inlineStr"/>
      <c r="F915" s="16" t="inlineStr">
        <is>
          <t>P1: Web Frontend Interface</t>
        </is>
      </c>
      <c r="G915" s="16" t="inlineStr"/>
      <c r="H915" s="16" t="inlineStr">
        <is>
          <t>THREMOLIA/S3</t>
        </is>
      </c>
    </row>
    <row r="916" ht="16" customHeight="1">
      <c r="A916" s="16" t="inlineStr">
        <is>
          <t>THREMOLIA-S3-F007</t>
        </is>
      </c>
      <c r="B916" s="16" t="inlineStr">
        <is>
          <t>THREMOLIA</t>
        </is>
      </c>
      <c r="C916" s="16" t="inlineStr">
        <is>
          <t>S3</t>
        </is>
      </c>
      <c r="D916" s="16" t="inlineStr"/>
      <c r="E916" s="17" t="inlineStr"/>
      <c r="F916" s="16" t="inlineStr">
        <is>
          <t>P1: Web Frontend Interface</t>
        </is>
      </c>
      <c r="G916" s="16" t="inlineStr"/>
      <c r="H916" s="16" t="inlineStr">
        <is>
          <t>THREMOLIA/S3</t>
        </is>
      </c>
    </row>
    <row r="917" ht="16" customHeight="1">
      <c r="A917" s="16" t="inlineStr">
        <is>
          <t>THREMOLIA-S3-F008</t>
        </is>
      </c>
      <c r="B917" s="16" t="inlineStr">
        <is>
          <t>THREMOLIA</t>
        </is>
      </c>
      <c r="C917" s="16" t="inlineStr">
        <is>
          <t>S3</t>
        </is>
      </c>
      <c r="D917" s="16" t="inlineStr">
        <is>
          <t>transit_token</t>
        </is>
      </c>
      <c r="E917" s="17" t="inlineStr"/>
      <c r="F917" s="16" t="inlineStr">
        <is>
          <t>P1: Web Frontend Interface</t>
        </is>
      </c>
      <c r="G917" s="16" t="inlineStr"/>
      <c r="H917" s="16" t="inlineStr">
        <is>
          <t>THREMOLIA/S3</t>
        </is>
      </c>
    </row>
    <row r="918" ht="16" customHeight="1">
      <c r="A918" s="16" t="inlineStr">
        <is>
          <t>THREMOLIA-S3-F009</t>
        </is>
      </c>
      <c r="B918" s="16" t="inlineStr">
        <is>
          <t>THREMOLIA</t>
        </is>
      </c>
      <c r="C918" s="16" t="inlineStr">
        <is>
          <t>S3</t>
        </is>
      </c>
      <c r="D918" s="16" t="inlineStr"/>
      <c r="E918" s="17" t="inlineStr"/>
      <c r="F918" s="16" t="inlineStr">
        <is>
          <t>P1: Web Frontend Interface</t>
        </is>
      </c>
      <c r="G918" s="16" t="inlineStr"/>
      <c r="H918" s="16" t="inlineStr">
        <is>
          <t>THREMOLIA/S3</t>
        </is>
      </c>
    </row>
    <row r="919" ht="16" customHeight="1">
      <c r="A919" s="16" t="inlineStr">
        <is>
          <t>THREMOLIA-S3-F010</t>
        </is>
      </c>
      <c r="B919" s="16" t="inlineStr">
        <is>
          <t>THREMOLIA</t>
        </is>
      </c>
      <c r="C919" s="16" t="inlineStr">
        <is>
          <t>S3</t>
        </is>
      </c>
      <c r="D919" s="16" t="inlineStr"/>
      <c r="E919" s="17" t="inlineStr"/>
      <c r="F919" s="16" t="inlineStr">
        <is>
          <t>P1: Web Frontend Interface</t>
        </is>
      </c>
      <c r="G919" s="16" t="inlineStr"/>
      <c r="H919" s="16" t="inlineStr">
        <is>
          <t>THREMOLIA/S3</t>
        </is>
      </c>
    </row>
    <row r="920" ht="16" customHeight="1">
      <c r="A920" s="16" t="inlineStr">
        <is>
          <t>THREMOLIA-S3-F011</t>
        </is>
      </c>
      <c r="B920" s="16" t="inlineStr">
        <is>
          <t>THREMOLIA</t>
        </is>
      </c>
      <c r="C920" s="16" t="inlineStr">
        <is>
          <t>S3</t>
        </is>
      </c>
      <c r="D920" s="16" t="inlineStr">
        <is>
          <t>predictable_token</t>
        </is>
      </c>
      <c r="E920" s="17" t="inlineStr"/>
      <c r="F920" s="16" t="inlineStr">
        <is>
          <t>P2: Account Recovery Service</t>
        </is>
      </c>
      <c r="G920" s="16" t="inlineStr"/>
      <c r="H920" s="16" t="inlineStr">
        <is>
          <t>THREMOLIA/S3</t>
        </is>
      </c>
    </row>
    <row r="921" ht="16" customHeight="1">
      <c r="A921" s="16" t="inlineStr">
        <is>
          <t>THREMOLIA-S3-F012</t>
        </is>
      </c>
      <c r="B921" s="16" t="inlineStr">
        <is>
          <t>THREMOLIA</t>
        </is>
      </c>
      <c r="C921" s="16" t="inlineStr">
        <is>
          <t>S3</t>
        </is>
      </c>
      <c r="D921" s="16" t="inlineStr">
        <is>
          <t>token_replay</t>
        </is>
      </c>
      <c r="E921" s="17" t="inlineStr"/>
      <c r="F921" s="16" t="inlineStr">
        <is>
          <t>P2: Account Recovery Service</t>
        </is>
      </c>
      <c r="G921" s="16" t="inlineStr"/>
      <c r="H921" s="16" t="inlineStr">
        <is>
          <t>THREMOLIA/S3</t>
        </is>
      </c>
    </row>
    <row r="922" ht="16" customHeight="1">
      <c r="A922" s="16" t="inlineStr">
        <is>
          <t>THREMOLIA-S3-F013</t>
        </is>
      </c>
      <c r="B922" s="16" t="inlineStr">
        <is>
          <t>THREMOLIA</t>
        </is>
      </c>
      <c r="C922" s="16" t="inlineStr">
        <is>
          <t>S3</t>
        </is>
      </c>
      <c r="D922" s="16" t="inlineStr"/>
      <c r="E922" s="17" t="inlineStr"/>
      <c r="F922" s="16" t="inlineStr">
        <is>
          <t>P2: Account Recovery Service</t>
        </is>
      </c>
      <c r="G922" s="16" t="inlineStr"/>
      <c r="H922" s="16" t="inlineStr">
        <is>
          <t>THREMOLIA/S3</t>
        </is>
      </c>
    </row>
    <row r="923" ht="16" customHeight="1">
      <c r="A923" s="16" t="inlineStr">
        <is>
          <t>THREMOLIA-S3-F014</t>
        </is>
      </c>
      <c r="B923" s="16" t="inlineStr">
        <is>
          <t>THREMOLIA</t>
        </is>
      </c>
      <c r="C923" s="16" t="inlineStr">
        <is>
          <t>S3</t>
        </is>
      </c>
      <c r="D923" s="16" t="inlineStr">
        <is>
          <t>enumeration</t>
        </is>
      </c>
      <c r="E923" s="17" t="inlineStr"/>
      <c r="F923" s="16" t="inlineStr">
        <is>
          <t>P2: Account Recovery Service</t>
        </is>
      </c>
      <c r="G923" s="16" t="inlineStr"/>
      <c r="H923" s="16" t="inlineStr">
        <is>
          <t>THREMOLIA/S3</t>
        </is>
      </c>
    </row>
    <row r="924" ht="16" customHeight="1">
      <c r="A924" s="16" t="inlineStr">
        <is>
          <t>THREMOLIA-S3-F015</t>
        </is>
      </c>
      <c r="B924" s="16" t="inlineStr">
        <is>
          <t>THREMOLIA</t>
        </is>
      </c>
      <c r="C924" s="16" t="inlineStr">
        <is>
          <t>S3</t>
        </is>
      </c>
      <c r="D924" s="16" t="inlineStr">
        <is>
          <t>dos_service</t>
        </is>
      </c>
      <c r="E924" s="17" t="inlineStr"/>
      <c r="F924" s="16" t="inlineStr">
        <is>
          <t>P2: Account Recovery Service</t>
        </is>
      </c>
      <c r="G924" s="16" t="inlineStr"/>
      <c r="H924" s="16" t="inlineStr">
        <is>
          <t>THREMOLIA/S3</t>
        </is>
      </c>
    </row>
    <row r="925" ht="16" customHeight="1">
      <c r="A925" s="16" t="inlineStr">
        <is>
          <t>THREMOLIA-S3-F016</t>
        </is>
      </c>
      <c r="B925" s="16" t="inlineStr">
        <is>
          <t>THREMOLIA</t>
        </is>
      </c>
      <c r="C925" s="16" t="inlineStr">
        <is>
          <t>S3</t>
        </is>
      </c>
      <c r="D925" s="16" t="inlineStr"/>
      <c r="E925" s="17" t="inlineStr"/>
      <c r="F925" s="16" t="inlineStr">
        <is>
          <t>P2: Account Recovery Service</t>
        </is>
      </c>
      <c r="G925" s="16" t="inlineStr"/>
      <c r="H925" s="16" t="inlineStr">
        <is>
          <t>THREMOLIA/S3</t>
        </is>
      </c>
    </row>
    <row r="926" ht="16" customHeight="1">
      <c r="A926" s="16" t="inlineStr">
        <is>
          <t>THREMOLIA-S3-F017</t>
        </is>
      </c>
      <c r="B926" s="16" t="inlineStr">
        <is>
          <t>THREMOLIA</t>
        </is>
      </c>
      <c r="C926" s="16" t="inlineStr">
        <is>
          <t>S3</t>
        </is>
      </c>
      <c r="D926" s="16" t="inlineStr"/>
      <c r="E926" s="17" t="inlineStr"/>
      <c r="F926" s="16" t="inlineStr">
        <is>
          <t>P3: Profile Management Service</t>
        </is>
      </c>
      <c r="G926" s="16" t="inlineStr"/>
      <c r="H926" s="16" t="inlineStr">
        <is>
          <t>THREMOLIA/S3</t>
        </is>
      </c>
    </row>
    <row r="927" ht="16" customHeight="1">
      <c r="A927" s="16" t="inlineStr">
        <is>
          <t>THREMOLIA-S3-F018</t>
        </is>
      </c>
      <c r="B927" s="16" t="inlineStr">
        <is>
          <t>THREMOLIA</t>
        </is>
      </c>
      <c r="C927" s="16" t="inlineStr">
        <is>
          <t>S3</t>
        </is>
      </c>
      <c r="D927" s="16" t="inlineStr">
        <is>
          <t>mass_assignment</t>
        </is>
      </c>
      <c r="E927" s="17" t="inlineStr"/>
      <c r="F927" s="16" t="inlineStr">
        <is>
          <t>P3: Profile Management Service</t>
        </is>
      </c>
      <c r="G927" s="16" t="inlineStr"/>
      <c r="H927" s="16" t="inlineStr">
        <is>
          <t>THREMOLIA/S3</t>
        </is>
      </c>
    </row>
    <row r="928" ht="16" customHeight="1">
      <c r="A928" s="16" t="inlineStr">
        <is>
          <t>THREMOLIA-S3-F019</t>
        </is>
      </c>
      <c r="B928" s="16" t="inlineStr">
        <is>
          <t>THREMOLIA</t>
        </is>
      </c>
      <c r="C928" s="16" t="inlineStr">
        <is>
          <t>S3</t>
        </is>
      </c>
      <c r="D928" s="16" t="inlineStr">
        <is>
          <t>repudiation</t>
        </is>
      </c>
      <c r="E928" s="17" t="inlineStr"/>
      <c r="F928" s="16" t="inlineStr">
        <is>
          <t>P3: Profile Management Service</t>
        </is>
      </c>
      <c r="G928" s="16" t="inlineStr"/>
      <c r="H928" s="16" t="inlineStr">
        <is>
          <t>THREMOLIA/S3</t>
        </is>
      </c>
    </row>
    <row r="929" ht="16" customHeight="1">
      <c r="A929" s="16" t="inlineStr">
        <is>
          <t>THREMOLIA-S3-F020</t>
        </is>
      </c>
      <c r="B929" s="16" t="inlineStr">
        <is>
          <t>THREMOLIA</t>
        </is>
      </c>
      <c r="C929" s="16" t="inlineStr">
        <is>
          <t>S3</t>
        </is>
      </c>
      <c r="D929" s="16" t="inlineStr"/>
      <c r="E929" s="17" t="inlineStr"/>
      <c r="F929" s="16" t="inlineStr">
        <is>
          <t>P3: Profile Management Service</t>
        </is>
      </c>
      <c r="G929" s="16" t="inlineStr"/>
      <c r="H929" s="16" t="inlineStr">
        <is>
          <t>THREMOLIA/S3</t>
        </is>
      </c>
    </row>
    <row r="930" ht="16" customHeight="1">
      <c r="A930" s="16" t="inlineStr">
        <is>
          <t>THREMOLIA-S3-F021</t>
        </is>
      </c>
      <c r="B930" s="16" t="inlineStr">
        <is>
          <t>THREMOLIA</t>
        </is>
      </c>
      <c r="C930" s="16" t="inlineStr">
        <is>
          <t>S3</t>
        </is>
      </c>
      <c r="D930" s="16" t="inlineStr">
        <is>
          <t>dos_service</t>
        </is>
      </c>
      <c r="E930" s="17" t="inlineStr"/>
      <c r="F930" s="16" t="inlineStr">
        <is>
          <t>P3: Profile Management Service</t>
        </is>
      </c>
      <c r="G930" s="16" t="inlineStr"/>
      <c r="H930" s="16" t="inlineStr">
        <is>
          <t>THREMOLIA/S3</t>
        </is>
      </c>
    </row>
    <row r="931" ht="16" customHeight="1">
      <c r="A931" s="16" t="inlineStr">
        <is>
          <t>THREMOLIA-S3-F022</t>
        </is>
      </c>
      <c r="B931" s="16" t="inlineStr">
        <is>
          <t>THREMOLIA</t>
        </is>
      </c>
      <c r="C931" s="16" t="inlineStr">
        <is>
          <t>S3</t>
        </is>
      </c>
      <c r="D931" s="16" t="inlineStr"/>
      <c r="E931" s="17" t="inlineStr"/>
      <c r="F931" s="16" t="inlineStr">
        <is>
          <t>P3: Profile Management Service</t>
        </is>
      </c>
      <c r="G931" s="16" t="inlineStr"/>
      <c r="H931" s="16" t="inlineStr">
        <is>
          <t>THREMOLIA/S3</t>
        </is>
      </c>
    </row>
    <row r="932" ht="16" customHeight="1">
      <c r="A932" s="16" t="inlineStr">
        <is>
          <t>THREMOLIA-S3-F023</t>
        </is>
      </c>
      <c r="B932" s="16" t="inlineStr">
        <is>
          <t>THREMOLIA</t>
        </is>
      </c>
      <c r="C932" s="16" t="inlineStr">
        <is>
          <t>S3</t>
        </is>
      </c>
      <c r="D932" s="16" t="inlineStr">
        <is>
          <t>prompt_injection_indirect</t>
        </is>
      </c>
      <c r="E932" s="17" t="inlineStr"/>
      <c r="F932" s="16" t="inlineStr">
        <is>
          <t>P4: AI Account Support Assistant</t>
        </is>
      </c>
      <c r="G932" s="16" t="inlineStr"/>
      <c r="H932" s="16" t="inlineStr">
        <is>
          <t>THREMOLIA/S3</t>
        </is>
      </c>
    </row>
    <row r="933" ht="16" customHeight="1">
      <c r="A933" s="16" t="inlineStr">
        <is>
          <t>THREMOLIA-S3-F024</t>
        </is>
      </c>
      <c r="B933" s="16" t="inlineStr">
        <is>
          <t>THREMOLIA</t>
        </is>
      </c>
      <c r="C933" s="16" t="inlineStr">
        <is>
          <t>S3</t>
        </is>
      </c>
      <c r="D933" s="16" t="inlineStr">
        <is>
          <t>prompt_injection_direct</t>
        </is>
      </c>
      <c r="E933" s="17" t="inlineStr"/>
      <c r="F933" s="16" t="inlineStr">
        <is>
          <t>P4: AI Account Support Assistant</t>
        </is>
      </c>
      <c r="G933" s="16" t="inlineStr"/>
      <c r="H933" s="16" t="inlineStr">
        <is>
          <t>THREMOLIA/S3</t>
        </is>
      </c>
    </row>
    <row r="934" ht="16" customHeight="1">
      <c r="A934" s="16" t="inlineStr">
        <is>
          <t>THREMOLIA-S3-F025</t>
        </is>
      </c>
      <c r="B934" s="16" t="inlineStr">
        <is>
          <t>THREMOLIA</t>
        </is>
      </c>
      <c r="C934" s="16" t="inlineStr">
        <is>
          <t>S3</t>
        </is>
      </c>
      <c r="D934" s="16" t="inlineStr">
        <is>
          <t>repudiation</t>
        </is>
      </c>
      <c r="E934" s="17" t="inlineStr"/>
      <c r="F934" s="16" t="inlineStr">
        <is>
          <t>P4: AI Account Support Assistant</t>
        </is>
      </c>
      <c r="G934" s="16" t="inlineStr"/>
      <c r="H934" s="16" t="inlineStr">
        <is>
          <t>THREMOLIA/S3</t>
        </is>
      </c>
    </row>
    <row r="935" ht="16" customHeight="1">
      <c r="A935" s="16" t="inlineStr">
        <is>
          <t>THREMOLIA-S3-F026</t>
        </is>
      </c>
      <c r="B935" s="16" t="inlineStr">
        <is>
          <t>THREMOLIA</t>
        </is>
      </c>
      <c r="C935" s="16" t="inlineStr">
        <is>
          <t>S3</t>
        </is>
      </c>
      <c r="D935" s="16" t="inlineStr"/>
      <c r="E935" s="17" t="inlineStr"/>
      <c r="F935" s="16" t="inlineStr">
        <is>
          <t>P4: AI Account Support Assistant</t>
        </is>
      </c>
      <c r="G935" s="16" t="inlineStr"/>
      <c r="H935" s="16" t="inlineStr">
        <is>
          <t>THREMOLIA/S3</t>
        </is>
      </c>
    </row>
    <row r="936" ht="16" customHeight="1">
      <c r="A936" s="16" t="inlineStr">
        <is>
          <t>THREMOLIA-S3-F027</t>
        </is>
      </c>
      <c r="B936" s="16" t="inlineStr">
        <is>
          <t>THREMOLIA</t>
        </is>
      </c>
      <c r="C936" s="16" t="inlineStr">
        <is>
          <t>S3</t>
        </is>
      </c>
      <c r="D936" s="16" t="inlineStr">
        <is>
          <t>dos_service</t>
        </is>
      </c>
      <c r="E936" s="17" t="inlineStr"/>
      <c r="F936" s="16" t="inlineStr">
        <is>
          <t>P4: AI Account Support Assistant</t>
        </is>
      </c>
      <c r="G936" s="16" t="inlineStr"/>
      <c r="H936" s="16" t="inlineStr">
        <is>
          <t>THREMOLIA/S3</t>
        </is>
      </c>
    </row>
    <row r="937" ht="16" customHeight="1">
      <c r="A937" s="16" t="inlineStr">
        <is>
          <t>THREMOLIA-S3-F028</t>
        </is>
      </c>
      <c r="B937" s="16" t="inlineStr">
        <is>
          <t>THREMOLIA</t>
        </is>
      </c>
      <c r="C937" s="16" t="inlineStr">
        <is>
          <t>S3</t>
        </is>
      </c>
      <c r="D937" s="16" t="inlineStr"/>
      <c r="E937" s="17" t="inlineStr"/>
      <c r="F937" s="16" t="inlineStr">
        <is>
          <t>P4: AI Account Support Assistant</t>
        </is>
      </c>
      <c r="G937" s="16" t="inlineStr"/>
      <c r="H937" s="16" t="inlineStr">
        <is>
          <t>THREMOLIA/S3</t>
        </is>
      </c>
    </row>
    <row r="938" ht="16" customHeight="1">
      <c r="A938" s="16" t="inlineStr">
        <is>
          <t>THREMOLIA-S3-F029</t>
        </is>
      </c>
      <c r="B938" s="16" t="inlineStr">
        <is>
          <t>THREMOLIA</t>
        </is>
      </c>
      <c r="C938" s="16" t="inlineStr">
        <is>
          <t>S3</t>
        </is>
      </c>
      <c r="D938" s="16" t="inlineStr">
        <is>
          <t>sensitive_to_llm</t>
        </is>
      </c>
      <c r="E938" s="17" t="inlineStr"/>
      <c r="F938" s="16" t="inlineStr">
        <is>
          <t>P5: LLM Integration Service</t>
        </is>
      </c>
      <c r="G938" s="16" t="inlineStr"/>
      <c r="H938" s="16" t="inlineStr">
        <is>
          <t>THREMOLIA/S3</t>
        </is>
      </c>
    </row>
    <row r="939" ht="16" customHeight="1">
      <c r="A939" s="16" t="inlineStr">
        <is>
          <t>THREMOLIA-S3-F030</t>
        </is>
      </c>
      <c r="B939" s="16" t="inlineStr">
        <is>
          <t>THREMOLIA</t>
        </is>
      </c>
      <c r="C939" s="16" t="inlineStr">
        <is>
          <t>S3</t>
        </is>
      </c>
      <c r="D939" s="16" t="inlineStr">
        <is>
          <t>prompt_injection_direct</t>
        </is>
      </c>
      <c r="E939" s="17" t="inlineStr"/>
      <c r="F939" s="16" t="inlineStr">
        <is>
          <t>P5: LLM Integration Service</t>
        </is>
      </c>
      <c r="G939" s="16" t="inlineStr"/>
      <c r="H939" s="16" t="inlineStr">
        <is>
          <t>THREMOLIA/S3</t>
        </is>
      </c>
    </row>
    <row r="940" ht="16" customHeight="1">
      <c r="A940" s="16" t="inlineStr">
        <is>
          <t>THREMOLIA-S3-F031</t>
        </is>
      </c>
      <c r="B940" s="16" t="inlineStr">
        <is>
          <t>THREMOLIA</t>
        </is>
      </c>
      <c r="C940" s="16" t="inlineStr">
        <is>
          <t>S3</t>
        </is>
      </c>
      <c r="D940" s="16" t="inlineStr">
        <is>
          <t>llm_unavailable</t>
        </is>
      </c>
      <c r="E940" s="17" t="inlineStr"/>
      <c r="F940" s="16" t="inlineStr">
        <is>
          <t>P5: LLM Integration Service</t>
        </is>
      </c>
      <c r="G940" s="16" t="inlineStr"/>
      <c r="H940" s="16" t="inlineStr">
        <is>
          <t>THREMOLIA/S3</t>
        </is>
      </c>
    </row>
    <row r="941" ht="16" customHeight="1">
      <c r="A941" s="16" t="inlineStr">
        <is>
          <t>THREMOLIA-S3-F032</t>
        </is>
      </c>
      <c r="B941" s="16" t="inlineStr">
        <is>
          <t>THREMOLIA</t>
        </is>
      </c>
      <c r="C941" s="16" t="inlineStr">
        <is>
          <t>S3</t>
        </is>
      </c>
      <c r="D941" s="16" t="inlineStr">
        <is>
          <t>api_key</t>
        </is>
      </c>
      <c r="E941" s="17" t="inlineStr"/>
      <c r="F941" s="16" t="inlineStr">
        <is>
          <t>P5: LLM Integration Service</t>
        </is>
      </c>
      <c r="G941" s="16" t="inlineStr"/>
      <c r="H941" s="16" t="inlineStr">
        <is>
          <t>THREMOLIA/S3</t>
        </is>
      </c>
    </row>
    <row r="942" ht="16" customHeight="1">
      <c r="A942" s="16" t="inlineStr">
        <is>
          <t>THREMOLIA-S3-F033</t>
        </is>
      </c>
      <c r="B942" s="16" t="inlineStr">
        <is>
          <t>THREMOLIA</t>
        </is>
      </c>
      <c r="C942" s="16" t="inlineStr">
        <is>
          <t>S3</t>
        </is>
      </c>
      <c r="D942" s="16" t="inlineStr">
        <is>
          <t>llm_unavailable</t>
        </is>
      </c>
      <c r="E942" s="17" t="inlineStr"/>
      <c r="F942" s="16" t="inlineStr">
        <is>
          <t>P5: LLM Integration Service</t>
        </is>
      </c>
      <c r="G942" s="16" t="inlineStr"/>
      <c r="H942" s="16" t="inlineStr">
        <is>
          <t>THREMOLIA/S3</t>
        </is>
      </c>
    </row>
    <row r="943" ht="16" customHeight="1">
      <c r="A943" s="16" t="inlineStr">
        <is>
          <t>THREMOLIA-S3-F034</t>
        </is>
      </c>
      <c r="B943" s="16" t="inlineStr">
        <is>
          <t>THREMOLIA</t>
        </is>
      </c>
      <c r="C943" s="16" t="inlineStr">
        <is>
          <t>S3</t>
        </is>
      </c>
      <c r="D943" s="16" t="inlineStr"/>
      <c r="E943" s="17" t="inlineStr"/>
      <c r="F943" s="16" t="inlineStr">
        <is>
          <t>P5: LLM Integration Service</t>
        </is>
      </c>
      <c r="G943" s="16" t="inlineStr"/>
      <c r="H943" s="16" t="inlineStr">
        <is>
          <t>THREMOLIA/S3</t>
        </is>
      </c>
    </row>
    <row r="944" ht="16" customHeight="1">
      <c r="A944" s="16" t="inlineStr">
        <is>
          <t>THREMOLIA-S3-F035</t>
        </is>
      </c>
      <c r="B944" s="16" t="inlineStr">
        <is>
          <t>THREMOLIA</t>
        </is>
      </c>
      <c r="C944" s="16" t="inlineStr">
        <is>
          <t>S3</t>
        </is>
      </c>
      <c r="D944" s="16" t="inlineStr"/>
      <c r="E944" s="17" t="inlineStr"/>
      <c r="F944" s="16" t="inlineStr">
        <is>
          <t>DS1: User Database</t>
        </is>
      </c>
      <c r="G944" s="16" t="inlineStr"/>
      <c r="H944" s="16" t="inlineStr">
        <is>
          <t>THREMOLIA/S3</t>
        </is>
      </c>
    </row>
    <row r="945" ht="16" customHeight="1">
      <c r="A945" s="16" t="inlineStr">
        <is>
          <t>THREMOLIA-S3-F036</t>
        </is>
      </c>
      <c r="B945" s="16" t="inlineStr">
        <is>
          <t>THREMOLIA</t>
        </is>
      </c>
      <c r="C945" s="16" t="inlineStr">
        <is>
          <t>S3</t>
        </is>
      </c>
      <c r="D945" s="16" t="inlineStr"/>
      <c r="E945" s="17" t="inlineStr"/>
      <c r="F945" s="16" t="inlineStr">
        <is>
          <t>DS1: User Database</t>
        </is>
      </c>
      <c r="G945" s="16" t="inlineStr"/>
      <c r="H945" s="16" t="inlineStr">
        <is>
          <t>THREMOLIA/S3</t>
        </is>
      </c>
    </row>
    <row r="946" ht="16" customHeight="1">
      <c r="A946" s="16" t="inlineStr">
        <is>
          <t>THREMOLIA-S3-F037</t>
        </is>
      </c>
      <c r="B946" s="16" t="inlineStr">
        <is>
          <t>THREMOLIA</t>
        </is>
      </c>
      <c r="C946" s="16" t="inlineStr">
        <is>
          <t>S3</t>
        </is>
      </c>
      <c r="D946" s="16" t="inlineStr">
        <is>
          <t>mass_disclosure</t>
        </is>
      </c>
      <c r="E946" s="17" t="inlineStr"/>
      <c r="F946" s="16" t="inlineStr">
        <is>
          <t>DS1: User Database</t>
        </is>
      </c>
      <c r="G946" s="16" t="inlineStr"/>
      <c r="H946" s="16" t="inlineStr">
        <is>
          <t>THREMOLIA/S3</t>
        </is>
      </c>
    </row>
    <row r="947" ht="16" customHeight="1">
      <c r="A947" s="16" t="inlineStr">
        <is>
          <t>THREMOLIA-S3-F038</t>
        </is>
      </c>
      <c r="B947" s="16" t="inlineStr">
        <is>
          <t>THREMOLIA</t>
        </is>
      </c>
      <c r="C947" s="16" t="inlineStr">
        <is>
          <t>S3</t>
        </is>
      </c>
      <c r="D947" s="16" t="inlineStr">
        <is>
          <t>dos_service</t>
        </is>
      </c>
      <c r="E947" s="17" t="inlineStr"/>
      <c r="F947" s="16" t="inlineStr">
        <is>
          <t>DS1: User Database</t>
        </is>
      </c>
      <c r="G947" s="16" t="inlineStr"/>
      <c r="H947" s="16" t="inlineStr">
        <is>
          <t>THREMOLIA/S3</t>
        </is>
      </c>
    </row>
    <row r="948" ht="16" customHeight="1">
      <c r="A948" s="16" t="inlineStr">
        <is>
          <t>THREMOLIA-S3-F039</t>
        </is>
      </c>
      <c r="B948" s="16" t="inlineStr">
        <is>
          <t>THREMOLIA</t>
        </is>
      </c>
      <c r="C948" s="16" t="inlineStr">
        <is>
          <t>S3</t>
        </is>
      </c>
      <c r="D948" s="16" t="inlineStr">
        <is>
          <t>token_replay</t>
        </is>
      </c>
      <c r="E948" s="17" t="inlineStr"/>
      <c r="F948" s="16" t="inlineStr">
        <is>
          <t>DS2: Recovery Token Storage</t>
        </is>
      </c>
      <c r="G948" s="16" t="inlineStr"/>
      <c r="H948" s="16" t="inlineStr">
        <is>
          <t>THREMOLIA/S3</t>
        </is>
      </c>
    </row>
    <row r="949" ht="16" customHeight="1">
      <c r="A949" s="16" t="inlineStr">
        <is>
          <t>THREMOLIA-S3-F040</t>
        </is>
      </c>
      <c r="B949" s="16" t="inlineStr">
        <is>
          <t>THREMOLIA</t>
        </is>
      </c>
      <c r="C949" s="16" t="inlineStr">
        <is>
          <t>S3</t>
        </is>
      </c>
      <c r="D949" s="16" t="inlineStr">
        <is>
          <t>repudiation</t>
        </is>
      </c>
      <c r="E949" s="17" t="inlineStr"/>
      <c r="F949" s="16" t="inlineStr">
        <is>
          <t>DS2: Recovery Token Storage</t>
        </is>
      </c>
      <c r="G949" s="16" t="inlineStr"/>
      <c r="H949" s="16" t="inlineStr">
        <is>
          <t>THREMOLIA/S3</t>
        </is>
      </c>
    </row>
    <row r="950" ht="16" customHeight="1">
      <c r="A950" s="16" t="inlineStr">
        <is>
          <t>THREMOLIA-S3-F041</t>
        </is>
      </c>
      <c r="B950" s="16" t="inlineStr">
        <is>
          <t>THREMOLIA</t>
        </is>
      </c>
      <c r="C950" s="16" t="inlineStr">
        <is>
          <t>S3</t>
        </is>
      </c>
      <c r="D950" s="16" t="inlineStr">
        <is>
          <t>transit_token</t>
        </is>
      </c>
      <c r="E950" s="17" t="inlineStr"/>
      <c r="F950" s="16" t="inlineStr">
        <is>
          <t>DS2: Recovery Token Storage</t>
        </is>
      </c>
      <c r="G950" s="16" t="inlineStr"/>
      <c r="H950" s="16" t="inlineStr">
        <is>
          <t>THREMOLIA/S3</t>
        </is>
      </c>
    </row>
    <row r="951" ht="16" customHeight="1">
      <c r="A951" s="16" t="inlineStr">
        <is>
          <t>THREMOLIA-S3-F042</t>
        </is>
      </c>
      <c r="B951" s="16" t="inlineStr">
        <is>
          <t>THREMOLIA</t>
        </is>
      </c>
      <c r="C951" s="16" t="inlineStr">
        <is>
          <t>S3</t>
        </is>
      </c>
      <c r="D951" s="16" t="inlineStr"/>
      <c r="E951" s="17" t="inlineStr"/>
      <c r="F951" s="16" t="inlineStr">
        <is>
          <t>DS2: Recovery Token Storage</t>
        </is>
      </c>
      <c r="G951" s="16" t="inlineStr"/>
      <c r="H951" s="16" t="inlineStr">
        <is>
          <t>THREMOLIA/S3</t>
        </is>
      </c>
    </row>
    <row r="952" ht="16" customHeight="1">
      <c r="A952" s="16" t="inlineStr">
        <is>
          <t>THREMOLIA-S3-F043</t>
        </is>
      </c>
      <c r="B952" s="16" t="inlineStr">
        <is>
          <t>THREMOLIA</t>
        </is>
      </c>
      <c r="C952" s="16" t="inlineStr">
        <is>
          <t>S3</t>
        </is>
      </c>
      <c r="D952" s="16" t="inlineStr"/>
      <c r="E952" s="17" t="inlineStr"/>
      <c r="F952" s="16" t="inlineStr">
        <is>
          <t>DF1: Recovery Initiation Request</t>
        </is>
      </c>
      <c r="G952" s="16" t="inlineStr"/>
      <c r="H952" s="16" t="inlineStr">
        <is>
          <t>THREMOLIA/S3</t>
        </is>
      </c>
    </row>
    <row r="953" ht="16" customHeight="1">
      <c r="A953" s="16" t="inlineStr">
        <is>
          <t>THREMOLIA-S3-F044</t>
        </is>
      </c>
      <c r="B953" s="16" t="inlineStr">
        <is>
          <t>THREMOLIA</t>
        </is>
      </c>
      <c r="C953" s="16" t="inlineStr">
        <is>
          <t>S3</t>
        </is>
      </c>
      <c r="D953" s="16" t="inlineStr">
        <is>
          <t>transit_creds</t>
        </is>
      </c>
      <c r="E953" s="17" t="inlineStr"/>
      <c r="F953" s="16" t="inlineStr">
        <is>
          <t>DF1: Recovery Initiation Request</t>
        </is>
      </c>
      <c r="G953" s="16" t="inlineStr"/>
      <c r="H953" s="16" t="inlineStr">
        <is>
          <t>THREMOLIA/S3</t>
        </is>
      </c>
    </row>
    <row r="954" ht="16" customHeight="1">
      <c r="A954" s="16" t="inlineStr">
        <is>
          <t>THREMOLIA-S3-F045</t>
        </is>
      </c>
      <c r="B954" s="16" t="inlineStr">
        <is>
          <t>THREMOLIA</t>
        </is>
      </c>
      <c r="C954" s="16" t="inlineStr">
        <is>
          <t>S3</t>
        </is>
      </c>
      <c r="D954" s="16" t="inlineStr">
        <is>
          <t>dos_service</t>
        </is>
      </c>
      <c r="E954" s="17" t="inlineStr"/>
      <c r="F954" s="16" t="inlineStr">
        <is>
          <t>DF1: Recovery Initiation Request</t>
        </is>
      </c>
      <c r="G954" s="16" t="inlineStr"/>
      <c r="H954" s="16" t="inlineStr">
        <is>
          <t>THREMOLIA/S3</t>
        </is>
      </c>
    </row>
    <row r="955" ht="16" customHeight="1">
      <c r="A955" s="16" t="inlineStr">
        <is>
          <t>THREMOLIA-S3-F046</t>
        </is>
      </c>
      <c r="B955" s="16" t="inlineStr">
        <is>
          <t>THREMOLIA</t>
        </is>
      </c>
      <c r="C955" s="16" t="inlineStr">
        <is>
          <t>S3</t>
        </is>
      </c>
      <c r="D955" s="16" t="inlineStr"/>
      <c r="E955" s="17" t="inlineStr"/>
      <c r="F955" s="16" t="inlineStr">
        <is>
          <t>DF2: Forwarded Recovery Request</t>
        </is>
      </c>
      <c r="G955" s="16" t="inlineStr"/>
      <c r="H955" s="16" t="inlineStr">
        <is>
          <t>THREMOLIA/S3</t>
        </is>
      </c>
    </row>
    <row r="956" ht="16" customHeight="1">
      <c r="A956" s="16" t="inlineStr">
        <is>
          <t>THREMOLIA-S3-F047</t>
        </is>
      </c>
      <c r="B956" s="16" t="inlineStr">
        <is>
          <t>THREMOLIA</t>
        </is>
      </c>
      <c r="C956" s="16" t="inlineStr">
        <is>
          <t>S3</t>
        </is>
      </c>
      <c r="D956" s="16" t="inlineStr">
        <is>
          <t>transit_data_general</t>
        </is>
      </c>
      <c r="E956" s="17" t="inlineStr"/>
      <c r="F956" s="16" t="inlineStr">
        <is>
          <t>DF2: Forwarded Recovery Request</t>
        </is>
      </c>
      <c r="G956" s="16" t="inlineStr"/>
      <c r="H956" s="16" t="inlineStr">
        <is>
          <t>THREMOLIA/S3</t>
        </is>
      </c>
    </row>
    <row r="957" ht="16" customHeight="1">
      <c r="A957" s="16" t="inlineStr">
        <is>
          <t>THREMOLIA-S3-F048</t>
        </is>
      </c>
      <c r="B957" s="16" t="inlineStr">
        <is>
          <t>THREMOLIA</t>
        </is>
      </c>
      <c r="C957" s="16" t="inlineStr">
        <is>
          <t>S3</t>
        </is>
      </c>
      <c r="D957" s="16" t="inlineStr"/>
      <c r="E957" s="17" t="inlineStr"/>
      <c r="F957" s="16" t="inlineStr">
        <is>
          <t>DF2: Forwarded Recovery Request</t>
        </is>
      </c>
      <c r="G957" s="16" t="inlineStr"/>
      <c r="H957" s="16" t="inlineStr">
        <is>
          <t>THREMOLIA/S3</t>
        </is>
      </c>
    </row>
    <row r="958" ht="16" customHeight="1">
      <c r="A958" s="16" t="inlineStr">
        <is>
          <t>THREMOLIA-S3-F049</t>
        </is>
      </c>
      <c r="B958" s="16" t="inlineStr">
        <is>
          <t>THREMOLIA</t>
        </is>
      </c>
      <c r="C958" s="16" t="inlineStr">
        <is>
          <t>S3</t>
        </is>
      </c>
      <c r="D958" s="16" t="inlineStr">
        <is>
          <t>injection_verification</t>
        </is>
      </c>
      <c r="E958" s="17" t="inlineStr"/>
      <c r="F958" s="16" t="inlineStr">
        <is>
          <t>DF3: Verification Data Query</t>
        </is>
      </c>
      <c r="G958" s="16" t="inlineStr"/>
      <c r="H958" s="16" t="inlineStr">
        <is>
          <t>THREMOLIA/S3</t>
        </is>
      </c>
    </row>
    <row r="959" ht="16" customHeight="1">
      <c r="A959" s="16" t="inlineStr">
        <is>
          <t>THREMOLIA-S3-F050</t>
        </is>
      </c>
      <c r="B959" s="16" t="inlineStr">
        <is>
          <t>THREMOLIA</t>
        </is>
      </c>
      <c r="C959" s="16" t="inlineStr">
        <is>
          <t>S3</t>
        </is>
      </c>
      <c r="D959" s="16" t="inlineStr"/>
      <c r="E959" s="17" t="inlineStr"/>
      <c r="F959" s="16" t="inlineStr">
        <is>
          <t>DF3: Verification Data Query</t>
        </is>
      </c>
      <c r="G959" s="16" t="inlineStr"/>
      <c r="H959" s="16" t="inlineStr">
        <is>
          <t>THREMOLIA/S3</t>
        </is>
      </c>
    </row>
    <row r="960" ht="16" customHeight="1">
      <c r="A960" s="16" t="inlineStr">
        <is>
          <t>THREMOLIA-S3-F051</t>
        </is>
      </c>
      <c r="B960" s="16" t="inlineStr">
        <is>
          <t>THREMOLIA</t>
        </is>
      </c>
      <c r="C960" s="16" t="inlineStr">
        <is>
          <t>S3</t>
        </is>
      </c>
      <c r="D960" s="16" t="inlineStr">
        <is>
          <t>dos_service</t>
        </is>
      </c>
      <c r="E960" s="17" t="inlineStr"/>
      <c r="F960" s="16" t="inlineStr">
        <is>
          <t>DF3: Verification Data Query</t>
        </is>
      </c>
      <c r="G960" s="16" t="inlineStr"/>
      <c r="H960" s="16" t="inlineStr">
        <is>
          <t>THREMOLIA/S3</t>
        </is>
      </c>
    </row>
    <row r="961" ht="16" customHeight="1">
      <c r="A961" s="16" t="inlineStr">
        <is>
          <t>THREMOLIA-S3-F052</t>
        </is>
      </c>
      <c r="B961" s="16" t="inlineStr">
        <is>
          <t>THREMOLIA</t>
        </is>
      </c>
      <c r="C961" s="16" t="inlineStr">
        <is>
          <t>S3</t>
        </is>
      </c>
      <c r="D961" s="16" t="inlineStr">
        <is>
          <t>auth_bypass_logic</t>
        </is>
      </c>
      <c r="E961" s="17" t="inlineStr"/>
      <c r="F961" s="16" t="inlineStr">
        <is>
          <t>DF4: Account Verification Data Result</t>
        </is>
      </c>
      <c r="G961" s="16" t="inlineStr"/>
      <c r="H961" s="16" t="inlineStr">
        <is>
          <t>THREMOLIA/S3</t>
        </is>
      </c>
    </row>
    <row r="962" ht="16" customHeight="1">
      <c r="A962" s="16" t="inlineStr">
        <is>
          <t>THREMOLIA-S3-F053</t>
        </is>
      </c>
      <c r="B962" s="16" t="inlineStr">
        <is>
          <t>THREMOLIA</t>
        </is>
      </c>
      <c r="C962" s="16" t="inlineStr">
        <is>
          <t>S3</t>
        </is>
      </c>
      <c r="D962" s="16" t="inlineStr">
        <is>
          <t>transit_data_general</t>
        </is>
      </c>
      <c r="E962" s="17" t="inlineStr"/>
      <c r="F962" s="16" t="inlineStr">
        <is>
          <t>DF4: Account Verification Data Result</t>
        </is>
      </c>
      <c r="G962" s="16" t="inlineStr"/>
      <c r="H962" s="16" t="inlineStr">
        <is>
          <t>THREMOLIA/S3</t>
        </is>
      </c>
    </row>
    <row r="963" ht="16" customHeight="1">
      <c r="A963" s="16" t="inlineStr">
        <is>
          <t>THREMOLIA-S3-F054</t>
        </is>
      </c>
      <c r="B963" s="16" t="inlineStr">
        <is>
          <t>THREMOLIA</t>
        </is>
      </c>
      <c r="C963" s="16" t="inlineStr">
        <is>
          <t>S3</t>
        </is>
      </c>
      <c r="D963" s="16" t="inlineStr"/>
      <c r="E963" s="17" t="inlineStr"/>
      <c r="F963" s="16" t="inlineStr">
        <is>
          <t>DF4: Account Verification Data Result</t>
        </is>
      </c>
      <c r="G963" s="16" t="inlineStr"/>
      <c r="H963" s="16" t="inlineStr">
        <is>
          <t>THREMOLIA/S3</t>
        </is>
      </c>
    </row>
    <row r="964" ht="16" customHeight="1">
      <c r="A964" s="16" t="inlineStr">
        <is>
          <t>THREMOLIA-S3-F055</t>
        </is>
      </c>
      <c r="B964" s="16" t="inlineStr">
        <is>
          <t>THREMOLIA</t>
        </is>
      </c>
      <c r="C964" s="16" t="inlineStr">
        <is>
          <t>S3</t>
        </is>
      </c>
      <c r="D964" s="16" t="inlineStr">
        <is>
          <t>session_store_tamper</t>
        </is>
      </c>
      <c r="E964" s="17" t="inlineStr"/>
      <c r="F964" s="16" t="inlineStr">
        <is>
          <t>DF5: Store Recovery Token Request</t>
        </is>
      </c>
      <c r="G964" s="16" t="inlineStr"/>
      <c r="H964" s="16" t="inlineStr">
        <is>
          <t>THREMOLIA/S3</t>
        </is>
      </c>
    </row>
    <row r="965" ht="16" customHeight="1">
      <c r="A965" s="16" t="inlineStr">
        <is>
          <t>THREMOLIA-S3-F056</t>
        </is>
      </c>
      <c r="B965" s="16" t="inlineStr">
        <is>
          <t>THREMOLIA</t>
        </is>
      </c>
      <c r="C965" s="16" t="inlineStr">
        <is>
          <t>S3</t>
        </is>
      </c>
      <c r="D965" s="16" t="inlineStr">
        <is>
          <t>transit_token</t>
        </is>
      </c>
      <c r="E965" s="17" t="inlineStr"/>
      <c r="F965" s="16" t="inlineStr">
        <is>
          <t>DF5: Store Recovery Token Request</t>
        </is>
      </c>
      <c r="G965" s="16" t="inlineStr"/>
      <c r="H965" s="16" t="inlineStr">
        <is>
          <t>THREMOLIA/S3</t>
        </is>
      </c>
    </row>
    <row r="966" ht="16" customHeight="1">
      <c r="A966" s="16" t="inlineStr">
        <is>
          <t>THREMOLIA-S3-F057</t>
        </is>
      </c>
      <c r="B966" s="16" t="inlineStr">
        <is>
          <t>THREMOLIA</t>
        </is>
      </c>
      <c r="C966" s="16" t="inlineStr">
        <is>
          <t>S3</t>
        </is>
      </c>
      <c r="D966" s="16" t="inlineStr">
        <is>
          <t>dos_service</t>
        </is>
      </c>
      <c r="E966" s="17" t="inlineStr"/>
      <c r="F966" s="16" t="inlineStr">
        <is>
          <t>DF5: Store Recovery Token Request</t>
        </is>
      </c>
      <c r="G966" s="16" t="inlineStr"/>
      <c r="H966" s="16" t="inlineStr">
        <is>
          <t>THREMOLIA/S3</t>
        </is>
      </c>
    </row>
    <row r="967" ht="16" customHeight="1">
      <c r="A967" s="16" t="inlineStr">
        <is>
          <t>THREMOLIA-S3-F058</t>
        </is>
      </c>
      <c r="B967" s="16" t="inlineStr">
        <is>
          <t>THREMOLIA</t>
        </is>
      </c>
      <c r="C967" s="16" t="inlineStr">
        <is>
          <t>S3</t>
        </is>
      </c>
      <c r="D967" s="16" t="inlineStr"/>
      <c r="E967" s="17" t="inlineStr"/>
      <c r="F967" s="16" t="inlineStr">
        <is>
          <t>DF6: Token Storage Confirmation</t>
        </is>
      </c>
      <c r="G967" s="16" t="inlineStr"/>
      <c r="H967" s="16" t="inlineStr">
        <is>
          <t>THREMOLIA/S3</t>
        </is>
      </c>
    </row>
    <row r="968" ht="16" customHeight="1">
      <c r="A968" s="16" t="inlineStr">
        <is>
          <t>THREMOLIA-S3-F059</t>
        </is>
      </c>
      <c r="B968" s="16" t="inlineStr">
        <is>
          <t>THREMOLIA</t>
        </is>
      </c>
      <c r="C968" s="16" t="inlineStr">
        <is>
          <t>S3</t>
        </is>
      </c>
      <c r="D968" s="16" t="inlineStr"/>
      <c r="E968" s="17" t="inlineStr"/>
      <c r="F968" s="16" t="inlineStr">
        <is>
          <t>DF6: Token Storage Confirmation</t>
        </is>
      </c>
      <c r="G968" s="16" t="inlineStr"/>
      <c r="H968" s="16" t="inlineStr">
        <is>
          <t>THREMOLIA/S3</t>
        </is>
      </c>
    </row>
    <row r="969" ht="16" customHeight="1">
      <c r="A969" s="16" t="inlineStr">
        <is>
          <t>THREMOLIA-S3-F060</t>
        </is>
      </c>
      <c r="B969" s="16" t="inlineStr">
        <is>
          <t>THREMOLIA</t>
        </is>
      </c>
      <c r="C969" s="16" t="inlineStr">
        <is>
          <t>S3</t>
        </is>
      </c>
      <c r="D969" s="16" t="inlineStr"/>
      <c r="E969" s="17" t="inlineStr"/>
      <c r="F969" s="16" t="inlineStr">
        <is>
          <t>DF6: Token Storage Confirmation</t>
        </is>
      </c>
      <c r="G969" s="16" t="inlineStr"/>
      <c r="H969" s="16" t="inlineStr">
        <is>
          <t>THREMOLIA/S3</t>
        </is>
      </c>
    </row>
    <row r="970" ht="16" customHeight="1">
      <c r="A970" s="16" t="inlineStr">
        <is>
          <t>THREMOLIA-S3-F061</t>
        </is>
      </c>
      <c r="B970" s="16" t="inlineStr">
        <is>
          <t>THREMOLIA</t>
        </is>
      </c>
      <c r="C970" s="16" t="inlineStr">
        <is>
          <t>S3</t>
        </is>
      </c>
      <c r="D970" s="16" t="inlineStr"/>
      <c r="E970" s="17" t="inlineStr"/>
      <c r="F970" s="16" t="inlineStr">
        <is>
          <t>DF7: Recovery Challenge / Result</t>
        </is>
      </c>
      <c r="G970" s="16" t="inlineStr"/>
      <c r="H970" s="16" t="inlineStr">
        <is>
          <t>THREMOLIA/S3</t>
        </is>
      </c>
    </row>
    <row r="971" ht="16" customHeight="1">
      <c r="A971" s="16" t="inlineStr">
        <is>
          <t>THREMOLIA-S3-F062</t>
        </is>
      </c>
      <c r="B971" s="16" t="inlineStr">
        <is>
          <t>THREMOLIA</t>
        </is>
      </c>
      <c r="C971" s="16" t="inlineStr">
        <is>
          <t>S3</t>
        </is>
      </c>
      <c r="D971" s="16" t="inlineStr"/>
      <c r="E971" s="17" t="inlineStr"/>
      <c r="F971" s="16" t="inlineStr">
        <is>
          <t>DF7: Recovery Challenge / Result</t>
        </is>
      </c>
      <c r="G971" s="16" t="inlineStr"/>
      <c r="H971" s="16" t="inlineStr">
        <is>
          <t>THREMOLIA/S3</t>
        </is>
      </c>
    </row>
    <row r="972" ht="16" customHeight="1">
      <c r="A972" s="16" t="inlineStr">
        <is>
          <t>THREMOLIA-S3-F063</t>
        </is>
      </c>
      <c r="B972" s="16" t="inlineStr">
        <is>
          <t>THREMOLIA</t>
        </is>
      </c>
      <c r="C972" s="16" t="inlineStr">
        <is>
          <t>S3</t>
        </is>
      </c>
      <c r="D972" s="16" t="inlineStr"/>
      <c r="E972" s="17" t="inlineStr"/>
      <c r="F972" s="16" t="inlineStr">
        <is>
          <t>DF7: Recovery Challenge / Result</t>
        </is>
      </c>
      <c r="G972" s="16" t="inlineStr"/>
      <c r="H972" s="16" t="inlineStr">
        <is>
          <t>THREMOLIA/S3</t>
        </is>
      </c>
    </row>
    <row r="973" ht="16" customHeight="1">
      <c r="A973" s="16" t="inlineStr">
        <is>
          <t>THREMOLIA-S3-F064</t>
        </is>
      </c>
      <c r="B973" s="16" t="inlineStr">
        <is>
          <t>THREMOLIA</t>
        </is>
      </c>
      <c r="C973" s="16" t="inlineStr">
        <is>
          <t>S3</t>
        </is>
      </c>
      <c r="D973" s="16" t="inlineStr">
        <is>
          <t>transit_token</t>
        </is>
      </c>
      <c r="E973" s="17" t="inlineStr"/>
      <c r="F973" s="16" t="inlineStr">
        <is>
          <t>DF8: Recovery Token Submission</t>
        </is>
      </c>
      <c r="G973" s="16" t="inlineStr"/>
      <c r="H973" s="16" t="inlineStr">
        <is>
          <t>THREMOLIA/S3</t>
        </is>
      </c>
    </row>
    <row r="974" ht="16" customHeight="1">
      <c r="A974" s="16" t="inlineStr">
        <is>
          <t>THREMOLIA-S3-F065</t>
        </is>
      </c>
      <c r="B974" s="16" t="inlineStr">
        <is>
          <t>THREMOLIA</t>
        </is>
      </c>
      <c r="C974" s="16" t="inlineStr">
        <is>
          <t>S3</t>
        </is>
      </c>
      <c r="D974" s="16" t="inlineStr">
        <is>
          <t>transit_token</t>
        </is>
      </c>
      <c r="E974" s="17" t="inlineStr"/>
      <c r="F974" s="16" t="inlineStr">
        <is>
          <t>DF8: Recovery Token Submission</t>
        </is>
      </c>
      <c r="G974" s="16" t="inlineStr"/>
      <c r="H974" s="16" t="inlineStr">
        <is>
          <t>THREMOLIA/S3</t>
        </is>
      </c>
    </row>
    <row r="975" ht="16" customHeight="1">
      <c r="A975" s="16" t="inlineStr">
        <is>
          <t>THREMOLIA-S3-F066</t>
        </is>
      </c>
      <c r="B975" s="16" t="inlineStr">
        <is>
          <t>THREMOLIA</t>
        </is>
      </c>
      <c r="C975" s="16" t="inlineStr">
        <is>
          <t>S3</t>
        </is>
      </c>
      <c r="D975" s="16" t="inlineStr">
        <is>
          <t>dos_service</t>
        </is>
      </c>
      <c r="E975" s="17" t="inlineStr"/>
      <c r="F975" s="16" t="inlineStr">
        <is>
          <t>DF8: Recovery Token Submission</t>
        </is>
      </c>
      <c r="G975" s="16" t="inlineStr"/>
      <c r="H975" s="16" t="inlineStr">
        <is>
          <t>THREMOLIA/S3</t>
        </is>
      </c>
    </row>
    <row r="976" ht="16" customHeight="1">
      <c r="A976" s="16" t="inlineStr">
        <is>
          <t>THREMOLIA-S3-F067</t>
        </is>
      </c>
      <c r="B976" s="16" t="inlineStr">
        <is>
          <t>THREMOLIA</t>
        </is>
      </c>
      <c r="C976" s="16" t="inlineStr">
        <is>
          <t>S3</t>
        </is>
      </c>
      <c r="D976" s="16" t="inlineStr"/>
      <c r="E976" s="17" t="inlineStr"/>
      <c r="F976" s="16" t="inlineStr">
        <is>
          <t>DF9: Forwarded Token Credential</t>
        </is>
      </c>
      <c r="G976" s="16" t="inlineStr"/>
      <c r="H976" s="16" t="inlineStr">
        <is>
          <t>THREMOLIA/S3</t>
        </is>
      </c>
    </row>
    <row r="977" ht="16" customHeight="1">
      <c r="A977" s="16" t="inlineStr">
        <is>
          <t>THREMOLIA-S3-F068</t>
        </is>
      </c>
      <c r="B977" s="16" t="inlineStr">
        <is>
          <t>THREMOLIA</t>
        </is>
      </c>
      <c r="C977" s="16" t="inlineStr">
        <is>
          <t>S3</t>
        </is>
      </c>
      <c r="D977" s="16" t="inlineStr">
        <is>
          <t>transit_creds</t>
        </is>
      </c>
      <c r="E977" s="17" t="inlineStr"/>
      <c r="F977" s="16" t="inlineStr">
        <is>
          <t>DF9: Forwarded Token Credential</t>
        </is>
      </c>
      <c r="G977" s="16" t="inlineStr"/>
      <c r="H977" s="16" t="inlineStr">
        <is>
          <t>THREMOLIA/S3</t>
        </is>
      </c>
    </row>
    <row r="978" ht="16" customHeight="1">
      <c r="A978" s="16" t="inlineStr">
        <is>
          <t>THREMOLIA-S3-F069</t>
        </is>
      </c>
      <c r="B978" s="16" t="inlineStr">
        <is>
          <t>THREMOLIA</t>
        </is>
      </c>
      <c r="C978" s="16" t="inlineStr">
        <is>
          <t>S3</t>
        </is>
      </c>
      <c r="D978" s="16" t="inlineStr">
        <is>
          <t>dos_service</t>
        </is>
      </c>
      <c r="E978" s="17" t="inlineStr"/>
      <c r="F978" s="16" t="inlineStr">
        <is>
          <t>DF9: Forwarded Token Credential</t>
        </is>
      </c>
      <c r="G978" s="16" t="inlineStr"/>
      <c r="H978" s="16" t="inlineStr">
        <is>
          <t>THREMOLIA/S3</t>
        </is>
      </c>
    </row>
    <row r="979" ht="16" customHeight="1">
      <c r="A979" s="16" t="inlineStr">
        <is>
          <t>THREMOLIA-S3-F070</t>
        </is>
      </c>
      <c r="B979" s="16" t="inlineStr">
        <is>
          <t>THREMOLIA</t>
        </is>
      </c>
      <c r="C979" s="16" t="inlineStr">
        <is>
          <t>S3</t>
        </is>
      </c>
      <c r="D979" s="16" t="inlineStr">
        <is>
          <t>session_store_tamper</t>
        </is>
      </c>
      <c r="E979" s="17" t="inlineStr"/>
      <c r="F979" s="16" t="inlineStr">
        <is>
          <t>DF10: Token Validation Query</t>
        </is>
      </c>
      <c r="G979" s="16" t="inlineStr"/>
      <c r="H979" s="16" t="inlineStr">
        <is>
          <t>THREMOLIA/S3</t>
        </is>
      </c>
    </row>
    <row r="980" ht="16" customHeight="1">
      <c r="A980" s="16" t="inlineStr">
        <is>
          <t>THREMOLIA-S3-F071</t>
        </is>
      </c>
      <c r="B980" s="16" t="inlineStr">
        <is>
          <t>THREMOLIA</t>
        </is>
      </c>
      <c r="C980" s="16" t="inlineStr">
        <is>
          <t>S3</t>
        </is>
      </c>
      <c r="D980" s="16" t="inlineStr">
        <is>
          <t>transit_token</t>
        </is>
      </c>
      <c r="E980" s="17" t="inlineStr"/>
      <c r="F980" s="16" t="inlineStr">
        <is>
          <t>DF10: Token Validation Query</t>
        </is>
      </c>
      <c r="G980" s="16" t="inlineStr"/>
      <c r="H980" s="16" t="inlineStr">
        <is>
          <t>THREMOLIA/S3</t>
        </is>
      </c>
    </row>
    <row r="981" ht="16" customHeight="1">
      <c r="A981" s="16" t="inlineStr">
        <is>
          <t>THREMOLIA-S3-F072</t>
        </is>
      </c>
      <c r="B981" s="16" t="inlineStr">
        <is>
          <t>THREMOLIA</t>
        </is>
      </c>
      <c r="C981" s="16" t="inlineStr">
        <is>
          <t>S3</t>
        </is>
      </c>
      <c r="D981" s="16" t="inlineStr">
        <is>
          <t>dos_service</t>
        </is>
      </c>
      <c r="E981" s="17" t="inlineStr"/>
      <c r="F981" s="16" t="inlineStr">
        <is>
          <t>DF10: Token Validation Query</t>
        </is>
      </c>
      <c r="G981" s="16" t="inlineStr"/>
      <c r="H981" s="16" t="inlineStr">
        <is>
          <t>THREMOLIA/S3</t>
        </is>
      </c>
    </row>
    <row r="982" ht="16" customHeight="1">
      <c r="A982" s="16" t="inlineStr">
        <is>
          <t>THREMOLIA-S3-F073</t>
        </is>
      </c>
      <c r="B982" s="16" t="inlineStr">
        <is>
          <t>THREMOLIA</t>
        </is>
      </c>
      <c r="C982" s="16" t="inlineStr">
        <is>
          <t>S3</t>
        </is>
      </c>
      <c r="D982" s="16" t="inlineStr">
        <is>
          <t>token_replay</t>
        </is>
      </c>
      <c r="E982" s="17" t="inlineStr"/>
      <c r="F982" s="16" t="inlineStr">
        <is>
          <t>DF11: Token Validation Result</t>
        </is>
      </c>
      <c r="G982" s="16" t="inlineStr"/>
      <c r="H982" s="16" t="inlineStr">
        <is>
          <t>THREMOLIA/S3</t>
        </is>
      </c>
    </row>
    <row r="983" ht="16" customHeight="1">
      <c r="A983" s="16" t="inlineStr">
        <is>
          <t>THREMOLIA-S3-F074</t>
        </is>
      </c>
      <c r="B983" s="16" t="inlineStr">
        <is>
          <t>THREMOLIA</t>
        </is>
      </c>
      <c r="C983" s="16" t="inlineStr">
        <is>
          <t>S3</t>
        </is>
      </c>
      <c r="D983" s="16" t="inlineStr">
        <is>
          <t>transit_data_general</t>
        </is>
      </c>
      <c r="E983" s="17" t="inlineStr"/>
      <c r="F983" s="16" t="inlineStr">
        <is>
          <t>DF11: Token Validation Result</t>
        </is>
      </c>
      <c r="G983" s="16" t="inlineStr"/>
      <c r="H983" s="16" t="inlineStr">
        <is>
          <t>THREMOLIA/S3</t>
        </is>
      </c>
    </row>
    <row r="984" ht="16" customHeight="1">
      <c r="A984" s="16" t="inlineStr">
        <is>
          <t>THREMOLIA-S3-F075</t>
        </is>
      </c>
      <c r="B984" s="16" t="inlineStr">
        <is>
          <t>THREMOLIA</t>
        </is>
      </c>
      <c r="C984" s="16" t="inlineStr">
        <is>
          <t>S3</t>
        </is>
      </c>
      <c r="D984" s="16" t="inlineStr"/>
      <c r="E984" s="17" t="inlineStr"/>
      <c r="F984" s="16" t="inlineStr">
        <is>
          <t>DF11: Token Validation Result</t>
        </is>
      </c>
      <c r="G984" s="16" t="inlineStr"/>
      <c r="H984" s="16" t="inlineStr">
        <is>
          <t>THREMOLIA/S3</t>
        </is>
      </c>
    </row>
    <row r="985" ht="16" customHeight="1">
      <c r="A985" s="16" t="inlineStr">
        <is>
          <t>THREMOLIA-S3-F076</t>
        </is>
      </c>
      <c r="B985" s="16" t="inlineStr">
        <is>
          <t>THREMOLIA</t>
        </is>
      </c>
      <c r="C985" s="16" t="inlineStr">
        <is>
          <t>S3</t>
        </is>
      </c>
      <c r="D985" s="16" t="inlineStr">
        <is>
          <t>token_replay</t>
        </is>
      </c>
      <c r="E985" s="17" t="inlineStr"/>
      <c r="F985" s="16" t="inlineStr">
        <is>
          <t>DF12: Token Invalidation / Consumption Request</t>
        </is>
      </c>
      <c r="G985" s="16" t="inlineStr"/>
      <c r="H985" s="16" t="inlineStr">
        <is>
          <t>THREMOLIA/S3</t>
        </is>
      </c>
    </row>
    <row r="986" ht="16" customHeight="1">
      <c r="A986" s="16" t="inlineStr">
        <is>
          <t>THREMOLIA-S3-F077</t>
        </is>
      </c>
      <c r="B986" s="16" t="inlineStr">
        <is>
          <t>THREMOLIA</t>
        </is>
      </c>
      <c r="C986" s="16" t="inlineStr">
        <is>
          <t>S3</t>
        </is>
      </c>
      <c r="D986" s="16" t="inlineStr">
        <is>
          <t>token_replay</t>
        </is>
      </c>
      <c r="E986" s="17" t="inlineStr"/>
      <c r="F986" s="16" t="inlineStr">
        <is>
          <t>DF12: Token Invalidation / Consumption Request</t>
        </is>
      </c>
      <c r="G986" s="16" t="inlineStr"/>
      <c r="H986" s="16" t="inlineStr">
        <is>
          <t>THREMOLIA/S3</t>
        </is>
      </c>
    </row>
    <row r="987" ht="16" customHeight="1">
      <c r="A987" s="16" t="inlineStr">
        <is>
          <t>THREMOLIA-S3-F078</t>
        </is>
      </c>
      <c r="B987" s="16" t="inlineStr">
        <is>
          <t>THREMOLIA</t>
        </is>
      </c>
      <c r="C987" s="16" t="inlineStr">
        <is>
          <t>S3</t>
        </is>
      </c>
      <c r="D987" s="16" t="inlineStr">
        <is>
          <t>token_replay</t>
        </is>
      </c>
      <c r="E987" s="17" t="inlineStr"/>
      <c r="F987" s="16" t="inlineStr">
        <is>
          <t>DF12: Token Invalidation / Consumption Request</t>
        </is>
      </c>
      <c r="G987" s="16" t="inlineStr"/>
      <c r="H987" s="16" t="inlineStr">
        <is>
          <t>THREMOLIA/S3</t>
        </is>
      </c>
    </row>
    <row r="988" ht="16" customHeight="1">
      <c r="A988" s="16" t="inlineStr">
        <is>
          <t>THREMOLIA-S3-F079</t>
        </is>
      </c>
      <c r="B988" s="16" t="inlineStr">
        <is>
          <t>THREMOLIA</t>
        </is>
      </c>
      <c r="C988" s="16" t="inlineStr">
        <is>
          <t>S3</t>
        </is>
      </c>
      <c r="D988" s="16" t="inlineStr"/>
      <c r="E988" s="17" t="inlineStr"/>
      <c r="F988" s="16" t="inlineStr">
        <is>
          <t>DF13: Authorized Profile Update Request</t>
        </is>
      </c>
      <c r="G988" s="16" t="inlineStr"/>
      <c r="H988" s="16" t="inlineStr">
        <is>
          <t>THREMOLIA/S3</t>
        </is>
      </c>
    </row>
    <row r="989" ht="16" customHeight="1">
      <c r="A989" s="16" t="inlineStr">
        <is>
          <t>THREMOLIA-S3-F080</t>
        </is>
      </c>
      <c r="B989" s="16" t="inlineStr">
        <is>
          <t>THREMOLIA</t>
        </is>
      </c>
      <c r="C989" s="16" t="inlineStr">
        <is>
          <t>S3</t>
        </is>
      </c>
      <c r="D989" s="16" t="inlineStr">
        <is>
          <t>transit_data_general</t>
        </is>
      </c>
      <c r="E989" s="17" t="inlineStr"/>
      <c r="F989" s="16" t="inlineStr">
        <is>
          <t>DF13: Authorized Profile Update Request</t>
        </is>
      </c>
      <c r="G989" s="16" t="inlineStr"/>
      <c r="H989" s="16" t="inlineStr">
        <is>
          <t>THREMOLIA/S3</t>
        </is>
      </c>
    </row>
    <row r="990" ht="16" customHeight="1">
      <c r="A990" s="16" t="inlineStr">
        <is>
          <t>THREMOLIA-S3-F081</t>
        </is>
      </c>
      <c r="B990" s="16" t="inlineStr">
        <is>
          <t>THREMOLIA</t>
        </is>
      </c>
      <c r="C990" s="16" t="inlineStr">
        <is>
          <t>S3</t>
        </is>
      </c>
      <c r="D990" s="16" t="inlineStr">
        <is>
          <t>dos_service</t>
        </is>
      </c>
      <c r="E990" s="17" t="inlineStr"/>
      <c r="F990" s="16" t="inlineStr">
        <is>
          <t>DF13: Authorized Profile Update Request</t>
        </is>
      </c>
      <c r="G990" s="16" t="inlineStr"/>
      <c r="H990" s="16" t="inlineStr">
        <is>
          <t>THREMOLIA/S3</t>
        </is>
      </c>
    </row>
    <row r="991" ht="16" customHeight="1">
      <c r="A991" s="16" t="inlineStr">
        <is>
          <t>THREMOLIA-S3-F082</t>
        </is>
      </c>
      <c r="B991" s="16" t="inlineStr">
        <is>
          <t>THREMOLIA</t>
        </is>
      </c>
      <c r="C991" s="16" t="inlineStr">
        <is>
          <t>S3</t>
        </is>
      </c>
      <c r="D991" s="16" t="inlineStr">
        <is>
          <t>injection_verification</t>
        </is>
      </c>
      <c r="E991" s="17" t="inlineStr"/>
      <c r="F991" s="16" t="inlineStr">
        <is>
          <t>DF14: Profile Modification Query</t>
        </is>
      </c>
      <c r="G991" s="16" t="inlineStr"/>
      <c r="H991" s="16" t="inlineStr">
        <is>
          <t>THREMOLIA/S3</t>
        </is>
      </c>
    </row>
    <row r="992" ht="16" customHeight="1">
      <c r="A992" s="16" t="inlineStr">
        <is>
          <t>THREMOLIA-S3-F083</t>
        </is>
      </c>
      <c r="B992" s="16" t="inlineStr">
        <is>
          <t>THREMOLIA</t>
        </is>
      </c>
      <c r="C992" s="16" t="inlineStr">
        <is>
          <t>S3</t>
        </is>
      </c>
      <c r="D992" s="16" t="inlineStr">
        <is>
          <t>injection_verification</t>
        </is>
      </c>
      <c r="E992" s="17" t="inlineStr"/>
      <c r="F992" s="16" t="inlineStr">
        <is>
          <t>DF14: Profile Modification Query</t>
        </is>
      </c>
      <c r="G992" s="16" t="inlineStr"/>
      <c r="H992" s="16" t="inlineStr">
        <is>
          <t>THREMOLIA/S3</t>
        </is>
      </c>
    </row>
    <row r="993" ht="16" customHeight="1">
      <c r="A993" s="16" t="inlineStr">
        <is>
          <t>THREMOLIA-S3-F084</t>
        </is>
      </c>
      <c r="B993" s="16" t="inlineStr">
        <is>
          <t>THREMOLIA</t>
        </is>
      </c>
      <c r="C993" s="16" t="inlineStr">
        <is>
          <t>S3</t>
        </is>
      </c>
      <c r="D993" s="16" t="inlineStr">
        <is>
          <t>dos_service</t>
        </is>
      </c>
      <c r="E993" s="17" t="inlineStr"/>
      <c r="F993" s="16" t="inlineStr">
        <is>
          <t>DF14: Profile Modification Query</t>
        </is>
      </c>
      <c r="G993" s="16" t="inlineStr"/>
      <c r="H993" s="16" t="inlineStr">
        <is>
          <t>THREMOLIA/S3</t>
        </is>
      </c>
    </row>
    <row r="994" ht="16" customHeight="1">
      <c r="A994" s="16" t="inlineStr">
        <is>
          <t>THREMOLIA-S3-F085</t>
        </is>
      </c>
      <c r="B994" s="16" t="inlineStr">
        <is>
          <t>THREMOLIA</t>
        </is>
      </c>
      <c r="C994" s="16" t="inlineStr">
        <is>
          <t>S3</t>
        </is>
      </c>
      <c r="D994" s="16" t="inlineStr"/>
      <c r="E994" s="17" t="inlineStr"/>
      <c r="F994" s="16" t="inlineStr">
        <is>
          <t>DF15: Profile Update Result</t>
        </is>
      </c>
      <c r="G994" s="16" t="inlineStr"/>
      <c r="H994" s="16" t="inlineStr">
        <is>
          <t>THREMOLIA/S3</t>
        </is>
      </c>
    </row>
    <row r="995" ht="16" customHeight="1">
      <c r="A995" s="16" t="inlineStr">
        <is>
          <t>THREMOLIA-S3-F086</t>
        </is>
      </c>
      <c r="B995" s="16" t="inlineStr">
        <is>
          <t>THREMOLIA</t>
        </is>
      </c>
      <c r="C995" s="16" t="inlineStr">
        <is>
          <t>S3</t>
        </is>
      </c>
      <c r="D995" s="16" t="inlineStr">
        <is>
          <t>verbose_error</t>
        </is>
      </c>
      <c r="E995" s="17" t="inlineStr"/>
      <c r="F995" s="16" t="inlineStr">
        <is>
          <t>DF15: Profile Update Result</t>
        </is>
      </c>
      <c r="G995" s="16" t="inlineStr"/>
      <c r="H995" s="16" t="inlineStr">
        <is>
          <t>THREMOLIA/S3</t>
        </is>
      </c>
    </row>
    <row r="996" ht="16" customHeight="1">
      <c r="A996" s="16" t="inlineStr">
        <is>
          <t>THREMOLIA-S3-F087</t>
        </is>
      </c>
      <c r="B996" s="16" t="inlineStr">
        <is>
          <t>THREMOLIA</t>
        </is>
      </c>
      <c r="C996" s="16" t="inlineStr">
        <is>
          <t>S3</t>
        </is>
      </c>
      <c r="D996" s="16" t="inlineStr"/>
      <c r="E996" s="17" t="inlineStr"/>
      <c r="F996" s="16" t="inlineStr">
        <is>
          <t>DF15: Profile Update Result</t>
        </is>
      </c>
      <c r="G996" s="16" t="inlineStr"/>
      <c r="H996" s="16" t="inlineStr">
        <is>
          <t>THREMOLIA/S3</t>
        </is>
      </c>
    </row>
    <row r="997" ht="16" customHeight="1">
      <c r="A997" s="16" t="inlineStr">
        <is>
          <t>THREMOLIA-S3-F088</t>
        </is>
      </c>
      <c r="B997" s="16" t="inlineStr">
        <is>
          <t>THREMOLIA</t>
        </is>
      </c>
      <c r="C997" s="16" t="inlineStr">
        <is>
          <t>S3</t>
        </is>
      </c>
      <c r="D997" s="16" t="inlineStr"/>
      <c r="E997" s="17" t="inlineStr"/>
      <c r="F997" s="16" t="inlineStr">
        <is>
          <t>DF16: Forwarded Profile Result</t>
        </is>
      </c>
      <c r="G997" s="16" t="inlineStr"/>
      <c r="H997" s="16" t="inlineStr">
        <is>
          <t>THREMOLIA/S3</t>
        </is>
      </c>
    </row>
    <row r="998" ht="16" customHeight="1">
      <c r="A998" s="16" t="inlineStr">
        <is>
          <t>THREMOLIA-S3-F089</t>
        </is>
      </c>
      <c r="B998" s="16" t="inlineStr">
        <is>
          <t>THREMOLIA</t>
        </is>
      </c>
      <c r="C998" s="16" t="inlineStr">
        <is>
          <t>S3</t>
        </is>
      </c>
      <c r="D998" s="16" t="inlineStr">
        <is>
          <t>transit_data_general</t>
        </is>
      </c>
      <c r="E998" s="17" t="inlineStr"/>
      <c r="F998" s="16" t="inlineStr">
        <is>
          <t>DF16: Forwarded Profile Result</t>
        </is>
      </c>
      <c r="G998" s="16" t="inlineStr"/>
      <c r="H998" s="16" t="inlineStr">
        <is>
          <t>THREMOLIA/S3</t>
        </is>
      </c>
    </row>
    <row r="999" ht="16" customHeight="1">
      <c r="A999" s="16" t="inlineStr">
        <is>
          <t>THREMOLIA-S3-F090</t>
        </is>
      </c>
      <c r="B999" s="16" t="inlineStr">
        <is>
          <t>THREMOLIA</t>
        </is>
      </c>
      <c r="C999" s="16" t="inlineStr">
        <is>
          <t>S3</t>
        </is>
      </c>
      <c r="D999" s="16" t="inlineStr"/>
      <c r="E999" s="17" t="inlineStr"/>
      <c r="F999" s="16" t="inlineStr">
        <is>
          <t>DF16: Forwarded Profile Result</t>
        </is>
      </c>
      <c r="G999" s="16" t="inlineStr"/>
      <c r="H999" s="16" t="inlineStr">
        <is>
          <t>THREMOLIA/S3</t>
        </is>
      </c>
    </row>
    <row r="1000" ht="16" customHeight="1">
      <c r="A1000" s="16" t="inlineStr">
        <is>
          <t>THREMOLIA-S3-F091</t>
        </is>
      </c>
      <c r="B1000" s="16" t="inlineStr">
        <is>
          <t>THREMOLIA</t>
        </is>
      </c>
      <c r="C1000" s="16" t="inlineStr">
        <is>
          <t>S3</t>
        </is>
      </c>
      <c r="D1000" s="16" t="inlineStr">
        <is>
          <t>stored_active_content</t>
        </is>
      </c>
      <c r="E1000" s="17" t="inlineStr"/>
      <c r="F1000" s="16" t="inlineStr">
        <is>
          <t>DF17: Profile Update Display</t>
        </is>
      </c>
      <c r="G1000" s="16" t="inlineStr"/>
      <c r="H1000" s="16" t="inlineStr">
        <is>
          <t>THREMOLIA/S3</t>
        </is>
      </c>
    </row>
    <row r="1001" ht="16" customHeight="1">
      <c r="A1001" s="16" t="inlineStr">
        <is>
          <t>THREMOLIA-S3-F092</t>
        </is>
      </c>
      <c r="B1001" s="16" t="inlineStr">
        <is>
          <t>THREMOLIA</t>
        </is>
      </c>
      <c r="C1001" s="16" t="inlineStr">
        <is>
          <t>S3</t>
        </is>
      </c>
      <c r="D1001" s="16" t="inlineStr">
        <is>
          <t>transit_data_general</t>
        </is>
      </c>
      <c r="E1001" s="17" t="inlineStr"/>
      <c r="F1001" s="16" t="inlineStr">
        <is>
          <t>DF17: Profile Update Display</t>
        </is>
      </c>
      <c r="G1001" s="16" t="inlineStr"/>
      <c r="H1001" s="16" t="inlineStr">
        <is>
          <t>THREMOLIA/S3</t>
        </is>
      </c>
    </row>
    <row r="1002" ht="16" customHeight="1">
      <c r="A1002" s="16" t="inlineStr">
        <is>
          <t>THREMOLIA-S3-F093</t>
        </is>
      </c>
      <c r="B1002" s="16" t="inlineStr">
        <is>
          <t>THREMOLIA</t>
        </is>
      </c>
      <c r="C1002" s="16" t="inlineStr">
        <is>
          <t>S3</t>
        </is>
      </c>
      <c r="D1002" s="16" t="inlineStr"/>
      <c r="E1002" s="17" t="inlineStr"/>
      <c r="F1002" s="16" t="inlineStr">
        <is>
          <t>DF17: Profile Update Display</t>
        </is>
      </c>
      <c r="G1002" s="16" t="inlineStr"/>
      <c r="H1002" s="16" t="inlineStr">
        <is>
          <t>THREMOLIA/S3</t>
        </is>
      </c>
    </row>
    <row r="1003" ht="16" customHeight="1">
      <c r="A1003" s="16" t="inlineStr">
        <is>
          <t>THREMOLIA-S3-F094</t>
        </is>
      </c>
      <c r="B1003" s="16" t="inlineStr">
        <is>
          <t>THREMOLIA</t>
        </is>
      </c>
      <c r="C1003" s="16" t="inlineStr">
        <is>
          <t>S3</t>
        </is>
      </c>
      <c r="D1003" s="16" t="inlineStr">
        <is>
          <t>prompt_injection_direct</t>
        </is>
      </c>
      <c r="E1003" s="17" t="inlineStr"/>
      <c r="F1003" s="16" t="inlineStr">
        <is>
          <t>DF18: User Account Question</t>
        </is>
      </c>
      <c r="G1003" s="16" t="inlineStr"/>
      <c r="H1003" s="16" t="inlineStr">
        <is>
          <t>THREMOLIA/S3</t>
        </is>
      </c>
    </row>
    <row r="1004" ht="16" customHeight="1">
      <c r="A1004" s="16" t="inlineStr">
        <is>
          <t>THREMOLIA-S3-F095</t>
        </is>
      </c>
      <c r="B1004" s="16" t="inlineStr">
        <is>
          <t>THREMOLIA</t>
        </is>
      </c>
      <c r="C1004" s="16" t="inlineStr">
        <is>
          <t>S3</t>
        </is>
      </c>
      <c r="D1004" s="16" t="inlineStr">
        <is>
          <t>transit_data_general</t>
        </is>
      </c>
      <c r="E1004" s="17" t="inlineStr"/>
      <c r="F1004" s="16" t="inlineStr">
        <is>
          <t>DF18: User Account Question</t>
        </is>
      </c>
      <c r="G1004" s="16" t="inlineStr"/>
      <c r="H1004" s="16" t="inlineStr">
        <is>
          <t>THREMOLIA/S3</t>
        </is>
      </c>
    </row>
    <row r="1005" ht="16" customHeight="1">
      <c r="A1005" s="16" t="inlineStr">
        <is>
          <t>THREMOLIA-S3-F096</t>
        </is>
      </c>
      <c r="B1005" s="16" t="inlineStr">
        <is>
          <t>THREMOLIA</t>
        </is>
      </c>
      <c r="C1005" s="16" t="inlineStr">
        <is>
          <t>S3</t>
        </is>
      </c>
      <c r="D1005" s="16" t="inlineStr">
        <is>
          <t>dos_service</t>
        </is>
      </c>
      <c r="E1005" s="17" t="inlineStr"/>
      <c r="F1005" s="16" t="inlineStr">
        <is>
          <t>DF18: User Account Question</t>
        </is>
      </c>
      <c r="G1005" s="16" t="inlineStr"/>
      <c r="H1005" s="16" t="inlineStr">
        <is>
          <t>THREMOLIA/S3</t>
        </is>
      </c>
    </row>
    <row r="1006" ht="16" customHeight="1">
      <c r="A1006" s="16" t="inlineStr">
        <is>
          <t>THREMOLIA-S3-F097</t>
        </is>
      </c>
      <c r="B1006" s="16" t="inlineStr">
        <is>
          <t>THREMOLIA</t>
        </is>
      </c>
      <c r="C1006" s="16" t="inlineStr">
        <is>
          <t>S3</t>
        </is>
      </c>
      <c r="D1006" s="16" t="inlineStr"/>
      <c r="E1006" s="17" t="inlineStr"/>
      <c r="F1006" s="16" t="inlineStr">
        <is>
          <t>DF19: Forwarded Support Question</t>
        </is>
      </c>
      <c r="G1006" s="16" t="inlineStr"/>
      <c r="H1006" s="16" t="inlineStr">
        <is>
          <t>THREMOLIA/S3</t>
        </is>
      </c>
    </row>
    <row r="1007" ht="16" customHeight="1">
      <c r="A1007" s="16" t="inlineStr">
        <is>
          <t>THREMOLIA-S3-F098</t>
        </is>
      </c>
      <c r="B1007" s="16" t="inlineStr">
        <is>
          <t>THREMOLIA</t>
        </is>
      </c>
      <c r="C1007" s="16" t="inlineStr">
        <is>
          <t>S3</t>
        </is>
      </c>
      <c r="D1007" s="16" t="inlineStr">
        <is>
          <t>transit_data_general</t>
        </is>
      </c>
      <c r="E1007" s="17" t="inlineStr"/>
      <c r="F1007" s="16" t="inlineStr">
        <is>
          <t>DF19: Forwarded Support Question</t>
        </is>
      </c>
      <c r="G1007" s="16" t="inlineStr"/>
      <c r="H1007" s="16" t="inlineStr">
        <is>
          <t>THREMOLIA/S3</t>
        </is>
      </c>
    </row>
    <row r="1008" ht="16" customHeight="1">
      <c r="A1008" s="16" t="inlineStr">
        <is>
          <t>THREMOLIA-S3-F099</t>
        </is>
      </c>
      <c r="B1008" s="16" t="inlineStr">
        <is>
          <t>THREMOLIA</t>
        </is>
      </c>
      <c r="C1008" s="16" t="inlineStr">
        <is>
          <t>S3</t>
        </is>
      </c>
      <c r="D1008" s="16" t="inlineStr">
        <is>
          <t>dos_service</t>
        </is>
      </c>
      <c r="E1008" s="17" t="inlineStr"/>
      <c r="F1008" s="16" t="inlineStr">
        <is>
          <t>DF19: Forwarded Support Question</t>
        </is>
      </c>
      <c r="G1008" s="16" t="inlineStr"/>
      <c r="H1008" s="16" t="inlineStr">
        <is>
          <t>THREMOLIA/S3</t>
        </is>
      </c>
    </row>
    <row r="1009" ht="16" customHeight="1">
      <c r="A1009" s="16" t="inlineStr">
        <is>
          <t>THREMOLIA-S3-F100</t>
        </is>
      </c>
      <c r="B1009" s="16" t="inlineStr">
        <is>
          <t>THREMOLIA</t>
        </is>
      </c>
      <c r="C1009" s="16" t="inlineStr">
        <is>
          <t>S3</t>
        </is>
      </c>
      <c r="D1009" s="16" t="inlineStr"/>
      <c r="E1009" s="17" t="inlineStr"/>
      <c r="F1009" s="16" t="inlineStr">
        <is>
          <t>DF20: Support Prompt + Approved Context</t>
        </is>
      </c>
      <c r="G1009" s="16" t="inlineStr"/>
      <c r="H1009" s="16" t="inlineStr">
        <is>
          <t>THREMOLIA/S3</t>
        </is>
      </c>
    </row>
    <row r="1010" ht="16" customHeight="1">
      <c r="A1010" s="16" t="inlineStr">
        <is>
          <t>THREMOLIA-S3-F101</t>
        </is>
      </c>
      <c r="B1010" s="16" t="inlineStr">
        <is>
          <t>THREMOLIA</t>
        </is>
      </c>
      <c r="C1010" s="16" t="inlineStr">
        <is>
          <t>S3</t>
        </is>
      </c>
      <c r="D1010" s="16" t="inlineStr">
        <is>
          <t>sensitive_to_llm</t>
        </is>
      </c>
      <c r="E1010" s="17" t="inlineStr"/>
      <c r="F1010" s="16" t="inlineStr">
        <is>
          <t>DF20: Support Prompt + Approved Context</t>
        </is>
      </c>
      <c r="G1010" s="16" t="inlineStr"/>
      <c r="H1010" s="16" t="inlineStr">
        <is>
          <t>THREMOLIA/S3</t>
        </is>
      </c>
    </row>
    <row r="1011" ht="16" customHeight="1">
      <c r="A1011" s="16" t="inlineStr">
        <is>
          <t>THREMOLIA-S3-F102</t>
        </is>
      </c>
      <c r="B1011" s="16" t="inlineStr">
        <is>
          <t>THREMOLIA</t>
        </is>
      </c>
      <c r="C1011" s="16" t="inlineStr">
        <is>
          <t>S3</t>
        </is>
      </c>
      <c r="D1011" s="16" t="inlineStr">
        <is>
          <t>dos_service</t>
        </is>
      </c>
      <c r="E1011" s="17" t="inlineStr"/>
      <c r="F1011" s="16" t="inlineStr">
        <is>
          <t>DF20: Support Prompt + Approved Context</t>
        </is>
      </c>
      <c r="G1011" s="16" t="inlineStr"/>
      <c r="H1011" s="16" t="inlineStr">
        <is>
          <t>THREMOLIA/S3</t>
        </is>
      </c>
    </row>
    <row r="1012" ht="16" customHeight="1">
      <c r="A1012" s="16" t="inlineStr">
        <is>
          <t>THREMOLIA-S3-F103</t>
        </is>
      </c>
      <c r="B1012" s="16" t="inlineStr">
        <is>
          <t>THREMOLIA</t>
        </is>
      </c>
      <c r="C1012" s="16" t="inlineStr">
        <is>
          <t>S3</t>
        </is>
      </c>
      <c r="D1012" s="16" t="inlineStr">
        <is>
          <t>sensitive_to_llm</t>
        </is>
      </c>
      <c r="E1012" s="17" t="inlineStr"/>
      <c r="F1012" s="16" t="inlineStr">
        <is>
          <t>DF21: Outbound Prompt Request</t>
        </is>
      </c>
      <c r="G1012" s="16" t="inlineStr"/>
      <c r="H1012" s="16" t="inlineStr">
        <is>
          <t>THREMOLIA/S3</t>
        </is>
      </c>
    </row>
    <row r="1013" ht="16" customHeight="1">
      <c r="A1013" s="16" t="inlineStr">
        <is>
          <t>THREMOLIA-S3-F104</t>
        </is>
      </c>
      <c r="B1013" s="16" t="inlineStr">
        <is>
          <t>THREMOLIA</t>
        </is>
      </c>
      <c r="C1013" s="16" t="inlineStr">
        <is>
          <t>S3</t>
        </is>
      </c>
      <c r="D1013" s="16" t="inlineStr">
        <is>
          <t>sensitive_to_llm</t>
        </is>
      </c>
      <c r="E1013" s="17" t="inlineStr"/>
      <c r="F1013" s="16" t="inlineStr">
        <is>
          <t>DF21: Outbound Prompt Request</t>
        </is>
      </c>
      <c r="G1013" s="16" t="inlineStr"/>
      <c r="H1013" s="16" t="inlineStr">
        <is>
          <t>THREMOLIA/S3</t>
        </is>
      </c>
    </row>
    <row r="1014" ht="16" customHeight="1">
      <c r="A1014" s="16" t="inlineStr">
        <is>
          <t>THREMOLIA-S3-F105</t>
        </is>
      </c>
      <c r="B1014" s="16" t="inlineStr">
        <is>
          <t>THREMOLIA</t>
        </is>
      </c>
      <c r="C1014" s="16" t="inlineStr">
        <is>
          <t>S3</t>
        </is>
      </c>
      <c r="D1014" s="16" t="inlineStr">
        <is>
          <t>llm_unavailable</t>
        </is>
      </c>
      <c r="E1014" s="17" t="inlineStr"/>
      <c r="F1014" s="16" t="inlineStr">
        <is>
          <t>DF21: Outbound Prompt Request</t>
        </is>
      </c>
      <c r="G1014" s="16" t="inlineStr"/>
      <c r="H1014" s="16" t="inlineStr">
        <is>
          <t>THREMOLIA/S3</t>
        </is>
      </c>
    </row>
    <row r="1015" ht="16" customHeight="1">
      <c r="A1015" s="16" t="inlineStr">
        <is>
          <t>THREMOLIA-S3-F106</t>
        </is>
      </c>
      <c r="B1015" s="16" t="inlineStr">
        <is>
          <t>THREMOLIA</t>
        </is>
      </c>
      <c r="C1015" s="16" t="inlineStr">
        <is>
          <t>S3</t>
        </is>
      </c>
      <c r="D1015" s="16" t="inlineStr">
        <is>
          <t>model_substitution</t>
        </is>
      </c>
      <c r="E1015" s="17" t="inlineStr"/>
      <c r="F1015" s="16" t="inlineStr">
        <is>
          <t>DF22: Generated LLM Response</t>
        </is>
      </c>
      <c r="G1015" s="16" t="inlineStr"/>
      <c r="H1015" s="16" t="inlineStr">
        <is>
          <t>THREMOLIA/S3</t>
        </is>
      </c>
    </row>
    <row r="1016" ht="16" customHeight="1">
      <c r="A1016" s="16" t="inlineStr">
        <is>
          <t>THREMOLIA-S3-F107</t>
        </is>
      </c>
      <c r="B1016" s="16" t="inlineStr">
        <is>
          <t>THREMOLIA</t>
        </is>
      </c>
      <c r="C1016" s="16" t="inlineStr">
        <is>
          <t>S3</t>
        </is>
      </c>
      <c r="D1016" s="16" t="inlineStr">
        <is>
          <t>kb_disclosure</t>
        </is>
      </c>
      <c r="E1016" s="17" t="inlineStr"/>
      <c r="F1016" s="16" t="inlineStr">
        <is>
          <t>DF22: Generated LLM Response</t>
        </is>
      </c>
      <c r="G1016" s="16" t="inlineStr"/>
      <c r="H1016" s="16" t="inlineStr">
        <is>
          <t>THREMOLIA/S3</t>
        </is>
      </c>
    </row>
    <row r="1017" ht="16" customHeight="1">
      <c r="A1017" s="16" t="inlineStr">
        <is>
          <t>THREMOLIA-S3-F108</t>
        </is>
      </c>
      <c r="B1017" s="16" t="inlineStr">
        <is>
          <t>THREMOLIA</t>
        </is>
      </c>
      <c r="C1017" s="16" t="inlineStr">
        <is>
          <t>S3</t>
        </is>
      </c>
      <c r="D1017" s="16" t="inlineStr">
        <is>
          <t>llm_unavailable</t>
        </is>
      </c>
      <c r="E1017" s="17" t="inlineStr"/>
      <c r="F1017" s="16" t="inlineStr">
        <is>
          <t>DF22: Generated LLM Response</t>
        </is>
      </c>
      <c r="G1017" s="16" t="inlineStr"/>
      <c r="H1017" s="16" t="inlineStr">
        <is>
          <t>THREMOLIA/S3</t>
        </is>
      </c>
    </row>
    <row r="1018" ht="16" customHeight="1">
      <c r="A1018" s="16" t="inlineStr">
        <is>
          <t>THREMOLIA-S3-F109</t>
        </is>
      </c>
      <c r="B1018" s="16" t="inlineStr">
        <is>
          <t>THREMOLIA</t>
        </is>
      </c>
      <c r="C1018" s="16" t="inlineStr">
        <is>
          <t>S3</t>
        </is>
      </c>
      <c r="D1018" s="16" t="inlineStr"/>
      <c r="E1018" s="17" t="inlineStr"/>
      <c r="F1018" s="16" t="inlineStr">
        <is>
          <t>DF23: Processed Support Response</t>
        </is>
      </c>
      <c r="G1018" s="16" t="inlineStr"/>
      <c r="H1018" s="16" t="inlineStr">
        <is>
          <t>THREMOLIA/S3</t>
        </is>
      </c>
    </row>
    <row r="1019" ht="16" customHeight="1">
      <c r="A1019" s="16" t="inlineStr">
        <is>
          <t>THREMOLIA-S3-F110</t>
        </is>
      </c>
      <c r="B1019" s="16" t="inlineStr">
        <is>
          <t>THREMOLIA</t>
        </is>
      </c>
      <c r="C1019" s="16" t="inlineStr">
        <is>
          <t>S3</t>
        </is>
      </c>
      <c r="D1019" s="16" t="inlineStr">
        <is>
          <t>transit_data_general</t>
        </is>
      </c>
      <c r="E1019" s="17" t="inlineStr"/>
      <c r="F1019" s="16" t="inlineStr">
        <is>
          <t>DF23: Processed Support Response</t>
        </is>
      </c>
      <c r="G1019" s="16" t="inlineStr"/>
      <c r="H1019" s="16" t="inlineStr">
        <is>
          <t>THREMOLIA/S3</t>
        </is>
      </c>
    </row>
    <row r="1020" ht="16" customHeight="1">
      <c r="A1020" s="16" t="inlineStr">
        <is>
          <t>THREMOLIA-S3-F111</t>
        </is>
      </c>
      <c r="B1020" s="16" t="inlineStr">
        <is>
          <t>THREMOLIA</t>
        </is>
      </c>
      <c r="C1020" s="16" t="inlineStr">
        <is>
          <t>S3</t>
        </is>
      </c>
      <c r="D1020" s="16" t="inlineStr"/>
      <c r="E1020" s="17" t="inlineStr"/>
      <c r="F1020" s="16" t="inlineStr">
        <is>
          <t>DF23: Processed Support Response</t>
        </is>
      </c>
      <c r="G1020" s="16" t="inlineStr"/>
      <c r="H1020" s="16" t="inlineStr">
        <is>
          <t>THREMOLIA/S3</t>
        </is>
      </c>
    </row>
    <row r="1021" ht="16" customHeight="1">
      <c r="A1021" s="16" t="inlineStr">
        <is>
          <t>THREMOLIA-S3-F112</t>
        </is>
      </c>
      <c r="B1021" s="16" t="inlineStr">
        <is>
          <t>THREMOLIA</t>
        </is>
      </c>
      <c r="C1021" s="16" t="inlineStr">
        <is>
          <t>S3</t>
        </is>
      </c>
      <c r="D1021" s="16" t="inlineStr"/>
      <c r="E1021" s="17" t="inlineStr"/>
      <c r="F1021" s="16" t="inlineStr">
        <is>
          <t>DF24: Generated AI Answer</t>
        </is>
      </c>
      <c r="G1021" s="16" t="inlineStr"/>
      <c r="H1021" s="16" t="inlineStr">
        <is>
          <t>THREMOLIA/S3</t>
        </is>
      </c>
    </row>
    <row r="1022" ht="16" customHeight="1">
      <c r="A1022" s="16" t="inlineStr">
        <is>
          <t>THREMOLIA-S3-F113</t>
        </is>
      </c>
      <c r="B1022" s="16" t="inlineStr">
        <is>
          <t>THREMOLIA</t>
        </is>
      </c>
      <c r="C1022" s="16" t="inlineStr">
        <is>
          <t>S3</t>
        </is>
      </c>
      <c r="D1022" s="16" t="inlineStr">
        <is>
          <t>transit_data_general</t>
        </is>
      </c>
      <c r="E1022" s="17" t="inlineStr"/>
      <c r="F1022" s="16" t="inlineStr">
        <is>
          <t>DF24: Generated AI Answer</t>
        </is>
      </c>
      <c r="G1022" s="16" t="inlineStr"/>
      <c r="H1022" s="16" t="inlineStr">
        <is>
          <t>THREMOLIA/S3</t>
        </is>
      </c>
    </row>
    <row r="1023" ht="16" customHeight="1">
      <c r="A1023" s="16" t="inlineStr">
        <is>
          <t>THREMOLIA-S3-F114</t>
        </is>
      </c>
      <c r="B1023" s="16" t="inlineStr">
        <is>
          <t>THREMOLIA</t>
        </is>
      </c>
      <c r="C1023" s="16" t="inlineStr">
        <is>
          <t>S3</t>
        </is>
      </c>
      <c r="D1023" s="16" t="inlineStr"/>
      <c r="E1023" s="17" t="inlineStr"/>
      <c r="F1023" s="16" t="inlineStr">
        <is>
          <t>DF24: Generated AI Answer</t>
        </is>
      </c>
      <c r="G1023" s="16" t="inlineStr"/>
      <c r="H1023" s="16" t="inlineStr">
        <is>
          <t>THREMOLIA/S3</t>
        </is>
      </c>
    </row>
    <row r="1024" ht="16" customHeight="1">
      <c r="A1024" s="16" t="inlineStr">
        <is>
          <t>THREMOLIA-S3-F115</t>
        </is>
      </c>
      <c r="B1024" s="16" t="inlineStr">
        <is>
          <t>THREMOLIA</t>
        </is>
      </c>
      <c r="C1024" s="16" t="inlineStr">
        <is>
          <t>S3</t>
        </is>
      </c>
      <c r="D1024" s="16" t="inlineStr">
        <is>
          <t>stored_active_content</t>
        </is>
      </c>
      <c r="E1024" s="17" t="inlineStr"/>
      <c r="F1024" s="16" t="inlineStr">
        <is>
          <t>DF25: Support Answer Display</t>
        </is>
      </c>
      <c r="G1024" s="16" t="inlineStr"/>
      <c r="H1024" s="16" t="inlineStr">
        <is>
          <t>THREMOLIA/S3</t>
        </is>
      </c>
    </row>
    <row r="1025" ht="16" customHeight="1">
      <c r="A1025" s="16" t="inlineStr">
        <is>
          <t>THREMOLIA-S3-F116</t>
        </is>
      </c>
      <c r="B1025" s="16" t="inlineStr">
        <is>
          <t>THREMOLIA</t>
        </is>
      </c>
      <c r="C1025" s="16" t="inlineStr">
        <is>
          <t>S3</t>
        </is>
      </c>
      <c r="D1025" s="16" t="inlineStr">
        <is>
          <t>transit_data_general</t>
        </is>
      </c>
      <c r="E1025" s="17" t="inlineStr"/>
      <c r="F1025" s="16" t="inlineStr">
        <is>
          <t>DF25: Support Answer Display</t>
        </is>
      </c>
      <c r="G1025" s="16" t="inlineStr"/>
      <c r="H1025" s="16" t="inlineStr">
        <is>
          <t>THREMOLIA/S3</t>
        </is>
      </c>
    </row>
    <row r="1026" ht="16" customHeight="1">
      <c r="A1026" s="16" t="inlineStr">
        <is>
          <t>THREMOLIA-S3-F117</t>
        </is>
      </c>
      <c r="B1026" s="16" t="inlineStr">
        <is>
          <t>THREMOLIA</t>
        </is>
      </c>
      <c r="C1026" s="16" t="inlineStr">
        <is>
          <t>S3</t>
        </is>
      </c>
      <c r="D1026" s="16" t="inlineStr"/>
      <c r="E1026" s="17" t="inlineStr"/>
      <c r="F1026" s="16" t="inlineStr">
        <is>
          <t>DF25: Support Answer Display</t>
        </is>
      </c>
      <c r="G1026" s="16" t="inlineStr"/>
      <c r="H1026" s="16" t="inlineStr">
        <is>
          <t>THREMOLIA/S3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033"/>
  <sheetViews>
    <sheetView workbookViewId="0">
      <pane ySplit="4" topLeftCell="A5" activePane="bottomLeft" state="frozen"/>
      <selection pane="bottomLeft" activeCell="A1" sqref="A1"/>
    </sheetView>
  </sheetViews>
  <sheetFormatPr baseColWidth="8" defaultRowHeight="15" outlineLevelCol="0"/>
  <cols>
    <col width="20" customWidth="1" min="1" max="1"/>
    <col width="11" customWidth="1" min="2" max="2"/>
    <col width="10" customWidth="1" min="3" max="3"/>
    <col width="16" customWidth="1" min="4" max="4"/>
    <col width="11" customWidth="1" min="5" max="5"/>
    <col width="12" customWidth="1" min="6" max="6"/>
    <col width="16" customWidth="1" min="7" max="7"/>
    <col width="13" customWidth="1" min="8" max="8"/>
    <col width="7" customWidth="1" min="9" max="9"/>
    <col width="12" customWidth="1" min="10" max="10"/>
    <col width="9" customWidth="1" min="11" max="11"/>
    <col width="11" customWidth="1" min="12" max="12"/>
    <col width="16" customWidth="1" min="13" max="13"/>
    <col width="50" customWidth="1" min="14" max="14"/>
    <col width="24" customWidth="1" min="15" max="15"/>
    <col width="46" customWidth="1" min="16" max="16"/>
    <col width="30" customWidth="1" min="17" max="17"/>
    <col width="18" customWidth="1" min="18" max="18"/>
    <col width="16" customWidth="1" min="19" max="19"/>
  </cols>
  <sheetData>
    <row r="1">
      <c r="A1" s="1" t="inlineStr">
        <is>
          <t>Semantic Matching Decisions (1,025 findings)</t>
        </is>
      </c>
    </row>
    <row r="2" ht="16" customHeight="1">
      <c r="A2" s="20" t="inlineStr">
        <is>
          <t>OWASP-S1-F001</t>
        </is>
      </c>
      <c r="B2" s="5" t="inlineStr">
        <is>
          <t>OWASP</t>
        </is>
      </c>
      <c r="C2" s="5" t="inlineStr">
        <is>
          <t>S1</t>
        </is>
      </c>
      <c r="D2" s="21" t="str">
        <f>IFERROR(VLOOKUP($G2,'02_REFERENCE'!$A$2:$S$99,4,FALSE),"N/A")</f>
        <v>N/A</v>
      </c>
      <c r="E2" s="21" t="str">
        <f>IFERROR(VLOOKUP($G2,'02_REFERENCE'!$A$2:$S$99,15,FALSE),"N/A")</f>
        <v>N/A</v>
      </c>
      <c r="F2" s="21" t="str">
        <f>IFERROR(VLOOKUP($G2,'02_REFERENCE'!$A$2:$S$99,17,FALSE),"N/A")</f>
        <v>N/A</v>
      </c>
      <c r="G2" s="21" t="inlineStr"/>
      <c r="H2" s="21" t="inlineStr">
        <is>
          <t>False Positive</t>
        </is>
      </c>
      <c r="I2" s="21" t="inlineStr">
        <is>
          <t>FP</t>
        </is>
      </c>
      <c r="J2" s="21" t="inlineStr">
        <is>
          <t>M</t>
        </is>
      </c>
      <c r="K2" s="21" t="inlineStr">
        <is>
          <t>N</t>
        </is>
      </c>
      <c r="L2" s="21" t="inlineStr">
        <is>
          <t>No</t>
        </is>
      </c>
      <c r="M2" s="21" t="inlineStr"/>
      <c r="N2" s="22" t="inlineStr">
        <is>
          <t>OWASP Automated Threat #9 (CAPTCHA defeat): the drawn architecture contains no CAPTCHA control; threat depends on absent functionality.</t>
        </is>
      </c>
      <c r="O2" s="5" t="inlineStr">
        <is>
          <t>captcha</t>
        </is>
      </c>
      <c r="P2" s="16" t="inlineStr">
        <is>
          <t>CAPTCHA defeat</t>
        </is>
      </c>
      <c r="Q2" s="16" t="inlineStr">
        <is>
          <t>EE1 End User</t>
        </is>
      </c>
      <c r="R2" s="16" t="inlineStr"/>
      <c r="S2" s="5" t="inlineStr">
        <is>
          <t>Confirmed</t>
        </is>
      </c>
    </row>
    <row r="3" ht="16" customHeight="1">
      <c r="A3" s="5" t="inlineStr">
        <is>
          <t>OWASP-S1-F002</t>
        </is>
      </c>
      <c r="B3" s="5" t="inlineStr">
        <is>
          <t>OWASP</t>
        </is>
      </c>
      <c r="C3" s="5" t="inlineStr">
        <is>
          <t>S1</t>
        </is>
      </c>
      <c r="D3" s="21" t="str">
        <f>IFERROR(VLOOKUP($G3,'02_REFERENCE'!$A$2:$S$99,4,FALSE),"N/A")</f>
        <v>Spoofing</v>
      </c>
      <c r="E3" s="21" t="str">
        <f>IFERROR(VLOOKUP($G3,'02_REFERENCE'!$A$2:$S$99,15,FALSE),"N/A")</f>
        <v>High</v>
      </c>
      <c r="F3" s="21" t="str">
        <f>IFERROR(VLOOKUP($G3,'02_REFERENCE'!$A$2:$S$99,17,FALSE),"N/A")</f>
        <v>No</v>
      </c>
      <c r="G3" s="21" t="inlineStr">
        <is>
          <t>S1-RT-002</t>
        </is>
      </c>
      <c r="H3" s="21" t="inlineStr">
        <is>
          <t>Primary TP</t>
        </is>
      </c>
      <c r="I3" s="21" t="inlineStr">
        <is>
          <t>TP</t>
        </is>
      </c>
      <c r="J3" s="21" t="inlineStr">
        <is>
          <t>H</t>
        </is>
      </c>
      <c r="K3" s="21" t="inlineStr">
        <is>
          <t>Y</t>
        </is>
      </c>
      <c r="L3" s="21" t="inlineStr">
        <is>
          <t>No</t>
        </is>
      </c>
      <c r="M3" s="21" t="inlineStr"/>
      <c r="N3" s="22" t="inlineStr">
        <is>
          <t>Mechanism: replayed stolen credentials against login (OWASP Automated Threat #8) -&gt; reference S1-RT-002.</t>
        </is>
      </c>
      <c r="O3" s="5" t="inlineStr">
        <is>
          <t>credential_stuffing</t>
        </is>
      </c>
      <c r="P3" s="16" t="inlineStr">
        <is>
          <t>Credential stuffing</t>
        </is>
      </c>
      <c r="Q3" s="16" t="inlineStr">
        <is>
          <t>EE1 End User</t>
        </is>
      </c>
      <c r="R3" s="16" t="inlineStr"/>
      <c r="S3" s="5" t="inlineStr">
        <is>
          <t>Confirmed</t>
        </is>
      </c>
    </row>
    <row r="4" ht="16" customHeight="1">
      <c r="A4" s="4" t="inlineStr">
        <is>
          <t>OWASP-S1-F003</t>
        </is>
      </c>
      <c r="B4" s="4" t="inlineStr">
        <is>
          <t>OWASP</t>
        </is>
      </c>
      <c r="C4" s="4" t="inlineStr">
        <is>
          <t>S1</t>
        </is>
      </c>
      <c r="D4" s="23" t="str">
        <f>IFERROR(VLOOKUP($G4,'02_REFERENCE'!$A$2:$S$99,4,FALSE),"N/A")</f>
        <v>N/A</v>
      </c>
      <c r="E4" s="23" t="str">
        <f>IFERROR(VLOOKUP($G4,'02_REFERENCE'!$A$2:$S$99,15,FALSE),"N/A")</f>
        <v>N/A</v>
      </c>
      <c r="F4" s="23" t="str">
        <f>IFERROR(VLOOKUP($G4,'02_REFERENCE'!$A$2:$S$99,17,FALSE),"N/A")</f>
        <v>N/A</v>
      </c>
      <c r="G4" s="23" t="inlineStr"/>
      <c r="H4" s="23" t="inlineStr">
        <is>
          <t>False Positive</t>
        </is>
      </c>
      <c r="I4" s="23" t="inlineStr">
        <is>
          <t>FP</t>
        </is>
      </c>
      <c r="J4" s="23" t="inlineStr">
        <is>
          <t>M</t>
        </is>
      </c>
      <c r="K4" s="23" t="inlineStr">
        <is>
          <t>N</t>
        </is>
      </c>
      <c r="L4" s="23" t="inlineStr">
        <is>
          <t>No</t>
        </is>
      </c>
      <c r="M4" s="23" t="inlineStr"/>
      <c r="N4" s="24" t="inlineStr">
        <is>
          <t>Generic least-privilege hardening template (horizontal/lateral EoP after compromise); no reference threat specifies this mechanism for this element.</t>
        </is>
      </c>
      <c r="O4" s="4" t="inlineStr">
        <is>
          <t>excessive_db_scope</t>
        </is>
      </c>
      <c r="P4" s="18" t="inlineStr">
        <is>
          <t>Least privilege</t>
        </is>
      </c>
      <c r="Q4" s="18" t="inlineStr">
        <is>
          <t>P1 Web Frontend Interface</t>
        </is>
      </c>
      <c r="R4" s="18" t="inlineStr"/>
      <c r="S4" s="4" t="inlineStr">
        <is>
          <t>Confirmed</t>
        </is>
      </c>
    </row>
    <row r="5" ht="16" customHeight="1">
      <c r="A5" s="5" t="inlineStr">
        <is>
          <t>OWASP-S1-F004</t>
        </is>
      </c>
      <c r="B5" s="5" t="inlineStr">
        <is>
          <t>OWASP</t>
        </is>
      </c>
      <c r="C5" s="5" t="inlineStr">
        <is>
          <t>S1</t>
        </is>
      </c>
      <c r="D5" s="21" t="str">
        <f>IFERROR(VLOOKUP($G5,'02_REFERENCE'!$A$2:$S$99,4,FALSE),"N/A")</f>
        <v>N/A</v>
      </c>
      <c r="E5" s="21" t="str">
        <f>IFERROR(VLOOKUP($G5,'02_REFERENCE'!$A$2:$S$99,15,FALSE),"N/A")</f>
        <v>N/A</v>
      </c>
      <c r="F5" s="21" t="str">
        <f>IFERROR(VLOOKUP($G5,'02_REFERENCE'!$A$2:$S$99,17,FALSE),"N/A")</f>
        <v>N/A</v>
      </c>
      <c r="G5" s="21" t="inlineStr"/>
      <c r="H5" s="21" t="inlineStr">
        <is>
          <t>False Positive</t>
        </is>
      </c>
      <c r="I5" s="21" t="inlineStr">
        <is>
          <t>FP</t>
        </is>
      </c>
      <c r="J5" s="21" t="inlineStr">
        <is>
          <t>M</t>
        </is>
      </c>
      <c r="K5" s="21" t="inlineStr">
        <is>
          <t>N</t>
        </is>
      </c>
      <c r="L5" s="21" t="inlineStr">
        <is>
          <t>No</t>
        </is>
      </c>
      <c r="M5" s="21" t="inlineStr"/>
      <c r="N5" s="22" t="inlineStr">
        <is>
          <t>Expedition (OWASP Automated Threat #6): generic automation/abuse-agility template; no single reference mechanism matches (brute force / stuffing are distinct specialist mechanisms).</t>
        </is>
      </c>
      <c r="O5" s="5" t="inlineStr">
        <is>
          <t>expedition</t>
        </is>
      </c>
      <c r="P5" s="16" t="inlineStr">
        <is>
          <t>Expedition</t>
        </is>
      </c>
      <c r="Q5" s="16" t="inlineStr">
        <is>
          <t>P1 Web Frontend Interface</t>
        </is>
      </c>
      <c r="R5" s="16" t="inlineStr"/>
      <c r="S5" s="5" t="inlineStr">
        <is>
          <t>Confirmed</t>
        </is>
      </c>
    </row>
    <row r="6" ht="16" customHeight="1">
      <c r="A6" s="5" t="inlineStr">
        <is>
          <t>OWASP-S1-F005</t>
        </is>
      </c>
      <c r="B6" s="5" t="inlineStr">
        <is>
          <t>OWASP</t>
        </is>
      </c>
      <c r="C6" s="5" t="inlineStr">
        <is>
          <t>S1</t>
        </is>
      </c>
      <c r="D6" s="21" t="str">
        <f>IFERROR(VLOOKUP($G6,'02_REFERENCE'!$A$2:$S$99,4,FALSE),"N/A")</f>
        <v>N/A</v>
      </c>
      <c r="E6" s="21" t="str">
        <f>IFERROR(VLOOKUP($G6,'02_REFERENCE'!$A$2:$S$99,15,FALSE),"N/A")</f>
        <v>N/A</v>
      </c>
      <c r="F6" s="21" t="str">
        <f>IFERROR(VLOOKUP($G6,'02_REFERENCE'!$A$2:$S$99,17,FALSE),"N/A")</f>
        <v>N/A</v>
      </c>
      <c r="G6" s="21" t="inlineStr"/>
      <c r="H6" s="21" t="inlineStr">
        <is>
          <t>False Positive</t>
        </is>
      </c>
      <c r="I6" s="21" t="inlineStr">
        <is>
          <t>FP</t>
        </is>
      </c>
      <c r="J6" s="21" t="inlineStr">
        <is>
          <t>M</t>
        </is>
      </c>
      <c r="K6" s="21" t="inlineStr">
        <is>
          <t>N</t>
        </is>
      </c>
      <c r="L6" s="21" t="inlineStr">
        <is>
          <t>No</t>
        </is>
      </c>
      <c r="M6" s="21" t="inlineStr"/>
      <c r="N6" s="22" t="inlineStr">
        <is>
          <t>Vulnerability scanning (OWASP Automated Threat #14): reconnaissance; not a security-failure mechanism present in the baseline.</t>
        </is>
      </c>
      <c r="O6" s="5" t="inlineStr">
        <is>
          <t>recon</t>
        </is>
      </c>
      <c r="P6" s="16" t="inlineStr">
        <is>
          <t>Vulnerability scanning</t>
        </is>
      </c>
      <c r="Q6" s="16" t="inlineStr">
        <is>
          <t>P1 Web Frontend Interface</t>
        </is>
      </c>
      <c r="R6" s="16" t="inlineStr"/>
      <c r="S6" s="5" t="inlineStr">
        <is>
          <t>Confirmed</t>
        </is>
      </c>
    </row>
    <row r="7" ht="16" customHeight="1">
      <c r="A7" s="5" t="inlineStr">
        <is>
          <t>OWASP-S1-F006</t>
        </is>
      </c>
      <c r="B7" s="5" t="inlineStr">
        <is>
          <t>OWASP</t>
        </is>
      </c>
      <c r="C7" s="5" t="inlineStr">
        <is>
          <t>S1</t>
        </is>
      </c>
      <c r="D7" s="21" t="str">
        <f>IFERROR(VLOOKUP($G7,'02_REFERENCE'!$A$2:$S$99,4,FALSE),"N/A")</f>
        <v>Denial of Service</v>
      </c>
      <c r="E7" s="21" t="str">
        <f>IFERROR(VLOOKUP($G7,'02_REFERENCE'!$A$2:$S$99,15,FALSE),"N/A")</f>
        <v>Medium</v>
      </c>
      <c r="F7" s="21" t="str">
        <f>IFERROR(VLOOKUP($G7,'02_REFERENCE'!$A$2:$S$99,17,FALSE),"N/A")</f>
        <v>No</v>
      </c>
      <c r="G7" s="21" t="inlineStr">
        <is>
          <t>S1-RT-028</t>
        </is>
      </c>
      <c r="H7" s="21" t="inlineStr">
        <is>
          <t>Primary TP</t>
        </is>
      </c>
      <c r="I7" s="21" t="inlineStr">
        <is>
          <t>TP</t>
        </is>
      </c>
      <c r="J7" s="21" t="inlineStr">
        <is>
          <t>M</t>
        </is>
      </c>
      <c r="K7" s="21" t="inlineStr">
        <is>
          <t>Y</t>
        </is>
      </c>
      <c r="L7" s="21" t="inlineStr">
        <is>
          <t>No</t>
        </is>
      </c>
      <c r="M7" s="21" t="inlineStr"/>
      <c r="N7" s="22" t="inlineStr">
        <is>
          <t>Resource-exhaustion template on the primary service path -&gt; reference S1-RT-028.</t>
        </is>
      </c>
      <c r="O7" s="5" t="inlineStr">
        <is>
          <t>dos_service</t>
        </is>
      </c>
      <c r="P7" s="16" t="inlineStr">
        <is>
          <t>Denial of Service</t>
        </is>
      </c>
      <c r="Q7" s="16" t="inlineStr">
        <is>
          <t>P1 Web Frontend Interface</t>
        </is>
      </c>
      <c r="R7" s="16" t="inlineStr"/>
      <c r="S7" s="5" t="inlineStr">
        <is>
          <t>Confirmed</t>
        </is>
      </c>
    </row>
    <row r="8" ht="16" customHeight="1">
      <c r="A8" s="5" t="inlineStr">
        <is>
          <t>OWASP-S1-F007</t>
        </is>
      </c>
      <c r="B8" s="5" t="inlineStr">
        <is>
          <t>OWASP</t>
        </is>
      </c>
      <c r="C8" s="5" t="inlineStr">
        <is>
          <t>S1</t>
        </is>
      </c>
      <c r="D8" s="21" t="str">
        <f>IFERROR(VLOOKUP($G8,'02_REFERENCE'!$A$2:$S$99,4,FALSE),"N/A")</f>
        <v>N/A</v>
      </c>
      <c r="E8" s="21" t="str">
        <f>IFERROR(VLOOKUP($G8,'02_REFERENCE'!$A$2:$S$99,15,FALSE),"N/A")</f>
        <v>N/A</v>
      </c>
      <c r="F8" s="21" t="str">
        <f>IFERROR(VLOOKUP($G8,'02_REFERENCE'!$A$2:$S$99,17,FALSE),"N/A")</f>
        <v>N/A</v>
      </c>
      <c r="G8" s="21" t="inlineStr"/>
      <c r="H8" s="21" t="inlineStr">
        <is>
          <t>False Positive</t>
        </is>
      </c>
      <c r="I8" s="21" t="inlineStr">
        <is>
          <t>FP</t>
        </is>
      </c>
      <c r="J8" s="21" t="inlineStr">
        <is>
          <t>M</t>
        </is>
      </c>
      <c r="K8" s="21" t="inlineStr">
        <is>
          <t>N</t>
        </is>
      </c>
      <c r="L8" s="21" t="inlineStr">
        <is>
          <t>No</t>
        </is>
      </c>
      <c r="M8" s="21" t="inlineStr"/>
      <c r="N8" s="22" t="inlineStr">
        <is>
          <t>Footprinting/Fingerprinting (OWASP Automated Threat #18/#4): reconnaissance; no reference mechanism.</t>
        </is>
      </c>
      <c r="O8" s="5" t="inlineStr">
        <is>
          <t>recon</t>
        </is>
      </c>
      <c r="P8" s="16" t="inlineStr">
        <is>
          <t>Footprinting</t>
        </is>
      </c>
      <c r="Q8" s="16" t="inlineStr">
        <is>
          <t>P1 Web Frontend Interface</t>
        </is>
      </c>
      <c r="R8" s="16" t="inlineStr"/>
      <c r="S8" s="5" t="inlineStr">
        <is>
          <t>Confirmed</t>
        </is>
      </c>
    </row>
    <row r="9" ht="16" customHeight="1">
      <c r="A9" s="5" t="inlineStr">
        <is>
          <t>OWASP-S1-F008</t>
        </is>
      </c>
      <c r="B9" s="5" t="inlineStr">
        <is>
          <t>OWASP</t>
        </is>
      </c>
      <c r="C9" s="5" t="inlineStr">
        <is>
          <t>S1</t>
        </is>
      </c>
      <c r="D9" s="21" t="str">
        <f>IFERROR(VLOOKUP($G9,'02_REFERENCE'!$A$2:$S$99,4,FALSE),"N/A")</f>
        <v>N/A</v>
      </c>
      <c r="E9" s="21" t="str">
        <f>IFERROR(VLOOKUP($G9,'02_REFERENCE'!$A$2:$S$99,15,FALSE),"N/A")</f>
        <v>N/A</v>
      </c>
      <c r="F9" s="21" t="str">
        <f>IFERROR(VLOOKUP($G9,'02_REFERENCE'!$A$2:$S$99,17,FALSE),"N/A")</f>
        <v>N/A</v>
      </c>
      <c r="G9" s="21" t="inlineStr"/>
      <c r="H9" s="21" t="inlineStr">
        <is>
          <t>False Positive</t>
        </is>
      </c>
      <c r="I9" s="21" t="inlineStr">
        <is>
          <t>FP</t>
        </is>
      </c>
      <c r="J9" s="21" t="inlineStr">
        <is>
          <t>M</t>
        </is>
      </c>
      <c r="K9" s="21" t="inlineStr">
        <is>
          <t>N</t>
        </is>
      </c>
      <c r="L9" s="21" t="inlineStr">
        <is>
          <t>No</t>
        </is>
      </c>
      <c r="M9" s="21" t="inlineStr"/>
      <c r="N9" s="22" t="inlineStr">
        <is>
          <t>Generic least-privilege hardening template (horizontal/lateral EoP after compromise); no reference threat specifies this mechanism for this element.</t>
        </is>
      </c>
      <c r="O9" s="5" t="inlineStr">
        <is>
          <t>excessive_db_scope</t>
        </is>
      </c>
      <c r="P9" s="16" t="inlineStr">
        <is>
          <t>Least privilege</t>
        </is>
      </c>
      <c r="Q9" s="16" t="inlineStr">
        <is>
          <t>P2 Authentication Service</t>
        </is>
      </c>
      <c r="R9" s="16" t="inlineStr"/>
      <c r="S9" s="5" t="inlineStr">
        <is>
          <t>Confirmed</t>
        </is>
      </c>
    </row>
    <row r="10" ht="16" customHeight="1">
      <c r="A10" s="5" t="inlineStr">
        <is>
          <t>OWASP-S1-F009</t>
        </is>
      </c>
      <c r="B10" s="5" t="inlineStr">
        <is>
          <t>OWASP</t>
        </is>
      </c>
      <c r="C10" s="5" t="inlineStr">
        <is>
          <t>S1</t>
        </is>
      </c>
      <c r="D10" s="21" t="str">
        <f>IFERROR(VLOOKUP($G10,'02_REFERENCE'!$A$2:$S$99,4,FALSE),"N/A")</f>
        <v>N/A</v>
      </c>
      <c r="E10" s="21" t="str">
        <f>IFERROR(VLOOKUP($G10,'02_REFERENCE'!$A$2:$S$99,15,FALSE),"N/A")</f>
        <v>N/A</v>
      </c>
      <c r="F10" s="21" t="str">
        <f>IFERROR(VLOOKUP($G10,'02_REFERENCE'!$A$2:$S$99,17,FALSE),"N/A")</f>
        <v>N/A</v>
      </c>
      <c r="G10" s="21" t="inlineStr"/>
      <c r="H10" s="21" t="inlineStr">
        <is>
          <t>False Positive</t>
        </is>
      </c>
      <c r="I10" s="21" t="inlineStr">
        <is>
          <t>FP</t>
        </is>
      </c>
      <c r="J10" s="21" t="inlineStr">
        <is>
          <t>M</t>
        </is>
      </c>
      <c r="K10" s="21" t="inlineStr">
        <is>
          <t>N</t>
        </is>
      </c>
      <c r="L10" s="21" t="inlineStr">
        <is>
          <t>No</t>
        </is>
      </c>
      <c r="M10" s="21" t="inlineStr"/>
      <c r="N10" s="22" t="inlineStr">
        <is>
          <t>Expedition (OWASP Automated Threat #6): generic automation/abuse-agility template; no single reference mechanism matches (brute force / stuffing are distinct specialist mechanisms).</t>
        </is>
      </c>
      <c r="O10" s="5" t="inlineStr">
        <is>
          <t>expedition</t>
        </is>
      </c>
      <c r="P10" s="16" t="inlineStr">
        <is>
          <t>Expedition</t>
        </is>
      </c>
      <c r="Q10" s="16" t="inlineStr">
        <is>
          <t>P2 Authentication Service</t>
        </is>
      </c>
      <c r="R10" s="16" t="inlineStr"/>
      <c r="S10" s="5" t="inlineStr">
        <is>
          <t>Confirmed</t>
        </is>
      </c>
    </row>
    <row r="11" ht="16" customHeight="1">
      <c r="A11" s="5" t="inlineStr">
        <is>
          <t>OWASP-S1-F010</t>
        </is>
      </c>
      <c r="B11" s="5" t="inlineStr">
        <is>
          <t>OWASP</t>
        </is>
      </c>
      <c r="C11" s="5" t="inlineStr">
        <is>
          <t>S1</t>
        </is>
      </c>
      <c r="D11" s="21" t="str">
        <f>IFERROR(VLOOKUP($G11,'02_REFERENCE'!$A$2:$S$99,4,FALSE),"N/A")</f>
        <v>N/A</v>
      </c>
      <c r="E11" s="21" t="str">
        <f>IFERROR(VLOOKUP($G11,'02_REFERENCE'!$A$2:$S$99,15,FALSE),"N/A")</f>
        <v>N/A</v>
      </c>
      <c r="F11" s="21" t="str">
        <f>IFERROR(VLOOKUP($G11,'02_REFERENCE'!$A$2:$S$99,17,FALSE),"N/A")</f>
        <v>N/A</v>
      </c>
      <c r="G11" s="21" t="inlineStr"/>
      <c r="H11" s="21" t="inlineStr">
        <is>
          <t>False Positive</t>
        </is>
      </c>
      <c r="I11" s="21" t="inlineStr">
        <is>
          <t>FP</t>
        </is>
      </c>
      <c r="J11" s="21" t="inlineStr">
        <is>
          <t>M</t>
        </is>
      </c>
      <c r="K11" s="21" t="inlineStr">
        <is>
          <t>N</t>
        </is>
      </c>
      <c r="L11" s="21" t="inlineStr">
        <is>
          <t>No</t>
        </is>
      </c>
      <c r="M11" s="21" t="inlineStr"/>
      <c r="N11" s="22" t="inlineStr">
        <is>
          <t>Vulnerability scanning (OWASP Automated Threat #14): reconnaissance; not a security-failure mechanism present in the baseline.</t>
        </is>
      </c>
      <c r="O11" s="5" t="inlineStr">
        <is>
          <t>recon</t>
        </is>
      </c>
      <c r="P11" s="16" t="inlineStr">
        <is>
          <t>Vulnerability scanning</t>
        </is>
      </c>
      <c r="Q11" s="16" t="inlineStr">
        <is>
          <t>P2 Authentication Service</t>
        </is>
      </c>
      <c r="R11" s="16" t="inlineStr"/>
      <c r="S11" s="5" t="inlineStr">
        <is>
          <t>Confirmed</t>
        </is>
      </c>
    </row>
    <row r="12" ht="16" customHeight="1">
      <c r="A12" s="5" t="inlineStr">
        <is>
          <t>OWASP-S1-F011</t>
        </is>
      </c>
      <c r="B12" s="5" t="inlineStr">
        <is>
          <t>OWASP</t>
        </is>
      </c>
      <c r="C12" s="5" t="inlineStr">
        <is>
          <t>S1</t>
        </is>
      </c>
      <c r="D12" s="21" t="str">
        <f>IFERROR(VLOOKUP($G12,'02_REFERENCE'!$A$2:$S$99,4,FALSE),"N/A")</f>
        <v>Denial of Service</v>
      </c>
      <c r="E12" s="21" t="str">
        <f>IFERROR(VLOOKUP($G12,'02_REFERENCE'!$A$2:$S$99,15,FALSE),"N/A")</f>
        <v>Medium</v>
      </c>
      <c r="F12" s="21" t="str">
        <f>IFERROR(VLOOKUP($G12,'02_REFERENCE'!$A$2:$S$99,17,FALSE),"N/A")</f>
        <v>No</v>
      </c>
      <c r="G12" s="21" t="inlineStr">
        <is>
          <t>S1-RT-028</t>
        </is>
      </c>
      <c r="H12" s="21" t="inlineStr">
        <is>
          <t>Duplicate</t>
        </is>
      </c>
      <c r="I12" s="21" t="inlineStr">
        <is>
          <t>TP</t>
        </is>
      </c>
      <c r="J12" s="21" t="inlineStr">
        <is>
          <t>M</t>
        </is>
      </c>
      <c r="K12" s="21" t="inlineStr">
        <is>
          <t>N</t>
        </is>
      </c>
      <c r="L12" s="21" t="inlineStr">
        <is>
          <t>Yes</t>
        </is>
      </c>
      <c r="M12" s="21" t="inlineStr">
        <is>
          <t>OWASP-S1-F006</t>
        </is>
      </c>
      <c r="N12" s="22" t="inlineStr">
        <is>
          <t>Resource-exhaustion template on the primary service path -&gt; reference S1-RT-028. [Equivalence: restates OWASP-S1-F006 — one-to-one rule applied.]</t>
        </is>
      </c>
      <c r="O12" s="5" t="inlineStr">
        <is>
          <t>dos_service</t>
        </is>
      </c>
      <c r="P12" s="16" t="inlineStr">
        <is>
          <t>Denial of Service</t>
        </is>
      </c>
      <c r="Q12" s="16" t="inlineStr">
        <is>
          <t>P2 Authentication Service</t>
        </is>
      </c>
      <c r="R12" s="16" t="inlineStr"/>
      <c r="S12" s="5" t="inlineStr">
        <is>
          <t>Confirmed</t>
        </is>
      </c>
    </row>
    <row r="13" ht="16" customHeight="1">
      <c r="A13" s="5" t="inlineStr">
        <is>
          <t>OWASP-S1-F012</t>
        </is>
      </c>
      <c r="B13" s="5" t="inlineStr">
        <is>
          <t>OWASP</t>
        </is>
      </c>
      <c r="C13" s="5" t="inlineStr">
        <is>
          <t>S1</t>
        </is>
      </c>
      <c r="D13" s="21" t="str">
        <f>IFERROR(VLOOKUP($G13,'02_REFERENCE'!$A$2:$S$99,4,FALSE),"N/A")</f>
        <v>N/A</v>
      </c>
      <c r="E13" s="21" t="str">
        <f>IFERROR(VLOOKUP($G13,'02_REFERENCE'!$A$2:$S$99,15,FALSE),"N/A")</f>
        <v>N/A</v>
      </c>
      <c r="F13" s="21" t="str">
        <f>IFERROR(VLOOKUP($G13,'02_REFERENCE'!$A$2:$S$99,17,FALSE),"N/A")</f>
        <v>N/A</v>
      </c>
      <c r="G13" s="21" t="inlineStr"/>
      <c r="H13" s="21" t="inlineStr">
        <is>
          <t>False Positive</t>
        </is>
      </c>
      <c r="I13" s="21" t="inlineStr">
        <is>
          <t>FP</t>
        </is>
      </c>
      <c r="J13" s="21" t="inlineStr">
        <is>
          <t>M</t>
        </is>
      </c>
      <c r="K13" s="21" t="inlineStr">
        <is>
          <t>N</t>
        </is>
      </c>
      <c r="L13" s="21" t="inlineStr">
        <is>
          <t>No</t>
        </is>
      </c>
      <c r="M13" s="21" t="inlineStr"/>
      <c r="N13" s="22" t="inlineStr">
        <is>
          <t>Footprinting/Fingerprinting (OWASP Automated Threat #18/#4): reconnaissance; no reference mechanism.</t>
        </is>
      </c>
      <c r="O13" s="5" t="inlineStr">
        <is>
          <t>recon</t>
        </is>
      </c>
      <c r="P13" s="16" t="inlineStr">
        <is>
          <t>Footprinting</t>
        </is>
      </c>
      <c r="Q13" s="16" t="inlineStr">
        <is>
          <t>P2 Authentication Service</t>
        </is>
      </c>
      <c r="R13" s="16" t="inlineStr"/>
      <c r="S13" s="5" t="inlineStr">
        <is>
          <t>Confirmed</t>
        </is>
      </c>
    </row>
    <row r="14" ht="16" customHeight="1">
      <c r="A14" s="5" t="inlineStr">
        <is>
          <t>OWASP-S1-F013</t>
        </is>
      </c>
      <c r="B14" s="5" t="inlineStr">
        <is>
          <t>OWASP</t>
        </is>
      </c>
      <c r="C14" s="5" t="inlineStr">
        <is>
          <t>S1</t>
        </is>
      </c>
      <c r="D14" s="21" t="str">
        <f>IFERROR(VLOOKUP($G14,'02_REFERENCE'!$A$2:$S$99,4,FALSE),"N/A")</f>
        <v>N/A</v>
      </c>
      <c r="E14" s="21" t="str">
        <f>IFERROR(VLOOKUP($G14,'02_REFERENCE'!$A$2:$S$99,15,FALSE),"N/A")</f>
        <v>N/A</v>
      </c>
      <c r="F14" s="21" t="str">
        <f>IFERROR(VLOOKUP($G14,'02_REFERENCE'!$A$2:$S$99,17,FALSE),"N/A")</f>
        <v>N/A</v>
      </c>
      <c r="G14" s="21" t="inlineStr"/>
      <c r="H14" s="21" t="inlineStr">
        <is>
          <t>False Positive</t>
        </is>
      </c>
      <c r="I14" s="21" t="inlineStr">
        <is>
          <t>FP</t>
        </is>
      </c>
      <c r="J14" s="21" t="inlineStr">
        <is>
          <t>M</t>
        </is>
      </c>
      <c r="K14" s="21" t="inlineStr">
        <is>
          <t>N</t>
        </is>
      </c>
      <c r="L14" s="21" t="inlineStr">
        <is>
          <t>No</t>
        </is>
      </c>
      <c r="M14" s="21" t="inlineStr"/>
      <c r="N14" s="22" t="inlineStr">
        <is>
          <t>Generic least-privilege hardening template (horizontal/lateral EoP after compromise); no reference threat specifies this mechanism for this element.</t>
        </is>
      </c>
      <c r="O14" s="5" t="inlineStr">
        <is>
          <t>excessive_db_scope</t>
        </is>
      </c>
      <c r="P14" s="16" t="inlineStr">
        <is>
          <t>Least privilege</t>
        </is>
      </c>
      <c r="Q14" s="16" t="inlineStr">
        <is>
          <t>P3 Session Management Module</t>
        </is>
      </c>
      <c r="R14" s="16" t="inlineStr"/>
      <c r="S14" s="5" t="inlineStr">
        <is>
          <t>Confirmed</t>
        </is>
      </c>
    </row>
    <row r="15" ht="16" customHeight="1">
      <c r="A15" s="5" t="inlineStr">
        <is>
          <t>OWASP-S1-F014</t>
        </is>
      </c>
      <c r="B15" s="5" t="inlineStr">
        <is>
          <t>OWASP</t>
        </is>
      </c>
      <c r="C15" s="5" t="inlineStr">
        <is>
          <t>S1</t>
        </is>
      </c>
      <c r="D15" s="21" t="str">
        <f>IFERROR(VLOOKUP($G15,'02_REFERENCE'!$A$2:$S$99,4,FALSE),"N/A")</f>
        <v>N/A</v>
      </c>
      <c r="E15" s="21" t="str">
        <f>IFERROR(VLOOKUP($G15,'02_REFERENCE'!$A$2:$S$99,15,FALSE),"N/A")</f>
        <v>N/A</v>
      </c>
      <c r="F15" s="21" t="str">
        <f>IFERROR(VLOOKUP($G15,'02_REFERENCE'!$A$2:$S$99,17,FALSE),"N/A")</f>
        <v>N/A</v>
      </c>
      <c r="G15" s="21" t="inlineStr"/>
      <c r="H15" s="21" t="inlineStr">
        <is>
          <t>False Positive</t>
        </is>
      </c>
      <c r="I15" s="21" t="inlineStr">
        <is>
          <t>FP</t>
        </is>
      </c>
      <c r="J15" s="21" t="inlineStr">
        <is>
          <t>M</t>
        </is>
      </c>
      <c r="K15" s="21" t="inlineStr">
        <is>
          <t>N</t>
        </is>
      </c>
      <c r="L15" s="21" t="inlineStr">
        <is>
          <t>No</t>
        </is>
      </c>
      <c r="M15" s="21" t="inlineStr"/>
      <c r="N15" s="22" t="inlineStr">
        <is>
          <t>Expedition (OWASP Automated Threat #6): generic automation/abuse-agility template; no single reference mechanism matches (brute force / stuffing are distinct specialist mechanisms).</t>
        </is>
      </c>
      <c r="O15" s="5" t="inlineStr">
        <is>
          <t>expedition</t>
        </is>
      </c>
      <c r="P15" s="16" t="inlineStr">
        <is>
          <t>Expedition</t>
        </is>
      </c>
      <c r="Q15" s="16" t="inlineStr">
        <is>
          <t>P3 Session Management Module</t>
        </is>
      </c>
      <c r="R15" s="16" t="inlineStr"/>
      <c r="S15" s="5" t="inlineStr">
        <is>
          <t>Confirmed</t>
        </is>
      </c>
    </row>
    <row r="16" ht="16" customHeight="1">
      <c r="A16" s="5" t="inlineStr">
        <is>
          <t>OWASP-S1-F015</t>
        </is>
      </c>
      <c r="B16" s="5" t="inlineStr">
        <is>
          <t>OWASP</t>
        </is>
      </c>
      <c r="C16" s="5" t="inlineStr">
        <is>
          <t>S1</t>
        </is>
      </c>
      <c r="D16" s="21" t="str">
        <f>IFERROR(VLOOKUP($G16,'02_REFERENCE'!$A$2:$S$99,4,FALSE),"N/A")</f>
        <v>N/A</v>
      </c>
      <c r="E16" s="21" t="str">
        <f>IFERROR(VLOOKUP($G16,'02_REFERENCE'!$A$2:$S$99,15,FALSE),"N/A")</f>
        <v>N/A</v>
      </c>
      <c r="F16" s="21" t="str">
        <f>IFERROR(VLOOKUP($G16,'02_REFERENCE'!$A$2:$S$99,17,FALSE),"N/A")</f>
        <v>N/A</v>
      </c>
      <c r="G16" s="21" t="inlineStr"/>
      <c r="H16" s="21" t="inlineStr">
        <is>
          <t>False Positive</t>
        </is>
      </c>
      <c r="I16" s="21" t="inlineStr">
        <is>
          <t>FP</t>
        </is>
      </c>
      <c r="J16" s="21" t="inlineStr">
        <is>
          <t>M</t>
        </is>
      </c>
      <c r="K16" s="21" t="inlineStr">
        <is>
          <t>N</t>
        </is>
      </c>
      <c r="L16" s="21" t="inlineStr">
        <is>
          <t>No</t>
        </is>
      </c>
      <c r="M16" s="21" t="inlineStr"/>
      <c r="N16" s="22" t="inlineStr">
        <is>
          <t>Vulnerability scanning (OWASP Automated Threat #14): reconnaissance; not a security-failure mechanism present in the baseline.</t>
        </is>
      </c>
      <c r="O16" s="5" t="inlineStr">
        <is>
          <t>recon</t>
        </is>
      </c>
      <c r="P16" s="16" t="inlineStr">
        <is>
          <t>Vulnerability scanning</t>
        </is>
      </c>
      <c r="Q16" s="16" t="inlineStr">
        <is>
          <t>P3 Session Management Module</t>
        </is>
      </c>
      <c r="R16" s="16" t="inlineStr"/>
      <c r="S16" s="5" t="inlineStr">
        <is>
          <t>Confirmed</t>
        </is>
      </c>
    </row>
    <row r="17" ht="16" customHeight="1">
      <c r="A17" s="5" t="inlineStr">
        <is>
          <t>OWASP-S1-F016</t>
        </is>
      </c>
      <c r="B17" s="5" t="inlineStr">
        <is>
          <t>OWASP</t>
        </is>
      </c>
      <c r="C17" s="5" t="inlineStr">
        <is>
          <t>S1</t>
        </is>
      </c>
      <c r="D17" s="21" t="str">
        <f>IFERROR(VLOOKUP($G17,'02_REFERENCE'!$A$2:$S$99,4,FALSE),"N/A")</f>
        <v>Denial of Service</v>
      </c>
      <c r="E17" s="21" t="str">
        <f>IFERROR(VLOOKUP($G17,'02_REFERENCE'!$A$2:$S$99,15,FALSE),"N/A")</f>
        <v>Medium</v>
      </c>
      <c r="F17" s="21" t="str">
        <f>IFERROR(VLOOKUP($G17,'02_REFERENCE'!$A$2:$S$99,17,FALSE),"N/A")</f>
        <v>No</v>
      </c>
      <c r="G17" s="21" t="inlineStr">
        <is>
          <t>S1-RT-028</t>
        </is>
      </c>
      <c r="H17" s="21" t="inlineStr">
        <is>
          <t>Duplicate</t>
        </is>
      </c>
      <c r="I17" s="21" t="inlineStr">
        <is>
          <t>TP</t>
        </is>
      </c>
      <c r="J17" s="21" t="inlineStr">
        <is>
          <t>M</t>
        </is>
      </c>
      <c r="K17" s="21" t="inlineStr">
        <is>
          <t>N</t>
        </is>
      </c>
      <c r="L17" s="21" t="inlineStr">
        <is>
          <t>Yes</t>
        </is>
      </c>
      <c r="M17" s="21" t="inlineStr">
        <is>
          <t>OWASP-S1-F006</t>
        </is>
      </c>
      <c r="N17" s="22" t="inlineStr">
        <is>
          <t>Resource-exhaustion template on the primary service path -&gt; reference S1-RT-028. [Equivalence: restates OWASP-S1-F006 — one-to-one rule applied.]</t>
        </is>
      </c>
      <c r="O17" s="5" t="inlineStr">
        <is>
          <t>dos_service</t>
        </is>
      </c>
      <c r="P17" s="16" t="inlineStr">
        <is>
          <t>Denial of Service</t>
        </is>
      </c>
      <c r="Q17" s="16" t="inlineStr">
        <is>
          <t>P3 Session Management Module</t>
        </is>
      </c>
      <c r="R17" s="16" t="inlineStr"/>
      <c r="S17" s="5" t="inlineStr">
        <is>
          <t>Confirmed</t>
        </is>
      </c>
    </row>
    <row r="18" ht="16" customHeight="1">
      <c r="A18" s="5" t="inlineStr">
        <is>
          <t>OWASP-S1-F017</t>
        </is>
      </c>
      <c r="B18" s="5" t="inlineStr">
        <is>
          <t>OWASP</t>
        </is>
      </c>
      <c r="C18" s="5" t="inlineStr">
        <is>
          <t>S1</t>
        </is>
      </c>
      <c r="D18" s="21" t="str">
        <f>IFERROR(VLOOKUP($G18,'02_REFERENCE'!$A$2:$S$99,4,FALSE),"N/A")</f>
        <v>N/A</v>
      </c>
      <c r="E18" s="21" t="str">
        <f>IFERROR(VLOOKUP($G18,'02_REFERENCE'!$A$2:$S$99,15,FALSE),"N/A")</f>
        <v>N/A</v>
      </c>
      <c r="F18" s="21" t="str">
        <f>IFERROR(VLOOKUP($G18,'02_REFERENCE'!$A$2:$S$99,17,FALSE),"N/A")</f>
        <v>N/A</v>
      </c>
      <c r="G18" s="21" t="inlineStr"/>
      <c r="H18" s="21" t="inlineStr">
        <is>
          <t>False Positive</t>
        </is>
      </c>
      <c r="I18" s="21" t="inlineStr">
        <is>
          <t>FP</t>
        </is>
      </c>
      <c r="J18" s="21" t="inlineStr">
        <is>
          <t>M</t>
        </is>
      </c>
      <c r="K18" s="21" t="inlineStr">
        <is>
          <t>N</t>
        </is>
      </c>
      <c r="L18" s="21" t="inlineStr">
        <is>
          <t>No</t>
        </is>
      </c>
      <c r="M18" s="21" t="inlineStr"/>
      <c r="N18" s="22" t="inlineStr">
        <is>
          <t>Footprinting/Fingerprinting (OWASP Automated Threat #18/#4): reconnaissance; no reference mechanism.</t>
        </is>
      </c>
      <c r="O18" s="5" t="inlineStr">
        <is>
          <t>recon</t>
        </is>
      </c>
      <c r="P18" s="16" t="inlineStr">
        <is>
          <t>Footprinting</t>
        </is>
      </c>
      <c r="Q18" s="16" t="inlineStr">
        <is>
          <t>P3 Session Management Module</t>
        </is>
      </c>
      <c r="R18" s="16" t="inlineStr"/>
      <c r="S18" s="5" t="inlineStr">
        <is>
          <t>Confirmed</t>
        </is>
      </c>
    </row>
    <row r="19" ht="16" customHeight="1">
      <c r="A19" s="5" t="inlineStr">
        <is>
          <t>OWASP-S1-F018</t>
        </is>
      </c>
      <c r="B19" s="5" t="inlineStr">
        <is>
          <t>OWASP</t>
        </is>
      </c>
      <c r="C19" s="5" t="inlineStr">
        <is>
          <t>S1</t>
        </is>
      </c>
      <c r="D19" s="21" t="str">
        <f>IFERROR(VLOOKUP($G19,'02_REFERENCE'!$A$2:$S$99,4,FALSE),"N/A")</f>
        <v>Spoofing</v>
      </c>
      <c r="E19" s="21" t="str">
        <f>IFERROR(VLOOKUP($G19,'02_REFERENCE'!$A$2:$S$99,15,FALSE),"N/A")</f>
        <v>Critical</v>
      </c>
      <c r="F19" s="21" t="str">
        <f>IFERROR(VLOOKUP($G19,'02_REFERENCE'!$A$2:$S$99,17,FALSE),"N/A")</f>
        <v>No</v>
      </c>
      <c r="G19" s="21" t="inlineStr">
        <is>
          <t>S1-RT-014</t>
        </is>
      </c>
      <c r="H19" s="21" t="inlineStr">
        <is>
          <t>Primary TP</t>
        </is>
      </c>
      <c r="I19" s="21" t="inlineStr">
        <is>
          <t>TP</t>
        </is>
      </c>
      <c r="J19" s="21" t="inlineStr">
        <is>
          <t>M</t>
        </is>
      </c>
      <c r="K19" s="21" t="inlineStr">
        <is>
          <t>Y</t>
        </is>
      </c>
      <c r="L19" s="21" t="inlineStr">
        <is>
          <t>No</t>
        </is>
      </c>
      <c r="M19" s="21" t="inlineStr"/>
      <c r="N19" s="22" t="inlineStr">
        <is>
          <t>Weak transport on session-management flows exposes issued session tokens at the delivery crossing -&gt; reference S1-RT-014.</t>
        </is>
      </c>
      <c r="O19" s="5" t="inlineStr">
        <is>
          <t>transit_token</t>
        </is>
      </c>
      <c r="P19" s="16" t="inlineStr">
        <is>
          <t>Vulnerable transport protocol</t>
        </is>
      </c>
      <c r="Q19" s="16" t="inlineStr">
        <is>
          <t>P3 Session Management Module</t>
        </is>
      </c>
      <c r="R19" s="16" t="inlineStr"/>
      <c r="S19" s="5" t="inlineStr">
        <is>
          <t>Confirmed</t>
        </is>
      </c>
    </row>
    <row r="20" ht="16" customHeight="1">
      <c r="A20" s="5" t="inlineStr">
        <is>
          <t>OWASP-S1-F019</t>
        </is>
      </c>
      <c r="B20" s="5" t="inlineStr">
        <is>
          <t>OWASP</t>
        </is>
      </c>
      <c r="C20" s="5" t="inlineStr">
        <is>
          <t>S1</t>
        </is>
      </c>
      <c r="D20" s="21" t="str">
        <f>IFERROR(VLOOKUP($G20,'02_REFERENCE'!$A$2:$S$99,4,FALSE),"N/A")</f>
        <v>N/A</v>
      </c>
      <c r="E20" s="21" t="str">
        <f>IFERROR(VLOOKUP($G20,'02_REFERENCE'!$A$2:$S$99,15,FALSE),"N/A")</f>
        <v>N/A</v>
      </c>
      <c r="F20" s="21" t="str">
        <f>IFERROR(VLOOKUP($G20,'02_REFERENCE'!$A$2:$S$99,17,FALSE),"N/A")</f>
        <v>N/A</v>
      </c>
      <c r="G20" s="21" t="inlineStr"/>
      <c r="H20" s="21" t="inlineStr">
        <is>
          <t>False Positive</t>
        </is>
      </c>
      <c r="I20" s="21" t="inlineStr">
        <is>
          <t>FP</t>
        </is>
      </c>
      <c r="J20" s="21" t="inlineStr">
        <is>
          <t>M</t>
        </is>
      </c>
      <c r="K20" s="21" t="inlineStr">
        <is>
          <t>N</t>
        </is>
      </c>
      <c r="L20" s="21" t="inlineStr">
        <is>
          <t>No</t>
        </is>
      </c>
      <c r="M20" s="21" t="inlineStr"/>
      <c r="N20" s="22" t="inlineStr">
        <is>
          <t>Footprinting/Fingerprinting (OWASP Automated Threat #18/#4): reconnaissance; no reference mechanism.</t>
        </is>
      </c>
      <c r="O20" s="5" t="inlineStr">
        <is>
          <t>recon</t>
        </is>
      </c>
      <c r="P20" s="16" t="inlineStr">
        <is>
          <t>Fingerprinting</t>
        </is>
      </c>
      <c r="Q20" s="16" t="inlineStr">
        <is>
          <t>P3 Session Management Module</t>
        </is>
      </c>
      <c r="R20" s="16" t="inlineStr"/>
      <c r="S20" s="5" t="inlineStr">
        <is>
          <t>Confirmed</t>
        </is>
      </c>
    </row>
    <row r="21" ht="16" customHeight="1">
      <c r="A21" s="5" t="inlineStr">
        <is>
          <t>OWASP-S1-F020</t>
        </is>
      </c>
      <c r="B21" s="5" t="inlineStr">
        <is>
          <t>OWASP</t>
        </is>
      </c>
      <c r="C21" s="5" t="inlineStr">
        <is>
          <t>S1</t>
        </is>
      </c>
      <c r="D21" s="21" t="str">
        <f>IFERROR(VLOOKUP($G21,'02_REFERENCE'!$A$2:$S$99,4,FALSE),"N/A")</f>
        <v>Spoofing</v>
      </c>
      <c r="E21" s="21" t="str">
        <f>IFERROR(VLOOKUP($G21,'02_REFERENCE'!$A$2:$S$99,15,FALSE),"N/A")</f>
        <v>Critical</v>
      </c>
      <c r="F21" s="21" t="str">
        <f>IFERROR(VLOOKUP($G21,'02_REFERENCE'!$A$2:$S$99,17,FALSE),"N/A")</f>
        <v>No</v>
      </c>
      <c r="G21" s="21" t="inlineStr">
        <is>
          <t>S1-RT-014</t>
        </is>
      </c>
      <c r="H21" s="21" t="inlineStr">
        <is>
          <t>Duplicate</t>
        </is>
      </c>
      <c r="I21" s="21" t="inlineStr">
        <is>
          <t>TP</t>
        </is>
      </c>
      <c r="J21" s="21" t="inlineStr">
        <is>
          <t>M</t>
        </is>
      </c>
      <c r="K21" s="21" t="inlineStr">
        <is>
          <t>N</t>
        </is>
      </c>
      <c r="L21" s="21" t="inlineStr">
        <is>
          <t>Yes</t>
        </is>
      </c>
      <c r="M21" s="21" t="inlineStr">
        <is>
          <t>OWASP-S1-F018</t>
        </is>
      </c>
      <c r="N21" s="22" t="inlineStr">
        <is>
          <t>Weak transport on session-management flows exposes issued session tokens at the delivery crossing -&gt; reference S1-RT-014. [Equivalence: restates OWASP-S1-F018 — one-to-one rule applied.]</t>
        </is>
      </c>
      <c r="O21" s="5" t="inlineStr">
        <is>
          <t>transit_token</t>
        </is>
      </c>
      <c r="P21" s="16" t="inlineStr">
        <is>
          <t>Vulnerable transport protocol</t>
        </is>
      </c>
      <c r="Q21" s="16" t="inlineStr">
        <is>
          <t>P3 Session Management Module</t>
        </is>
      </c>
      <c r="R21" s="16" t="inlineStr"/>
      <c r="S21" s="5" t="inlineStr">
        <is>
          <t>Confirmed</t>
        </is>
      </c>
    </row>
    <row r="22" ht="16" customHeight="1">
      <c r="A22" s="5" t="inlineStr">
        <is>
          <t>OWASP-S1-F021</t>
        </is>
      </c>
      <c r="B22" s="5" t="inlineStr">
        <is>
          <t>OWASP</t>
        </is>
      </c>
      <c r="C22" s="5" t="inlineStr">
        <is>
          <t>S1</t>
        </is>
      </c>
      <c r="D22" s="21" t="str">
        <f>IFERROR(VLOOKUP($G22,'02_REFERENCE'!$A$2:$S$99,4,FALSE),"N/A")</f>
        <v>Spoofing</v>
      </c>
      <c r="E22" s="21" t="str">
        <f>IFERROR(VLOOKUP($G22,'02_REFERENCE'!$A$2:$S$99,15,FALSE),"N/A")</f>
        <v>Critical</v>
      </c>
      <c r="F22" s="21" t="str">
        <f>IFERROR(VLOOKUP($G22,'02_REFERENCE'!$A$2:$S$99,17,FALSE),"N/A")</f>
        <v>No</v>
      </c>
      <c r="G22" s="21" t="inlineStr">
        <is>
          <t>S1-RT-014</t>
        </is>
      </c>
      <c r="H22" s="21" t="inlineStr">
        <is>
          <t>Duplicate</t>
        </is>
      </c>
      <c r="I22" s="21" t="inlineStr">
        <is>
          <t>TP</t>
        </is>
      </c>
      <c r="J22" s="21" t="inlineStr">
        <is>
          <t>M</t>
        </is>
      </c>
      <c r="K22" s="21" t="inlineStr">
        <is>
          <t>N</t>
        </is>
      </c>
      <c r="L22" s="21" t="inlineStr">
        <is>
          <t>Yes</t>
        </is>
      </c>
      <c r="M22" s="21" t="inlineStr">
        <is>
          <t>OWASP-S1-F018</t>
        </is>
      </c>
      <c r="N22" s="22" t="inlineStr">
        <is>
          <t>Weak transport on session-management flows exposes issued session tokens at the delivery crossing -&gt; reference S1-RT-014. [Equivalence: restates OWASP-S1-F018 — one-to-one rule applied.]</t>
        </is>
      </c>
      <c r="O22" s="5" t="inlineStr">
        <is>
          <t>transit_token</t>
        </is>
      </c>
      <c r="P22" s="16" t="inlineStr">
        <is>
          <t>Vulnerable transport protocol</t>
        </is>
      </c>
      <c r="Q22" s="16" t="inlineStr">
        <is>
          <t>P3 Session Management Module</t>
        </is>
      </c>
      <c r="R22" s="16" t="inlineStr"/>
      <c r="S22" s="5" t="inlineStr">
        <is>
          <t>Confirmed</t>
        </is>
      </c>
    </row>
    <row r="23" ht="16" customHeight="1">
      <c r="A23" s="5" t="inlineStr">
        <is>
          <t>OWASP-S1-F022</t>
        </is>
      </c>
      <c r="B23" s="5" t="inlineStr">
        <is>
          <t>OWASP</t>
        </is>
      </c>
      <c r="C23" s="5" t="inlineStr">
        <is>
          <t>S1</t>
        </is>
      </c>
      <c r="D23" s="21" t="str">
        <f>IFERROR(VLOOKUP($G23,'02_REFERENCE'!$A$2:$S$99,4,FALSE),"N/A")</f>
        <v>Spoofing</v>
      </c>
      <c r="E23" s="21" t="str">
        <f>IFERROR(VLOOKUP($G23,'02_REFERENCE'!$A$2:$S$99,15,FALSE),"N/A")</f>
        <v>Critical</v>
      </c>
      <c r="F23" s="21" t="str">
        <f>IFERROR(VLOOKUP($G23,'02_REFERENCE'!$A$2:$S$99,17,FALSE),"N/A")</f>
        <v>No</v>
      </c>
      <c r="G23" s="21" t="inlineStr">
        <is>
          <t>S1-RT-014</t>
        </is>
      </c>
      <c r="H23" s="21" t="inlineStr">
        <is>
          <t>Duplicate</t>
        </is>
      </c>
      <c r="I23" s="21" t="inlineStr">
        <is>
          <t>TP</t>
        </is>
      </c>
      <c r="J23" s="21" t="inlineStr">
        <is>
          <t>M</t>
        </is>
      </c>
      <c r="K23" s="21" t="inlineStr">
        <is>
          <t>N</t>
        </is>
      </c>
      <c r="L23" s="21" t="inlineStr">
        <is>
          <t>Yes</t>
        </is>
      </c>
      <c r="M23" s="21" t="inlineStr">
        <is>
          <t>OWASP-S1-F018</t>
        </is>
      </c>
      <c r="N23" s="22" t="inlineStr">
        <is>
          <t>Weak transport on session-management flows exposes issued session tokens at the delivery crossing -&gt; reference S1-RT-014. [Equivalence: restates OWASP-S1-F018 — one-to-one rule applied.]</t>
        </is>
      </c>
      <c r="O23" s="5" t="inlineStr">
        <is>
          <t>transit_token</t>
        </is>
      </c>
      <c r="P23" s="16" t="inlineStr">
        <is>
          <t>Vulnerable transport protocol</t>
        </is>
      </c>
      <c r="Q23" s="16" t="inlineStr">
        <is>
          <t>P3 Session Management Module</t>
        </is>
      </c>
      <c r="R23" s="16" t="inlineStr"/>
      <c r="S23" s="5" t="inlineStr">
        <is>
          <t>Confirmed</t>
        </is>
      </c>
    </row>
    <row r="24" ht="16" customHeight="1">
      <c r="A24" s="5" t="inlineStr">
        <is>
          <t>OWASP-S1-F023</t>
        </is>
      </c>
      <c r="B24" s="5" t="inlineStr">
        <is>
          <t>OWASP</t>
        </is>
      </c>
      <c r="C24" s="5" t="inlineStr">
        <is>
          <t>S1</t>
        </is>
      </c>
      <c r="D24" s="21" t="str">
        <f>IFERROR(VLOOKUP($G24,'02_REFERENCE'!$A$2:$S$99,4,FALSE),"N/A")</f>
        <v>N/A</v>
      </c>
      <c r="E24" s="21" t="str">
        <f>IFERROR(VLOOKUP($G24,'02_REFERENCE'!$A$2:$S$99,15,FALSE),"N/A")</f>
        <v>N/A</v>
      </c>
      <c r="F24" s="21" t="str">
        <f>IFERROR(VLOOKUP($G24,'02_REFERENCE'!$A$2:$S$99,17,FALSE),"N/A")</f>
        <v>N/A</v>
      </c>
      <c r="G24" s="21" t="inlineStr"/>
      <c r="H24" s="21" t="inlineStr">
        <is>
          <t>False Positive</t>
        </is>
      </c>
      <c r="I24" s="21" t="inlineStr">
        <is>
          <t>FP</t>
        </is>
      </c>
      <c r="J24" s="21" t="inlineStr">
        <is>
          <t>M</t>
        </is>
      </c>
      <c r="K24" s="21" t="inlineStr">
        <is>
          <t>N</t>
        </is>
      </c>
      <c r="L24" s="21" t="inlineStr">
        <is>
          <t>No</t>
        </is>
      </c>
      <c r="M24" s="21" t="inlineStr"/>
      <c r="N24" s="22" t="inlineStr">
        <is>
          <t>Footprinting/Fingerprinting (OWASP Automated Threat #18/#4): reconnaissance; no reference mechanism.</t>
        </is>
      </c>
      <c r="O24" s="5" t="inlineStr">
        <is>
          <t>recon</t>
        </is>
      </c>
      <c r="P24" s="16" t="inlineStr">
        <is>
          <t>Fingerprinting</t>
        </is>
      </c>
      <c r="Q24" s="16" t="inlineStr">
        <is>
          <t>P3 Session Management Module</t>
        </is>
      </c>
      <c r="R24" s="16" t="inlineStr"/>
      <c r="S24" s="5" t="inlineStr">
        <is>
          <t>Confirmed</t>
        </is>
      </c>
    </row>
    <row r="25" ht="16" customHeight="1">
      <c r="A25" s="5" t="inlineStr">
        <is>
          <t>OWASP-S1-F024</t>
        </is>
      </c>
      <c r="B25" s="5" t="inlineStr">
        <is>
          <t>OWASP</t>
        </is>
      </c>
      <c r="C25" s="5" t="inlineStr">
        <is>
          <t>S1</t>
        </is>
      </c>
      <c r="D25" s="21" t="str">
        <f>IFERROR(VLOOKUP($G25,'02_REFERENCE'!$A$2:$S$99,4,FALSE),"N/A")</f>
        <v>N/A</v>
      </c>
      <c r="E25" s="21" t="str">
        <f>IFERROR(VLOOKUP($G25,'02_REFERENCE'!$A$2:$S$99,15,FALSE),"N/A")</f>
        <v>N/A</v>
      </c>
      <c r="F25" s="21" t="str">
        <f>IFERROR(VLOOKUP($G25,'02_REFERENCE'!$A$2:$S$99,17,FALSE),"N/A")</f>
        <v>N/A</v>
      </c>
      <c r="G25" s="21" t="inlineStr"/>
      <c r="H25" s="21" t="inlineStr">
        <is>
          <t>False Positive</t>
        </is>
      </c>
      <c r="I25" s="21" t="inlineStr">
        <is>
          <t>FP</t>
        </is>
      </c>
      <c r="J25" s="21" t="inlineStr">
        <is>
          <t>M</t>
        </is>
      </c>
      <c r="K25" s="21" t="inlineStr">
        <is>
          <t>N</t>
        </is>
      </c>
      <c r="L25" s="21" t="inlineStr">
        <is>
          <t>No</t>
        </is>
      </c>
      <c r="M25" s="21" t="inlineStr"/>
      <c r="N25" s="22" t="inlineStr">
        <is>
          <t>Expedition (OWASP Automated Threat #6): generic automation/abuse-agility template; no single reference mechanism matches (brute force / stuffing are distinct specialist mechanisms).</t>
        </is>
      </c>
      <c r="O25" s="5" t="inlineStr">
        <is>
          <t>expedition</t>
        </is>
      </c>
      <c r="P25" s="16" t="inlineStr">
        <is>
          <t>Expedition</t>
        </is>
      </c>
      <c r="Q25" s="16" t="inlineStr">
        <is>
          <t>P4 AI chatbot Component</t>
        </is>
      </c>
      <c r="R25" s="16" t="inlineStr"/>
      <c r="S25" s="5" t="inlineStr">
        <is>
          <t>Confirmed</t>
        </is>
      </c>
    </row>
    <row r="26" ht="16" customHeight="1">
      <c r="A26" s="5" t="inlineStr">
        <is>
          <t>OWASP-S1-F025</t>
        </is>
      </c>
      <c r="B26" s="5" t="inlineStr">
        <is>
          <t>OWASP</t>
        </is>
      </c>
      <c r="C26" s="5" t="inlineStr">
        <is>
          <t>S1</t>
        </is>
      </c>
      <c r="D26" s="21" t="str">
        <f>IFERROR(VLOOKUP($G26,'02_REFERENCE'!$A$2:$S$99,4,FALSE),"N/A")</f>
        <v>N/A</v>
      </c>
      <c r="E26" s="21" t="str">
        <f>IFERROR(VLOOKUP($G26,'02_REFERENCE'!$A$2:$S$99,15,FALSE),"N/A")</f>
        <v>N/A</v>
      </c>
      <c r="F26" s="21" t="str">
        <f>IFERROR(VLOOKUP($G26,'02_REFERENCE'!$A$2:$S$99,17,FALSE),"N/A")</f>
        <v>N/A</v>
      </c>
      <c r="G26" s="21" t="inlineStr"/>
      <c r="H26" s="21" t="inlineStr">
        <is>
          <t>False Positive</t>
        </is>
      </c>
      <c r="I26" s="21" t="inlineStr">
        <is>
          <t>FP</t>
        </is>
      </c>
      <c r="J26" s="21" t="inlineStr">
        <is>
          <t>M</t>
        </is>
      </c>
      <c r="K26" s="21" t="inlineStr">
        <is>
          <t>N</t>
        </is>
      </c>
      <c r="L26" s="21" t="inlineStr">
        <is>
          <t>No</t>
        </is>
      </c>
      <c r="M26" s="21" t="inlineStr"/>
      <c r="N26" s="22" t="inlineStr">
        <is>
          <t>Vulnerability scanning (OWASP Automated Threat #14): reconnaissance; not a security-failure mechanism present in the baseline.</t>
        </is>
      </c>
      <c r="O26" s="5" t="inlineStr">
        <is>
          <t>recon</t>
        </is>
      </c>
      <c r="P26" s="16" t="inlineStr">
        <is>
          <t>Vulnerability scanning</t>
        </is>
      </c>
      <c r="Q26" s="16" t="inlineStr">
        <is>
          <t>P4 AI chatbot Component</t>
        </is>
      </c>
      <c r="R26" s="16" t="inlineStr"/>
      <c r="S26" s="5" t="inlineStr">
        <is>
          <t>Confirmed</t>
        </is>
      </c>
    </row>
    <row r="27" ht="16" customHeight="1">
      <c r="A27" s="5" t="inlineStr">
        <is>
          <t>OWASP-S1-F026</t>
        </is>
      </c>
      <c r="B27" s="5" t="inlineStr">
        <is>
          <t>OWASP</t>
        </is>
      </c>
      <c r="C27" s="5" t="inlineStr">
        <is>
          <t>S1</t>
        </is>
      </c>
      <c r="D27" s="21" t="str">
        <f>IFERROR(VLOOKUP($G27,'02_REFERENCE'!$A$2:$S$99,4,FALSE),"N/A")</f>
        <v>Denial of Service</v>
      </c>
      <c r="E27" s="21" t="str">
        <f>IFERROR(VLOOKUP($G27,'02_REFERENCE'!$A$2:$S$99,15,FALSE),"N/A")</f>
        <v>Medium</v>
      </c>
      <c r="F27" s="21" t="str">
        <f>IFERROR(VLOOKUP($G27,'02_REFERENCE'!$A$2:$S$99,17,FALSE),"N/A")</f>
        <v>Yes</v>
      </c>
      <c r="G27" s="21" t="inlineStr">
        <is>
          <t>S1-RT-030</t>
        </is>
      </c>
      <c r="H27" s="21" t="inlineStr">
        <is>
          <t>Primary TP</t>
        </is>
      </c>
      <c r="I27" s="21" t="inlineStr">
        <is>
          <t>TP</t>
        </is>
      </c>
      <c r="J27" s="21" t="inlineStr">
        <is>
          <t>M</t>
        </is>
      </c>
      <c r="K27" s="21" t="inlineStr">
        <is>
          <t>Y</t>
        </is>
      </c>
      <c r="L27" s="21" t="inlineStr">
        <is>
          <t>No</t>
        </is>
      </c>
      <c r="M27" s="21" t="inlineStr"/>
      <c r="N27" s="22" t="inlineStr">
        <is>
          <t>Resource-exhaustion template on the LLM pipeline component -&gt; reference S1-RT-030 (unbounded LLM pipeline consumption).</t>
        </is>
      </c>
      <c r="O27" s="5" t="inlineStr">
        <is>
          <t>llm_consumption</t>
        </is>
      </c>
      <c r="P27" s="16" t="inlineStr">
        <is>
          <t>Denial of Service</t>
        </is>
      </c>
      <c r="Q27" s="16" t="inlineStr">
        <is>
          <t>P4 AI chatbot Component</t>
        </is>
      </c>
      <c r="R27" s="16" t="inlineStr"/>
      <c r="S27" s="5" t="inlineStr">
        <is>
          <t>Confirmed</t>
        </is>
      </c>
    </row>
    <row r="28" ht="16" customHeight="1">
      <c r="A28" s="5" t="inlineStr">
        <is>
          <t>OWASP-S1-F027</t>
        </is>
      </c>
      <c r="B28" s="5" t="inlineStr">
        <is>
          <t>OWASP</t>
        </is>
      </c>
      <c r="C28" s="5" t="inlineStr">
        <is>
          <t>S1</t>
        </is>
      </c>
      <c r="D28" s="21" t="str">
        <f>IFERROR(VLOOKUP($G28,'02_REFERENCE'!$A$2:$S$99,4,FALSE),"N/A")</f>
        <v>N/A</v>
      </c>
      <c r="E28" s="21" t="str">
        <f>IFERROR(VLOOKUP($G28,'02_REFERENCE'!$A$2:$S$99,15,FALSE),"N/A")</f>
        <v>N/A</v>
      </c>
      <c r="F28" s="21" t="str">
        <f>IFERROR(VLOOKUP($G28,'02_REFERENCE'!$A$2:$S$99,17,FALSE),"N/A")</f>
        <v>N/A</v>
      </c>
      <c r="G28" s="21" t="inlineStr"/>
      <c r="H28" s="21" t="inlineStr">
        <is>
          <t>False Positive</t>
        </is>
      </c>
      <c r="I28" s="21" t="inlineStr">
        <is>
          <t>FP</t>
        </is>
      </c>
      <c r="J28" s="21" t="inlineStr">
        <is>
          <t>M</t>
        </is>
      </c>
      <c r="K28" s="21" t="inlineStr">
        <is>
          <t>N</t>
        </is>
      </c>
      <c r="L28" s="21" t="inlineStr">
        <is>
          <t>No</t>
        </is>
      </c>
      <c r="M28" s="21" t="inlineStr"/>
      <c r="N28" s="22" t="inlineStr">
        <is>
          <t>Expedition (OWASP Automated Threat #6): generic automation/abuse-agility template; no single reference mechanism matches (brute force / stuffing are distinct specialist mechanisms).</t>
        </is>
      </c>
      <c r="O28" s="5" t="inlineStr">
        <is>
          <t>expedition</t>
        </is>
      </c>
      <c r="P28" s="16" t="inlineStr">
        <is>
          <t>Expedition</t>
        </is>
      </c>
      <c r="Q28" s="16" t="inlineStr">
        <is>
          <t>P5 LLM Integration Service</t>
        </is>
      </c>
      <c r="R28" s="16" t="inlineStr"/>
      <c r="S28" s="5" t="inlineStr">
        <is>
          <t>Confirmed</t>
        </is>
      </c>
    </row>
    <row r="29" ht="16" customHeight="1">
      <c r="A29" s="5" t="inlineStr">
        <is>
          <t>OWASP-S1-F028</t>
        </is>
      </c>
      <c r="B29" s="5" t="inlineStr">
        <is>
          <t>OWASP</t>
        </is>
      </c>
      <c r="C29" s="5" t="inlineStr">
        <is>
          <t>S1</t>
        </is>
      </c>
      <c r="D29" s="21" t="str">
        <f>IFERROR(VLOOKUP($G29,'02_REFERENCE'!$A$2:$S$99,4,FALSE),"N/A")</f>
        <v>N/A</v>
      </c>
      <c r="E29" s="21" t="str">
        <f>IFERROR(VLOOKUP($G29,'02_REFERENCE'!$A$2:$S$99,15,FALSE),"N/A")</f>
        <v>N/A</v>
      </c>
      <c r="F29" s="21" t="str">
        <f>IFERROR(VLOOKUP($G29,'02_REFERENCE'!$A$2:$S$99,17,FALSE),"N/A")</f>
        <v>N/A</v>
      </c>
      <c r="G29" s="21" t="inlineStr"/>
      <c r="H29" s="21" t="inlineStr">
        <is>
          <t>False Positive</t>
        </is>
      </c>
      <c r="I29" s="21" t="inlineStr">
        <is>
          <t>FP</t>
        </is>
      </c>
      <c r="J29" s="21" t="inlineStr">
        <is>
          <t>M</t>
        </is>
      </c>
      <c r="K29" s="21" t="inlineStr">
        <is>
          <t>N</t>
        </is>
      </c>
      <c r="L29" s="21" t="inlineStr">
        <is>
          <t>No</t>
        </is>
      </c>
      <c r="M29" s="21" t="inlineStr"/>
      <c r="N29" s="22" t="inlineStr">
        <is>
          <t>Vulnerability scanning (OWASP Automated Threat #14): reconnaissance; not a security-failure mechanism present in the baseline.</t>
        </is>
      </c>
      <c r="O29" s="5" t="inlineStr">
        <is>
          <t>recon</t>
        </is>
      </c>
      <c r="P29" s="16" t="inlineStr">
        <is>
          <t>Vulnerability scanning</t>
        </is>
      </c>
      <c r="Q29" s="16" t="inlineStr">
        <is>
          <t>P5 LLM Integration Service</t>
        </is>
      </c>
      <c r="R29" s="16" t="inlineStr"/>
      <c r="S29" s="5" t="inlineStr">
        <is>
          <t>Confirmed</t>
        </is>
      </c>
    </row>
    <row r="30" ht="16" customHeight="1">
      <c r="A30" s="5" t="inlineStr">
        <is>
          <t>OWASP-S1-F029</t>
        </is>
      </c>
      <c r="B30" s="5" t="inlineStr">
        <is>
          <t>OWASP</t>
        </is>
      </c>
      <c r="C30" s="5" t="inlineStr">
        <is>
          <t>S1</t>
        </is>
      </c>
      <c r="D30" s="21" t="str">
        <f>IFERROR(VLOOKUP($G30,'02_REFERENCE'!$A$2:$S$99,4,FALSE),"N/A")</f>
        <v>Denial of Service</v>
      </c>
      <c r="E30" s="21" t="str">
        <f>IFERROR(VLOOKUP($G30,'02_REFERENCE'!$A$2:$S$99,15,FALSE),"N/A")</f>
        <v>Medium</v>
      </c>
      <c r="F30" s="21" t="str">
        <f>IFERROR(VLOOKUP($G30,'02_REFERENCE'!$A$2:$S$99,17,FALSE),"N/A")</f>
        <v>Yes</v>
      </c>
      <c r="G30" s="21" t="inlineStr">
        <is>
          <t>S1-RT-030</t>
        </is>
      </c>
      <c r="H30" s="21" t="inlineStr">
        <is>
          <t>Duplicate</t>
        </is>
      </c>
      <c r="I30" s="21" t="inlineStr">
        <is>
          <t>TP</t>
        </is>
      </c>
      <c r="J30" s="21" t="inlineStr">
        <is>
          <t>M</t>
        </is>
      </c>
      <c r="K30" s="21" t="inlineStr">
        <is>
          <t>N</t>
        </is>
      </c>
      <c r="L30" s="21" t="inlineStr">
        <is>
          <t>Yes</t>
        </is>
      </c>
      <c r="M30" s="21" t="inlineStr">
        <is>
          <t>OWASP-S1-F026</t>
        </is>
      </c>
      <c r="N30" s="22" t="inlineStr">
        <is>
          <t>Resource-exhaustion template on the LLM pipeline component -&gt; reference S1-RT-030 (unbounded LLM pipeline consumption). [Equivalence: restates OWASP-S1-F026 — one-to-one rule applied.]</t>
        </is>
      </c>
      <c r="O30" s="5" t="inlineStr">
        <is>
          <t>llm_consumption</t>
        </is>
      </c>
      <c r="P30" s="16" t="inlineStr">
        <is>
          <t>Denial of Service</t>
        </is>
      </c>
      <c r="Q30" s="16" t="inlineStr">
        <is>
          <t>P5 LLM Integration Service</t>
        </is>
      </c>
      <c r="R30" s="16" t="inlineStr"/>
      <c r="S30" s="5" t="inlineStr">
        <is>
          <t>Confirmed</t>
        </is>
      </c>
    </row>
    <row r="31" ht="16" customHeight="1">
      <c r="A31" s="5" t="inlineStr">
        <is>
          <t>OWASP-S1-F030</t>
        </is>
      </c>
      <c r="B31" s="5" t="inlineStr">
        <is>
          <t>OWASP</t>
        </is>
      </c>
      <c r="C31" s="5" t="inlineStr">
        <is>
          <t>S1</t>
        </is>
      </c>
      <c r="D31" s="21" t="str">
        <f>IFERROR(VLOOKUP($G31,'02_REFERENCE'!$A$2:$S$99,4,FALSE),"N/A")</f>
        <v>Information Disclosure</v>
      </c>
      <c r="E31" s="21" t="str">
        <f>IFERROR(VLOOKUP($G31,'02_REFERENCE'!$A$2:$S$99,15,FALSE),"N/A")</f>
        <v>Critical</v>
      </c>
      <c r="F31" s="21" t="str">
        <f>IFERROR(VLOOKUP($G31,'02_REFERENCE'!$A$2:$S$99,17,FALSE),"N/A")</f>
        <v>No</v>
      </c>
      <c r="G31" s="21" t="inlineStr">
        <is>
          <t>S1-RT-018</t>
        </is>
      </c>
      <c r="H31" s="21" t="inlineStr">
        <is>
          <t>Primary TP</t>
        </is>
      </c>
      <c r="I31" s="21" t="inlineStr">
        <is>
          <t>TP</t>
        </is>
      </c>
      <c r="J31" s="21" t="inlineStr">
        <is>
          <t>M</t>
        </is>
      </c>
      <c r="K31" s="21" t="inlineStr">
        <is>
          <t>Y</t>
        </is>
      </c>
      <c r="L31" s="21" t="inlineStr">
        <is>
          <t>No</t>
        </is>
      </c>
      <c r="M31" s="21" t="inlineStr"/>
      <c r="N31" s="22" t="inlineStr">
        <is>
          <t>Scraping (OWASP Automated Threat #11) on the user-data-store element: automated bulk collection of stored user data corresponds to the mass-disclosure mechanism -&gt; reference S1-RT-018.</t>
        </is>
      </c>
      <c r="O31" s="5" t="inlineStr">
        <is>
          <t>mass_disclosure</t>
        </is>
      </c>
      <c r="P31" s="16" t="inlineStr">
        <is>
          <t>Scraping</t>
        </is>
      </c>
      <c r="Q31" s="16" t="inlineStr">
        <is>
          <t>DS1 User Database</t>
        </is>
      </c>
      <c r="R31" s="16" t="inlineStr"/>
      <c r="S31" s="5" t="inlineStr">
        <is>
          <t>Confirmed</t>
        </is>
      </c>
    </row>
    <row r="32" ht="16" customHeight="1">
      <c r="A32" s="5" t="inlineStr">
        <is>
          <t>OWASP-S1-F031</t>
        </is>
      </c>
      <c r="B32" s="5" t="inlineStr">
        <is>
          <t>OWASP</t>
        </is>
      </c>
      <c r="C32" s="5" t="inlineStr">
        <is>
          <t>S1</t>
        </is>
      </c>
      <c r="D32" s="21" t="str">
        <f>IFERROR(VLOOKUP($G32,'02_REFERENCE'!$A$2:$S$99,4,FALSE),"N/A")</f>
        <v>N/A</v>
      </c>
      <c r="E32" s="21" t="str">
        <f>IFERROR(VLOOKUP($G32,'02_REFERENCE'!$A$2:$S$99,15,FALSE),"N/A")</f>
        <v>N/A</v>
      </c>
      <c r="F32" s="21" t="str">
        <f>IFERROR(VLOOKUP($G32,'02_REFERENCE'!$A$2:$S$99,17,FALSE),"N/A")</f>
        <v>N/A</v>
      </c>
      <c r="G32" s="21" t="inlineStr"/>
      <c r="H32" s="21" t="inlineStr">
        <is>
          <t>False Positive</t>
        </is>
      </c>
      <c r="I32" s="21" t="inlineStr">
        <is>
          <t>FP</t>
        </is>
      </c>
      <c r="J32" s="21" t="inlineStr">
        <is>
          <t>M</t>
        </is>
      </c>
      <c r="K32" s="21" t="inlineStr">
        <is>
          <t>N</t>
        </is>
      </c>
      <c r="L32" s="21" t="inlineStr">
        <is>
          <t>No</t>
        </is>
      </c>
      <c r="M32" s="21" t="inlineStr"/>
      <c r="N32" s="22" t="inlineStr">
        <is>
          <t>Skewing (OWASP Automated Threat #16): metric-frequency gaming; no matching reference mechanism.</t>
        </is>
      </c>
      <c r="O32" s="5" t="inlineStr">
        <is>
          <t>skew_spam</t>
        </is>
      </c>
      <c r="P32" s="16" t="inlineStr">
        <is>
          <t>Skewing</t>
        </is>
      </c>
      <c r="Q32" s="16" t="inlineStr">
        <is>
          <t>DS1 User Database</t>
        </is>
      </c>
      <c r="R32" s="16" t="inlineStr"/>
      <c r="S32" s="5" t="inlineStr">
        <is>
          <t>Confirmed</t>
        </is>
      </c>
    </row>
    <row r="33" ht="16" customHeight="1">
      <c r="A33" s="5" t="inlineStr">
        <is>
          <t>OWASP-S1-F032</t>
        </is>
      </c>
      <c r="B33" s="5" t="inlineStr">
        <is>
          <t>OWASP</t>
        </is>
      </c>
      <c r="C33" s="5" t="inlineStr">
        <is>
          <t>S1</t>
        </is>
      </c>
      <c r="D33" s="21" t="str">
        <f>IFERROR(VLOOKUP($G33,'02_REFERENCE'!$A$2:$S$99,4,FALSE),"N/A")</f>
        <v>N/A</v>
      </c>
      <c r="E33" s="21" t="str">
        <f>IFERROR(VLOOKUP($G33,'02_REFERENCE'!$A$2:$S$99,15,FALSE),"N/A")</f>
        <v>N/A</v>
      </c>
      <c r="F33" s="21" t="str">
        <f>IFERROR(VLOOKUP($G33,'02_REFERENCE'!$A$2:$S$99,17,FALSE),"N/A")</f>
        <v>N/A</v>
      </c>
      <c r="G33" s="21" t="inlineStr"/>
      <c r="H33" s="21" t="inlineStr">
        <is>
          <t>False Positive</t>
        </is>
      </c>
      <c r="I33" s="21" t="inlineStr">
        <is>
          <t>FP</t>
        </is>
      </c>
      <c r="J33" s="21" t="inlineStr">
        <is>
          <t>M</t>
        </is>
      </c>
      <c r="K33" s="21" t="inlineStr">
        <is>
          <t>N</t>
        </is>
      </c>
      <c r="L33" s="21" t="inlineStr">
        <is>
          <t>No</t>
        </is>
      </c>
      <c r="M33" s="21" t="inlineStr"/>
      <c r="N33" s="22" t="inlineStr">
        <is>
          <t>Storing malicious content (OWASP Automated Threat #17) on an element without a matching malicious-content reference.</t>
        </is>
      </c>
      <c r="O33" s="5" t="inlineStr">
        <is>
          <t>skew_spam</t>
        </is>
      </c>
      <c r="P33" s="16" t="inlineStr">
        <is>
          <t>Spamming</t>
        </is>
      </c>
      <c r="Q33" s="16" t="inlineStr">
        <is>
          <t>DS1 User Database</t>
        </is>
      </c>
      <c r="R33" s="16" t="inlineStr"/>
      <c r="S33" s="5" t="inlineStr">
        <is>
          <t>Confirmed</t>
        </is>
      </c>
    </row>
    <row r="34" ht="16" customHeight="1">
      <c r="A34" s="5" t="inlineStr">
        <is>
          <t>OWASP-S1-F033</t>
        </is>
      </c>
      <c r="B34" s="5" t="inlineStr">
        <is>
          <t>OWASP</t>
        </is>
      </c>
      <c r="C34" s="5" t="inlineStr">
        <is>
          <t>S1</t>
        </is>
      </c>
      <c r="D34" s="21" t="str">
        <f>IFERROR(VLOOKUP($G34,'02_REFERENCE'!$A$2:$S$99,4,FALSE),"N/A")</f>
        <v>N/A</v>
      </c>
      <c r="E34" s="21" t="str">
        <f>IFERROR(VLOOKUP($G34,'02_REFERENCE'!$A$2:$S$99,15,FALSE),"N/A")</f>
        <v>N/A</v>
      </c>
      <c r="F34" s="21" t="str">
        <f>IFERROR(VLOOKUP($G34,'02_REFERENCE'!$A$2:$S$99,17,FALSE),"N/A")</f>
        <v>N/A</v>
      </c>
      <c r="G34" s="21" t="inlineStr"/>
      <c r="H34" s="21" t="inlineStr">
        <is>
          <t>False Positive</t>
        </is>
      </c>
      <c r="I34" s="21" t="inlineStr">
        <is>
          <t>FP</t>
        </is>
      </c>
      <c r="J34" s="21" t="inlineStr">
        <is>
          <t>M</t>
        </is>
      </c>
      <c r="K34" s="21" t="inlineStr">
        <is>
          <t>N</t>
        </is>
      </c>
      <c r="L34" s="21" t="inlineStr">
        <is>
          <t>No</t>
        </is>
      </c>
      <c r="M34" s="21" t="inlineStr"/>
      <c r="N34" s="22" t="inlineStr">
        <is>
          <t>Scraping (OWASP Automated Threat #11) on a non-user-store element: collection of accessible application output, not the store-layer bulk-read mechanism of the mass-disclosure reference.</t>
        </is>
      </c>
      <c r="O34" s="5" t="inlineStr">
        <is>
          <t>mass_disclosure</t>
        </is>
      </c>
      <c r="P34" s="16" t="inlineStr">
        <is>
          <t>Scraping</t>
        </is>
      </c>
      <c r="Q34" s="16" t="inlineStr">
        <is>
          <t>DS2 Session Storage</t>
        </is>
      </c>
      <c r="R34" s="16" t="inlineStr"/>
      <c r="S34" s="5" t="inlineStr">
        <is>
          <t>Confirmed</t>
        </is>
      </c>
    </row>
    <row r="35" ht="16" customHeight="1">
      <c r="A35" s="5" t="inlineStr">
        <is>
          <t>OWASP-S1-F034</t>
        </is>
      </c>
      <c r="B35" s="5" t="inlineStr">
        <is>
          <t>OWASP</t>
        </is>
      </c>
      <c r="C35" s="5" t="inlineStr">
        <is>
          <t>S1</t>
        </is>
      </c>
      <c r="D35" s="21" t="str">
        <f>IFERROR(VLOOKUP($G35,'02_REFERENCE'!$A$2:$S$99,4,FALSE),"N/A")</f>
        <v>N/A</v>
      </c>
      <c r="E35" s="21" t="str">
        <f>IFERROR(VLOOKUP($G35,'02_REFERENCE'!$A$2:$S$99,15,FALSE),"N/A")</f>
        <v>N/A</v>
      </c>
      <c r="F35" s="21" t="str">
        <f>IFERROR(VLOOKUP($G35,'02_REFERENCE'!$A$2:$S$99,17,FALSE),"N/A")</f>
        <v>N/A</v>
      </c>
      <c r="G35" s="21" t="inlineStr"/>
      <c r="H35" s="21" t="inlineStr">
        <is>
          <t>False Positive</t>
        </is>
      </c>
      <c r="I35" s="21" t="inlineStr">
        <is>
          <t>FP</t>
        </is>
      </c>
      <c r="J35" s="21" t="inlineStr">
        <is>
          <t>M</t>
        </is>
      </c>
      <c r="K35" s="21" t="inlineStr">
        <is>
          <t>N</t>
        </is>
      </c>
      <c r="L35" s="21" t="inlineStr">
        <is>
          <t>No</t>
        </is>
      </c>
      <c r="M35" s="21" t="inlineStr"/>
      <c r="N35" s="22" t="inlineStr">
        <is>
          <t>Skewing (OWASP Automated Threat #16): metric-frequency gaming; no matching reference mechanism.</t>
        </is>
      </c>
      <c r="O35" s="5" t="inlineStr">
        <is>
          <t>skew_spam</t>
        </is>
      </c>
      <c r="P35" s="16" t="inlineStr">
        <is>
          <t>Skewing</t>
        </is>
      </c>
      <c r="Q35" s="16" t="inlineStr">
        <is>
          <t>DS2 Session Storage</t>
        </is>
      </c>
      <c r="R35" s="16" t="inlineStr"/>
      <c r="S35" s="5" t="inlineStr">
        <is>
          <t>Confirmed</t>
        </is>
      </c>
    </row>
    <row r="36" ht="16" customHeight="1">
      <c r="A36" s="5" t="inlineStr">
        <is>
          <t>OWASP-S1-F035</t>
        </is>
      </c>
      <c r="B36" s="5" t="inlineStr">
        <is>
          <t>OWASP</t>
        </is>
      </c>
      <c r="C36" s="5" t="inlineStr">
        <is>
          <t>S1</t>
        </is>
      </c>
      <c r="D36" s="21" t="str">
        <f>IFERROR(VLOOKUP($G36,'02_REFERENCE'!$A$2:$S$99,4,FALSE),"N/A")</f>
        <v>N/A</v>
      </c>
      <c r="E36" s="21" t="str">
        <f>IFERROR(VLOOKUP($G36,'02_REFERENCE'!$A$2:$S$99,15,FALSE),"N/A")</f>
        <v>N/A</v>
      </c>
      <c r="F36" s="21" t="str">
        <f>IFERROR(VLOOKUP($G36,'02_REFERENCE'!$A$2:$S$99,17,FALSE),"N/A")</f>
        <v>N/A</v>
      </c>
      <c r="G36" s="21" t="inlineStr"/>
      <c r="H36" s="21" t="inlineStr">
        <is>
          <t>False Positive</t>
        </is>
      </c>
      <c r="I36" s="21" t="inlineStr">
        <is>
          <t>FP</t>
        </is>
      </c>
      <c r="J36" s="21" t="inlineStr">
        <is>
          <t>M</t>
        </is>
      </c>
      <c r="K36" s="21" t="inlineStr">
        <is>
          <t>N</t>
        </is>
      </c>
      <c r="L36" s="21" t="inlineStr">
        <is>
          <t>No</t>
        </is>
      </c>
      <c r="M36" s="21" t="inlineStr"/>
      <c r="N36" s="22" t="inlineStr">
        <is>
          <t>Storing malicious content (OWASP Automated Threat #17) on an element without a matching malicious-content reference.</t>
        </is>
      </c>
      <c r="O36" s="5" t="inlineStr">
        <is>
          <t>skew_spam</t>
        </is>
      </c>
      <c r="P36" s="16" t="inlineStr">
        <is>
          <t>Spamming</t>
        </is>
      </c>
      <c r="Q36" s="16" t="inlineStr">
        <is>
          <t>DS2 Session Storage</t>
        </is>
      </c>
      <c r="R36" s="16" t="inlineStr"/>
      <c r="S36" s="5" t="inlineStr">
        <is>
          <t>Confirmed</t>
        </is>
      </c>
    </row>
    <row r="37" ht="16" customHeight="1">
      <c r="A37" s="5" t="inlineStr">
        <is>
          <t>OWASP-S1-F036</t>
        </is>
      </c>
      <c r="B37" s="5" t="inlineStr">
        <is>
          <t>OWASP</t>
        </is>
      </c>
      <c r="C37" s="5" t="inlineStr">
        <is>
          <t>S1</t>
        </is>
      </c>
      <c r="D37" s="21" t="str">
        <f>IFERROR(VLOOKUP($G37,'02_REFERENCE'!$A$2:$S$99,4,FALSE),"N/A")</f>
        <v>N/A</v>
      </c>
      <c r="E37" s="21" t="str">
        <f>IFERROR(VLOOKUP($G37,'02_REFERENCE'!$A$2:$S$99,15,FALSE),"N/A")</f>
        <v>N/A</v>
      </c>
      <c r="F37" s="21" t="str">
        <f>IFERROR(VLOOKUP($G37,'02_REFERENCE'!$A$2:$S$99,17,FALSE),"N/A")</f>
        <v>N/A</v>
      </c>
      <c r="G37" s="21" t="inlineStr"/>
      <c r="H37" s="21" t="inlineStr">
        <is>
          <t>False Positive</t>
        </is>
      </c>
      <c r="I37" s="21" t="inlineStr">
        <is>
          <t>FP</t>
        </is>
      </c>
      <c r="J37" s="21" t="inlineStr">
        <is>
          <t>M</t>
        </is>
      </c>
      <c r="K37" s="21" t="inlineStr">
        <is>
          <t>N</t>
        </is>
      </c>
      <c r="L37" s="21" t="inlineStr">
        <is>
          <t>No</t>
        </is>
      </c>
      <c r="M37" s="21" t="inlineStr"/>
      <c r="N37" s="22" t="inlineStr">
        <is>
          <t>Scraping (OWASP Automated Threat #11) on a non-user-store element: collection of accessible application output, not the store-layer bulk-read mechanism of the mass-disclosure reference.</t>
        </is>
      </c>
      <c r="O37" s="5" t="inlineStr">
        <is>
          <t>mass_disclosure</t>
        </is>
      </c>
      <c r="P37" s="16" t="inlineStr">
        <is>
          <t>Scraping</t>
        </is>
      </c>
      <c r="Q37" s="16" t="inlineStr">
        <is>
          <t>DS3 Knowledge Base</t>
        </is>
      </c>
      <c r="R37" s="16" t="inlineStr"/>
      <c r="S37" s="5" t="inlineStr">
        <is>
          <t>Confirmed</t>
        </is>
      </c>
    </row>
    <row r="38" ht="16" customHeight="1">
      <c r="A38" s="5" t="inlineStr">
        <is>
          <t>OWASP-S1-F037</t>
        </is>
      </c>
      <c r="B38" s="5" t="inlineStr">
        <is>
          <t>OWASP</t>
        </is>
      </c>
      <c r="C38" s="5" t="inlineStr">
        <is>
          <t>S1</t>
        </is>
      </c>
      <c r="D38" s="21" t="str">
        <f>IFERROR(VLOOKUP($G38,'02_REFERENCE'!$A$2:$S$99,4,FALSE),"N/A")</f>
        <v>N/A</v>
      </c>
      <c r="E38" s="21" t="str">
        <f>IFERROR(VLOOKUP($G38,'02_REFERENCE'!$A$2:$S$99,15,FALSE),"N/A")</f>
        <v>N/A</v>
      </c>
      <c r="F38" s="21" t="str">
        <f>IFERROR(VLOOKUP($G38,'02_REFERENCE'!$A$2:$S$99,17,FALSE),"N/A")</f>
        <v>N/A</v>
      </c>
      <c r="G38" s="21" t="inlineStr"/>
      <c r="H38" s="21" t="inlineStr">
        <is>
          <t>False Positive</t>
        </is>
      </c>
      <c r="I38" s="21" t="inlineStr">
        <is>
          <t>FP</t>
        </is>
      </c>
      <c r="J38" s="21" t="inlineStr">
        <is>
          <t>M</t>
        </is>
      </c>
      <c r="K38" s="21" t="inlineStr">
        <is>
          <t>N</t>
        </is>
      </c>
      <c r="L38" s="21" t="inlineStr">
        <is>
          <t>No</t>
        </is>
      </c>
      <c r="M38" s="21" t="inlineStr"/>
      <c r="N38" s="22" t="inlineStr">
        <is>
          <t>Skewing (OWASP Automated Threat #16): metric-frequency gaming; no matching reference mechanism.</t>
        </is>
      </c>
      <c r="O38" s="5" t="inlineStr">
        <is>
          <t>skew_spam</t>
        </is>
      </c>
      <c r="P38" s="16" t="inlineStr">
        <is>
          <t>Skewing</t>
        </is>
      </c>
      <c r="Q38" s="16" t="inlineStr">
        <is>
          <t>DS3 Knowledge Base</t>
        </is>
      </c>
      <c r="R38" s="16" t="inlineStr"/>
      <c r="S38" s="5" t="inlineStr">
        <is>
          <t>Confirmed</t>
        </is>
      </c>
    </row>
    <row r="39" ht="16" customHeight="1">
      <c r="A39" s="5" t="inlineStr">
        <is>
          <t>OWASP-S1-F038</t>
        </is>
      </c>
      <c r="B39" s="5" t="inlineStr">
        <is>
          <t>OWASP</t>
        </is>
      </c>
      <c r="C39" s="5" t="inlineStr">
        <is>
          <t>S1</t>
        </is>
      </c>
      <c r="D39" s="21" t="str">
        <f>IFERROR(VLOOKUP($G39,'02_REFERENCE'!$A$2:$S$99,4,FALSE),"N/A")</f>
        <v>Tampering</v>
      </c>
      <c r="E39" s="21" t="str">
        <f>IFERROR(VLOOKUP($G39,'02_REFERENCE'!$A$2:$S$99,15,FALSE),"N/A")</f>
        <v>High</v>
      </c>
      <c r="F39" s="21" t="str">
        <f>IFERROR(VLOOKUP($G39,'02_REFERENCE'!$A$2:$S$99,17,FALSE),"N/A")</f>
        <v>Yes</v>
      </c>
      <c r="G39" s="21" t="inlineStr">
        <is>
          <t>S1-RT-023</t>
        </is>
      </c>
      <c r="H39" s="21" t="inlineStr">
        <is>
          <t>Primary TP</t>
        </is>
      </c>
      <c r="I39" s="21" t="inlineStr">
        <is>
          <t>TP</t>
        </is>
      </c>
      <c r="J39" s="21" t="inlineStr">
        <is>
          <t>M</t>
        </is>
      </c>
      <c r="K39" s="21" t="inlineStr">
        <is>
          <t>Y</t>
        </is>
      </c>
      <c r="L39" s="21" t="inlineStr">
        <is>
          <t>No</t>
        </is>
      </c>
      <c r="M39" s="21" t="inlineStr"/>
      <c r="N39" s="22" t="inlineStr">
        <is>
          <t>Storing malicious content (OWASP Automated Threat #17) in the context repository -&gt; attacker-influenced content later enters assistant context -&gt; reference S1-RT-023 (indirect prompt injection through the context repository).</t>
        </is>
      </c>
      <c r="O39" s="5" t="inlineStr">
        <is>
          <t>stored_prompt_injection</t>
        </is>
      </c>
      <c r="P39" s="16" t="inlineStr">
        <is>
          <t>Spamming</t>
        </is>
      </c>
      <c r="Q39" s="16" t="inlineStr">
        <is>
          <t>DS3 Knowledge Base</t>
        </is>
      </c>
      <c r="R39" s="16" t="inlineStr"/>
      <c r="S39" s="5" t="inlineStr">
        <is>
          <t>Confirmed</t>
        </is>
      </c>
    </row>
    <row r="40" ht="16" customHeight="1">
      <c r="A40" s="5" t="inlineStr">
        <is>
          <t>TMT-S1-F001</t>
        </is>
      </c>
      <c r="B40" s="5" t="inlineStr">
        <is>
          <t>TMT</t>
        </is>
      </c>
      <c r="C40" s="5" t="inlineStr">
        <is>
          <t>S1</t>
        </is>
      </c>
      <c r="D40" s="21" t="str">
        <f>IFERROR(VLOOKUP($G40,'02_REFERENCE'!$A$2:$S$99,4,FALSE),"N/A")</f>
        <v>N/A</v>
      </c>
      <c r="E40" s="21" t="str">
        <f>IFERROR(VLOOKUP($G40,'02_REFERENCE'!$A$2:$S$99,15,FALSE),"N/A")</f>
        <v>N/A</v>
      </c>
      <c r="F40" s="21" t="str">
        <f>IFERROR(VLOOKUP($G40,'02_REFERENCE'!$A$2:$S$99,17,FALSE),"N/A")</f>
        <v>N/A</v>
      </c>
      <c r="G40" s="21" t="inlineStr"/>
      <c r="H40" s="21" t="inlineStr">
        <is>
          <t>False Positive</t>
        </is>
      </c>
      <c r="I40" s="21" t="inlineStr">
        <is>
          <t>FP</t>
        </is>
      </c>
      <c r="J40" s="21" t="inlineStr">
        <is>
          <t>M</t>
        </is>
      </c>
      <c r="K40" s="21" t="inlineStr">
        <is>
          <t>N</t>
        </is>
      </c>
      <c r="L40" s="21" t="inlineStr">
        <is>
          <t>No</t>
        </is>
      </c>
      <c r="M40" s="21" t="inlineStr"/>
      <c r="N40" s="22" t="inlineStr">
        <is>
          <t>Process-identity spoofing / memory-integrity template; no reference mechanism (authentication bypass RT-004 is logic-based, not process-spoofing).</t>
        </is>
      </c>
      <c r="O40" s="5" t="inlineStr"/>
      <c r="P40" s="16" t="inlineStr">
        <is>
          <t>EE1 End User (Browser) Process Memory Tampered</t>
        </is>
      </c>
      <c r="Q40" s="16" t="inlineStr">
        <is>
          <t>Diagram 1</t>
        </is>
      </c>
      <c r="R40" s="16" t="inlineStr">
        <is>
          <t>Registration/Login Credentials</t>
        </is>
      </c>
      <c r="S40" s="5" t="inlineStr">
        <is>
          <t>Confirmed</t>
        </is>
      </c>
    </row>
    <row r="41" ht="16" customHeight="1">
      <c r="A41" s="5" t="inlineStr">
        <is>
          <t>TMT-S1-F002</t>
        </is>
      </c>
      <c r="B41" s="5" t="inlineStr">
        <is>
          <t>TMT</t>
        </is>
      </c>
      <c r="C41" s="5" t="inlineStr">
        <is>
          <t>S1</t>
        </is>
      </c>
      <c r="D41" s="21" t="str">
        <f>IFERROR(VLOOKUP($G41,'02_REFERENCE'!$A$2:$S$99,4,FALSE),"N/A")</f>
        <v>N/A</v>
      </c>
      <c r="E41" s="21" t="str">
        <f>IFERROR(VLOOKUP($G41,'02_REFERENCE'!$A$2:$S$99,15,FALSE),"N/A")</f>
        <v>N/A</v>
      </c>
      <c r="F41" s="21" t="str">
        <f>IFERROR(VLOOKUP($G41,'02_REFERENCE'!$A$2:$S$99,17,FALSE),"N/A")</f>
        <v>N/A</v>
      </c>
      <c r="G41" s="21" t="inlineStr"/>
      <c r="H41" s="21" t="inlineStr">
        <is>
          <t>False Positive</t>
        </is>
      </c>
      <c r="I41" s="21" t="inlineStr">
        <is>
          <t>FP</t>
        </is>
      </c>
      <c r="J41" s="21" t="inlineStr">
        <is>
          <t>M</t>
        </is>
      </c>
      <c r="K41" s="21" t="inlineStr">
        <is>
          <t>N</t>
        </is>
      </c>
      <c r="L41" s="21" t="inlineStr">
        <is>
          <t>No</t>
        </is>
      </c>
      <c r="M41" s="21" t="inlineStr"/>
      <c r="N41" s="22" t="inlineStr">
        <is>
          <t>XSS template on a flow without a matching reference mechanism (no generic XSS reference in the baseline).</t>
        </is>
      </c>
      <c r="O41" s="5" t="inlineStr"/>
      <c r="P41" s="16" t="inlineStr">
        <is>
          <t>Cross Site Scripting</t>
        </is>
      </c>
      <c r="Q41" s="16" t="inlineStr">
        <is>
          <t>Diagram 1</t>
        </is>
      </c>
      <c r="R41" s="16" t="inlineStr">
        <is>
          <t>Registration/Login Credentials</t>
        </is>
      </c>
      <c r="S41" s="5" t="inlineStr">
        <is>
          <t>Confirmed</t>
        </is>
      </c>
    </row>
    <row r="42" ht="16" customHeight="1">
      <c r="A42" s="5" t="inlineStr">
        <is>
          <t>TMT-S1-F003</t>
        </is>
      </c>
      <c r="B42" s="5" t="inlineStr">
        <is>
          <t>TMT</t>
        </is>
      </c>
      <c r="C42" s="5" t="inlineStr">
        <is>
          <t>S1</t>
        </is>
      </c>
      <c r="D42" s="21" t="str">
        <f>IFERROR(VLOOKUP($G42,'02_REFERENCE'!$A$2:$S$99,4,FALSE),"N/A")</f>
        <v>N/A</v>
      </c>
      <c r="E42" s="21" t="str">
        <f>IFERROR(VLOOKUP($G42,'02_REFERENCE'!$A$2:$S$99,15,FALSE),"N/A")</f>
        <v>N/A</v>
      </c>
      <c r="F42" s="21" t="str">
        <f>IFERROR(VLOOKUP($G42,'02_REFERENCE'!$A$2:$S$99,17,FALSE),"N/A")</f>
        <v>N/A</v>
      </c>
      <c r="G42" s="21" t="inlineStr"/>
      <c r="H42" s="21" t="inlineStr">
        <is>
          <t>False Positive</t>
        </is>
      </c>
      <c r="I42" s="21" t="inlineStr">
        <is>
          <t>FP</t>
        </is>
      </c>
      <c r="J42" s="21" t="inlineStr">
        <is>
          <t>M</t>
        </is>
      </c>
      <c r="K42" s="21" t="inlineStr">
        <is>
          <t>N</t>
        </is>
      </c>
      <c r="L42" s="21" t="inlineStr">
        <is>
          <t>No</t>
        </is>
      </c>
      <c r="M42" s="21" t="inlineStr"/>
      <c r="N42" s="22" t="inlineStr">
        <is>
          <t>Process-identity spoofing / memory-integrity template; no reference mechanism (authentication bypass RT-004 is logic-based, not process-spoofing).</t>
        </is>
      </c>
      <c r="O42" s="5" t="inlineStr"/>
      <c r="P42" s="16" t="inlineStr">
        <is>
          <t>Elevation Using Impersonation</t>
        </is>
      </c>
      <c r="Q42" s="16" t="inlineStr">
        <is>
          <t>Diagram 1</t>
        </is>
      </c>
      <c r="R42" s="16" t="inlineStr">
        <is>
          <t>Registration/Login Credentials</t>
        </is>
      </c>
      <c r="S42" s="5" t="inlineStr">
        <is>
          <t>Confirmed</t>
        </is>
      </c>
    </row>
    <row r="43" ht="16" customHeight="1">
      <c r="A43" s="5" t="inlineStr">
        <is>
          <t>TMT-S1-F004</t>
        </is>
      </c>
      <c r="B43" s="5" t="inlineStr">
        <is>
          <t>TMT</t>
        </is>
      </c>
      <c r="C43" s="5" t="inlineStr">
        <is>
          <t>S1</t>
        </is>
      </c>
      <c r="D43" s="21" t="str">
        <f>IFERROR(VLOOKUP($G43,'02_REFERENCE'!$A$2:$S$99,4,FALSE),"N/A")</f>
        <v>N/A</v>
      </c>
      <c r="E43" s="21" t="str">
        <f>IFERROR(VLOOKUP($G43,'02_REFERENCE'!$A$2:$S$99,15,FALSE),"N/A")</f>
        <v>N/A</v>
      </c>
      <c r="F43" s="21" t="str">
        <f>IFERROR(VLOOKUP($G43,'02_REFERENCE'!$A$2:$S$99,17,FALSE),"N/A")</f>
        <v>N/A</v>
      </c>
      <c r="G43" s="21" t="inlineStr"/>
      <c r="H43" s="21" t="inlineStr">
        <is>
          <t>False Positive</t>
        </is>
      </c>
      <c r="I43" s="21" t="inlineStr">
        <is>
          <t>FP</t>
        </is>
      </c>
      <c r="J43" s="21" t="inlineStr">
        <is>
          <t>M</t>
        </is>
      </c>
      <c r="K43" s="21" t="inlineStr">
        <is>
          <t>N</t>
        </is>
      </c>
      <c r="L43" s="21" t="inlineStr">
        <is>
          <t>No</t>
        </is>
      </c>
      <c r="M43" s="21" t="inlineStr"/>
      <c r="N43" s="22" t="inlineStr">
        <is>
          <t>Process-identity spoofing / memory-integrity template; no reference mechanism (authentication bypass RT-004 is logic-based, not process-spoofing).</t>
        </is>
      </c>
      <c r="O43" s="5" t="inlineStr"/>
      <c r="P43" s="16" t="inlineStr">
        <is>
          <t>P1 Web Frontend Interface Process Memory Tampered</t>
        </is>
      </c>
      <c r="Q43" s="16" t="inlineStr">
        <is>
          <t>Diagram 1</t>
        </is>
      </c>
      <c r="R43" s="16" t="inlineStr">
        <is>
          <t>Credential Submission</t>
        </is>
      </c>
      <c r="S43" s="5" t="inlineStr">
        <is>
          <t>Confirmed</t>
        </is>
      </c>
    </row>
    <row r="44" ht="16" customHeight="1">
      <c r="A44" s="5" t="inlineStr">
        <is>
          <t>TMT-S1-F005</t>
        </is>
      </c>
      <c r="B44" s="5" t="inlineStr">
        <is>
          <t>TMT</t>
        </is>
      </c>
      <c r="C44" s="5" t="inlineStr">
        <is>
          <t>S1</t>
        </is>
      </c>
      <c r="D44" s="21" t="str">
        <f>IFERROR(VLOOKUP($G44,'02_REFERENCE'!$A$2:$S$99,4,FALSE),"N/A")</f>
        <v>N/A</v>
      </c>
      <c r="E44" s="21" t="str">
        <f>IFERROR(VLOOKUP($G44,'02_REFERENCE'!$A$2:$S$99,15,FALSE),"N/A")</f>
        <v>N/A</v>
      </c>
      <c r="F44" s="21" t="str">
        <f>IFERROR(VLOOKUP($G44,'02_REFERENCE'!$A$2:$S$99,17,FALSE),"N/A")</f>
        <v>N/A</v>
      </c>
      <c r="G44" s="21" t="inlineStr"/>
      <c r="H44" s="21" t="inlineStr">
        <is>
          <t>False Positive</t>
        </is>
      </c>
      <c r="I44" s="21" t="inlineStr">
        <is>
          <t>FP</t>
        </is>
      </c>
      <c r="J44" s="21" t="inlineStr">
        <is>
          <t>M</t>
        </is>
      </c>
      <c r="K44" s="21" t="inlineStr">
        <is>
          <t>N</t>
        </is>
      </c>
      <c r="L44" s="21" t="inlineStr">
        <is>
          <t>No</t>
        </is>
      </c>
      <c r="M44" s="21" t="inlineStr"/>
      <c r="N44" s="22" t="inlineStr">
        <is>
          <t>Process-identity spoofing / memory-integrity template; no reference mechanism (authentication bypass RT-004 is logic-based, not process-spoofing).</t>
        </is>
      </c>
      <c r="O44" s="5" t="inlineStr"/>
      <c r="P44" s="16" t="inlineStr">
        <is>
          <t>Elevation Using Impersonation</t>
        </is>
      </c>
      <c r="Q44" s="16" t="inlineStr">
        <is>
          <t>Diagram 1</t>
        </is>
      </c>
      <c r="R44" s="16" t="inlineStr">
        <is>
          <t>Credential Submission</t>
        </is>
      </c>
      <c r="S44" s="5" t="inlineStr">
        <is>
          <t>Confirmed</t>
        </is>
      </c>
    </row>
    <row r="45" ht="16" customHeight="1">
      <c r="A45" s="5" t="inlineStr">
        <is>
          <t>TMT-S1-F006</t>
        </is>
      </c>
      <c r="B45" s="5" t="inlineStr">
        <is>
          <t>TMT</t>
        </is>
      </c>
      <c r="C45" s="5" t="inlineStr">
        <is>
          <t>S1</t>
        </is>
      </c>
      <c r="D45" s="21" t="str">
        <f>IFERROR(VLOOKUP($G45,'02_REFERENCE'!$A$2:$S$99,4,FALSE),"N/A")</f>
        <v>N/A</v>
      </c>
      <c r="E45" s="21" t="str">
        <f>IFERROR(VLOOKUP($G45,'02_REFERENCE'!$A$2:$S$99,15,FALSE),"N/A")</f>
        <v>N/A</v>
      </c>
      <c r="F45" s="21" t="str">
        <f>IFERROR(VLOOKUP($G45,'02_REFERENCE'!$A$2:$S$99,17,FALSE),"N/A")</f>
        <v>N/A</v>
      </c>
      <c r="G45" s="21" t="inlineStr"/>
      <c r="H45" s="21" t="inlineStr">
        <is>
          <t>False Positive</t>
        </is>
      </c>
      <c r="I45" s="21" t="inlineStr">
        <is>
          <t>FP</t>
        </is>
      </c>
      <c r="J45" s="21" t="inlineStr">
        <is>
          <t>M</t>
        </is>
      </c>
      <c r="K45" s="21" t="inlineStr">
        <is>
          <t>N</t>
        </is>
      </c>
      <c r="L45" s="21" t="inlineStr">
        <is>
          <t>No</t>
        </is>
      </c>
      <c r="M45" s="21" t="inlineStr"/>
      <c r="N45" s="22" t="inlineStr">
        <is>
          <t>Process-identity spoofing / memory-integrity template; no reference mechanism (authentication bypass RT-004 is logic-based, not process-spoofing).</t>
        </is>
      </c>
      <c r="O45" s="5" t="inlineStr"/>
      <c r="P45" s="16" t="inlineStr">
        <is>
          <t>Spoofing of Destination Data Store DS1 Backend User Database</t>
        </is>
      </c>
      <c r="Q45" s="16" t="inlineStr">
        <is>
          <t>Diagram 1</t>
        </is>
      </c>
      <c r="R45" s="16" t="inlineStr">
        <is>
          <t>Credential Verification Request</t>
        </is>
      </c>
      <c r="S45" s="5" t="inlineStr">
        <is>
          <t>Confirmed</t>
        </is>
      </c>
    </row>
    <row r="46" ht="16" customHeight="1">
      <c r="A46" s="5" t="inlineStr">
        <is>
          <t>TMT-S1-F007</t>
        </is>
      </c>
      <c r="B46" s="5" t="inlineStr">
        <is>
          <t>TMT</t>
        </is>
      </c>
      <c r="C46" s="5" t="inlineStr">
        <is>
          <t>S1</t>
        </is>
      </c>
      <c r="D46" s="21" t="str">
        <f>IFERROR(VLOOKUP($G46,'02_REFERENCE'!$A$2:$S$99,4,FALSE),"N/A")</f>
        <v>Tampering</v>
      </c>
      <c r="E46" s="21" t="str">
        <f>IFERROR(VLOOKUP($G46,'02_REFERENCE'!$A$2:$S$99,15,FALSE),"N/A")</f>
        <v>Critical</v>
      </c>
      <c r="F46" s="21" t="str">
        <f>IFERROR(VLOOKUP($G46,'02_REFERENCE'!$A$2:$S$99,17,FALSE),"N/A")</f>
        <v>No</v>
      </c>
      <c r="G46" s="21" t="inlineStr">
        <is>
          <t>S1-RT-008</t>
        </is>
      </c>
      <c r="H46" s="21" t="inlineStr">
        <is>
          <t>Primary TP</t>
        </is>
      </c>
      <c r="I46" s="21" t="inlineStr">
        <is>
          <t>TP</t>
        </is>
      </c>
      <c r="J46" s="21" t="inlineStr">
        <is>
          <t>M</t>
        </is>
      </c>
      <c r="K46" s="21" t="inlineStr">
        <is>
          <t>Y</t>
        </is>
      </c>
      <c r="L46" s="21" t="inlineStr">
        <is>
          <t>No</t>
        </is>
      </c>
      <c r="M46" s="21" t="inlineStr"/>
      <c r="N46" s="22" t="inlineStr">
        <is>
          <t>SQL-injection template on the verification/lookup exchange -&gt; reference S1-RT-008.</t>
        </is>
      </c>
      <c r="O46" s="5" t="inlineStr">
        <is>
          <t>injection_verification</t>
        </is>
      </c>
      <c r="P46" s="16" t="inlineStr">
        <is>
          <t>Potential SQL Injection Vulnerability for DS1 Backend User Database</t>
        </is>
      </c>
      <c r="Q46" s="16" t="inlineStr">
        <is>
          <t>Diagram 1</t>
        </is>
      </c>
      <c r="R46" s="16" t="inlineStr">
        <is>
          <t>Credential Verification Request</t>
        </is>
      </c>
      <c r="S46" s="5" t="inlineStr">
        <is>
          <t>Confirmed</t>
        </is>
      </c>
    </row>
    <row r="47" ht="16" customHeight="1">
      <c r="A47" s="5" t="inlineStr">
        <is>
          <t>TMT-S1-F008</t>
        </is>
      </c>
      <c r="B47" s="5" t="inlineStr">
        <is>
          <t>TMT</t>
        </is>
      </c>
      <c r="C47" s="5" t="inlineStr">
        <is>
          <t>S1</t>
        </is>
      </c>
      <c r="D47" s="21" t="str">
        <f>IFERROR(VLOOKUP($G47,'02_REFERENCE'!$A$2:$S$99,4,FALSE),"N/A")</f>
        <v>Denial of Service</v>
      </c>
      <c r="E47" s="21" t="str">
        <f>IFERROR(VLOOKUP($G47,'02_REFERENCE'!$A$2:$S$99,15,FALSE),"N/A")</f>
        <v>Medium</v>
      </c>
      <c r="F47" s="21" t="str">
        <f>IFERROR(VLOOKUP($G47,'02_REFERENCE'!$A$2:$S$99,17,FALSE),"N/A")</f>
        <v>No</v>
      </c>
      <c r="G47" s="21" t="inlineStr">
        <is>
          <t>S1-RT-028</t>
        </is>
      </c>
      <c r="H47" s="21" t="inlineStr">
        <is>
          <t>Primary TP</t>
        </is>
      </c>
      <c r="I47" s="21" t="inlineStr">
        <is>
          <t>TP</t>
        </is>
      </c>
      <c r="J47" s="21" t="inlineStr">
        <is>
          <t>M</t>
        </is>
      </c>
      <c r="K47" s="21" t="inlineStr">
        <is>
          <t>Y</t>
        </is>
      </c>
      <c r="L47" s="21" t="inlineStr">
        <is>
          <t>No</t>
        </is>
      </c>
      <c r="M47" s="21" t="inlineStr"/>
      <c r="N47" s="22" t="inlineStr">
        <is>
          <t>Excessive resource consumption of the primary service -&gt; reference S1-RT-028.</t>
        </is>
      </c>
      <c r="O47" s="5" t="inlineStr">
        <is>
          <t>dos_service</t>
        </is>
      </c>
      <c r="P47" s="16" t="inlineStr">
        <is>
          <t>Potential Excessive Resource Consumption for P2 Authentication Server or DS1 Backend User Database</t>
        </is>
      </c>
      <c r="Q47" s="16" t="inlineStr">
        <is>
          <t>Diagram 1</t>
        </is>
      </c>
      <c r="R47" s="16" t="inlineStr">
        <is>
          <t>Credential Verification Request</t>
        </is>
      </c>
      <c r="S47" s="5" t="inlineStr">
        <is>
          <t>Confirmed</t>
        </is>
      </c>
    </row>
    <row r="48" ht="16" customHeight="1">
      <c r="A48" s="5" t="inlineStr">
        <is>
          <t>TMT-S1-F009</t>
        </is>
      </c>
      <c r="B48" s="5" t="inlineStr">
        <is>
          <t>TMT</t>
        </is>
      </c>
      <c r="C48" s="5" t="inlineStr">
        <is>
          <t>S1</t>
        </is>
      </c>
      <c r="D48" s="21" t="str">
        <f>IFERROR(VLOOKUP($G48,'02_REFERENCE'!$A$2:$S$99,4,FALSE),"N/A")</f>
        <v>N/A</v>
      </c>
      <c r="E48" s="21" t="str">
        <f>IFERROR(VLOOKUP($G48,'02_REFERENCE'!$A$2:$S$99,15,FALSE),"N/A")</f>
        <v>N/A</v>
      </c>
      <c r="F48" s="21" t="str">
        <f>IFERROR(VLOOKUP($G48,'02_REFERENCE'!$A$2:$S$99,17,FALSE),"N/A")</f>
        <v>N/A</v>
      </c>
      <c r="G48" s="21" t="inlineStr"/>
      <c r="H48" s="21" t="inlineStr">
        <is>
          <t>False Positive</t>
        </is>
      </c>
      <c r="I48" s="21" t="inlineStr">
        <is>
          <t>FP</t>
        </is>
      </c>
      <c r="J48" s="21" t="inlineStr">
        <is>
          <t>M</t>
        </is>
      </c>
      <c r="K48" s="21" t="inlineStr">
        <is>
          <t>N</t>
        </is>
      </c>
      <c r="L48" s="21" t="inlineStr">
        <is>
          <t>No</t>
        </is>
      </c>
      <c r="M48" s="21" t="inlineStr"/>
      <c r="N48" s="22" t="inlineStr">
        <is>
          <t>Process-identity spoofing / memory-integrity template; no reference mechanism (authentication bypass RT-004 is logic-based, not process-spoofing).</t>
        </is>
      </c>
      <c r="O48" s="5" t="inlineStr"/>
      <c r="P48" s="16" t="inlineStr">
        <is>
          <t>P2 Authentication Server Process Memory Tampered</t>
        </is>
      </c>
      <c r="Q48" s="16" t="inlineStr">
        <is>
          <t>Diagram 1</t>
        </is>
      </c>
      <c r="R48" s="16" t="inlineStr">
        <is>
          <t>Session Token Generation</t>
        </is>
      </c>
      <c r="S48" s="5" t="inlineStr">
        <is>
          <t>Confirmed</t>
        </is>
      </c>
    </row>
    <row r="49" ht="16" customHeight="1">
      <c r="A49" s="5" t="inlineStr">
        <is>
          <t>TMT-S1-F010</t>
        </is>
      </c>
      <c r="B49" s="5" t="inlineStr">
        <is>
          <t>TMT</t>
        </is>
      </c>
      <c r="C49" s="5" t="inlineStr">
        <is>
          <t>S1</t>
        </is>
      </c>
      <c r="D49" s="21" t="str">
        <f>IFERROR(VLOOKUP($G49,'02_REFERENCE'!$A$2:$S$99,4,FALSE),"N/A")</f>
        <v>N/A</v>
      </c>
      <c r="E49" s="21" t="str">
        <f>IFERROR(VLOOKUP($G49,'02_REFERENCE'!$A$2:$S$99,15,FALSE),"N/A")</f>
        <v>N/A</v>
      </c>
      <c r="F49" s="21" t="str">
        <f>IFERROR(VLOOKUP($G49,'02_REFERENCE'!$A$2:$S$99,17,FALSE),"N/A")</f>
        <v>N/A</v>
      </c>
      <c r="G49" s="21" t="inlineStr"/>
      <c r="H49" s="21" t="inlineStr">
        <is>
          <t>False Positive</t>
        </is>
      </c>
      <c r="I49" s="21" t="inlineStr">
        <is>
          <t>FP</t>
        </is>
      </c>
      <c r="J49" s="21" t="inlineStr">
        <is>
          <t>M</t>
        </is>
      </c>
      <c r="K49" s="21" t="inlineStr">
        <is>
          <t>N</t>
        </is>
      </c>
      <c r="L49" s="21" t="inlineStr">
        <is>
          <t>No</t>
        </is>
      </c>
      <c r="M49" s="21" t="inlineStr"/>
      <c r="N49" s="22" t="inlineStr">
        <is>
          <t>Process-identity spoofing / memory-integrity template; no reference mechanism (authentication bypass RT-004 is logic-based, not process-spoofing).</t>
        </is>
      </c>
      <c r="O49" s="5" t="inlineStr"/>
      <c r="P49" s="16" t="inlineStr">
        <is>
          <t>Elevation Using Impersonation</t>
        </is>
      </c>
      <c r="Q49" s="16" t="inlineStr">
        <is>
          <t>Diagram 1</t>
        </is>
      </c>
      <c r="R49" s="16" t="inlineStr">
        <is>
          <t>Session Token Generation</t>
        </is>
      </c>
      <c r="S49" s="5" t="inlineStr">
        <is>
          <t>Confirmed</t>
        </is>
      </c>
    </row>
    <row r="50" ht="16" customHeight="1">
      <c r="A50" s="5" t="inlineStr">
        <is>
          <t>TMT-S1-F011</t>
        </is>
      </c>
      <c r="B50" s="5" t="inlineStr">
        <is>
          <t>TMT</t>
        </is>
      </c>
      <c r="C50" s="5" t="inlineStr">
        <is>
          <t>S1</t>
        </is>
      </c>
      <c r="D50" s="21" t="str">
        <f>IFERROR(VLOOKUP($G50,'02_REFERENCE'!$A$2:$S$99,4,FALSE),"N/A")</f>
        <v>N/A</v>
      </c>
      <c r="E50" s="21" t="str">
        <f>IFERROR(VLOOKUP($G50,'02_REFERENCE'!$A$2:$S$99,15,FALSE),"N/A")</f>
        <v>N/A</v>
      </c>
      <c r="F50" s="21" t="str">
        <f>IFERROR(VLOOKUP($G50,'02_REFERENCE'!$A$2:$S$99,17,FALSE),"N/A")</f>
        <v>N/A</v>
      </c>
      <c r="G50" s="21" t="inlineStr"/>
      <c r="H50" s="21" t="inlineStr">
        <is>
          <t>False Positive</t>
        </is>
      </c>
      <c r="I50" s="21" t="inlineStr">
        <is>
          <t>FP</t>
        </is>
      </c>
      <c r="J50" s="21" t="inlineStr">
        <is>
          <t>M</t>
        </is>
      </c>
      <c r="K50" s="21" t="inlineStr">
        <is>
          <t>N</t>
        </is>
      </c>
      <c r="L50" s="21" t="inlineStr">
        <is>
          <t>No</t>
        </is>
      </c>
      <c r="M50" s="21" t="inlineStr"/>
      <c r="N50" s="22" t="inlineStr">
        <is>
          <t>Process-identity spoofing / memory-integrity template; no reference mechanism (authentication bypass RT-004 is logic-based, not process-spoofing).</t>
        </is>
      </c>
      <c r="O50" s="5" t="inlineStr"/>
      <c r="P50" s="16" t="inlineStr">
        <is>
          <t>P2 Authentication Server Process Memory Tampered</t>
        </is>
      </c>
      <c r="Q50" s="16" t="inlineStr">
        <is>
          <t>Diagram 1</t>
        </is>
      </c>
      <c r="R50" s="16" t="inlineStr">
        <is>
          <t>Authentication Result</t>
        </is>
      </c>
      <c r="S50" s="5" t="inlineStr">
        <is>
          <t>Confirmed</t>
        </is>
      </c>
    </row>
    <row r="51" ht="16" customHeight="1">
      <c r="A51" s="5" t="inlineStr">
        <is>
          <t>TMT-S1-F012</t>
        </is>
      </c>
      <c r="B51" s="5" t="inlineStr">
        <is>
          <t>TMT</t>
        </is>
      </c>
      <c r="C51" s="5" t="inlineStr">
        <is>
          <t>S1</t>
        </is>
      </c>
      <c r="D51" s="21" t="str">
        <f>IFERROR(VLOOKUP($G51,'02_REFERENCE'!$A$2:$S$99,4,FALSE),"N/A")</f>
        <v>N/A</v>
      </c>
      <c r="E51" s="21" t="str">
        <f>IFERROR(VLOOKUP($G51,'02_REFERENCE'!$A$2:$S$99,15,FALSE),"N/A")</f>
        <v>N/A</v>
      </c>
      <c r="F51" s="21" t="str">
        <f>IFERROR(VLOOKUP($G51,'02_REFERENCE'!$A$2:$S$99,17,FALSE),"N/A")</f>
        <v>N/A</v>
      </c>
      <c r="G51" s="21" t="inlineStr"/>
      <c r="H51" s="21" t="inlineStr">
        <is>
          <t>False Positive</t>
        </is>
      </c>
      <c r="I51" s="21" t="inlineStr">
        <is>
          <t>FP</t>
        </is>
      </c>
      <c r="J51" s="21" t="inlineStr">
        <is>
          <t>M</t>
        </is>
      </c>
      <c r="K51" s="21" t="inlineStr">
        <is>
          <t>N</t>
        </is>
      </c>
      <c r="L51" s="21" t="inlineStr">
        <is>
          <t>No</t>
        </is>
      </c>
      <c r="M51" s="21" t="inlineStr"/>
      <c r="N51" s="22" t="inlineStr">
        <is>
          <t>XSS template on a flow without a matching reference mechanism (no generic XSS reference in the baseline).</t>
        </is>
      </c>
      <c r="O51" s="5" t="inlineStr"/>
      <c r="P51" s="16" t="inlineStr">
        <is>
          <t>Cross Site Scripting</t>
        </is>
      </c>
      <c r="Q51" s="16" t="inlineStr">
        <is>
          <t>Diagram 1</t>
        </is>
      </c>
      <c r="R51" s="16" t="inlineStr">
        <is>
          <t>Authentication Result</t>
        </is>
      </c>
      <c r="S51" s="5" t="inlineStr">
        <is>
          <t>Confirmed</t>
        </is>
      </c>
    </row>
    <row r="52" ht="16" customHeight="1">
      <c r="A52" s="5" t="inlineStr">
        <is>
          <t>TMT-S1-F013</t>
        </is>
      </c>
      <c r="B52" s="5" t="inlineStr">
        <is>
          <t>TMT</t>
        </is>
      </c>
      <c r="C52" s="5" t="inlineStr">
        <is>
          <t>S1</t>
        </is>
      </c>
      <c r="D52" s="21" t="str">
        <f>IFERROR(VLOOKUP($G52,'02_REFERENCE'!$A$2:$S$99,4,FALSE),"N/A")</f>
        <v>N/A</v>
      </c>
      <c r="E52" s="21" t="str">
        <f>IFERROR(VLOOKUP($G52,'02_REFERENCE'!$A$2:$S$99,15,FALSE),"N/A")</f>
        <v>N/A</v>
      </c>
      <c r="F52" s="21" t="str">
        <f>IFERROR(VLOOKUP($G52,'02_REFERENCE'!$A$2:$S$99,17,FALSE),"N/A")</f>
        <v>N/A</v>
      </c>
      <c r="G52" s="21" t="inlineStr"/>
      <c r="H52" s="21" t="inlineStr">
        <is>
          <t>False Positive</t>
        </is>
      </c>
      <c r="I52" s="21" t="inlineStr">
        <is>
          <t>FP</t>
        </is>
      </c>
      <c r="J52" s="21" t="inlineStr">
        <is>
          <t>M</t>
        </is>
      </c>
      <c r="K52" s="21" t="inlineStr">
        <is>
          <t>N</t>
        </is>
      </c>
      <c r="L52" s="21" t="inlineStr">
        <is>
          <t>No</t>
        </is>
      </c>
      <c r="M52" s="21" t="inlineStr"/>
      <c r="N52" s="22" t="inlineStr">
        <is>
          <t>Process-identity spoofing / memory-integrity template; no reference mechanism (authentication bypass RT-004 is logic-based, not process-spoofing).</t>
        </is>
      </c>
      <c r="O52" s="5" t="inlineStr"/>
      <c r="P52" s="16" t="inlineStr">
        <is>
          <t>Elevation Using Impersonation</t>
        </is>
      </c>
      <c r="Q52" s="16" t="inlineStr">
        <is>
          <t>Diagram 1</t>
        </is>
      </c>
      <c r="R52" s="16" t="inlineStr">
        <is>
          <t>Authentication Result</t>
        </is>
      </c>
      <c r="S52" s="5" t="inlineStr">
        <is>
          <t>Confirmed</t>
        </is>
      </c>
    </row>
    <row r="53" ht="16" customHeight="1">
      <c r="A53" s="5" t="inlineStr">
        <is>
          <t>TMT-S1-F014</t>
        </is>
      </c>
      <c r="B53" s="5" t="inlineStr">
        <is>
          <t>TMT</t>
        </is>
      </c>
      <c r="C53" s="5" t="inlineStr">
        <is>
          <t>S1</t>
        </is>
      </c>
      <c r="D53" s="21" t="str">
        <f>IFERROR(VLOOKUP($G53,'02_REFERENCE'!$A$2:$S$99,4,FALSE),"N/A")</f>
        <v>N/A</v>
      </c>
      <c r="E53" s="21" t="str">
        <f>IFERROR(VLOOKUP($G53,'02_REFERENCE'!$A$2:$S$99,15,FALSE),"N/A")</f>
        <v>N/A</v>
      </c>
      <c r="F53" s="21" t="str">
        <f>IFERROR(VLOOKUP($G53,'02_REFERENCE'!$A$2:$S$99,17,FALSE),"N/A")</f>
        <v>N/A</v>
      </c>
      <c r="G53" s="21" t="inlineStr"/>
      <c r="H53" s="21" t="inlineStr">
        <is>
          <t>False Positive</t>
        </is>
      </c>
      <c r="I53" s="21" t="inlineStr">
        <is>
          <t>FP</t>
        </is>
      </c>
      <c r="J53" s="21" t="inlineStr">
        <is>
          <t>M</t>
        </is>
      </c>
      <c r="K53" s="21" t="inlineStr">
        <is>
          <t>N</t>
        </is>
      </c>
      <c r="L53" s="21" t="inlineStr">
        <is>
          <t>No</t>
        </is>
      </c>
      <c r="M53" s="21" t="inlineStr"/>
      <c r="N53" s="22" t="inlineStr">
        <is>
          <t>Process-identity spoofing / memory-integrity template; no reference mechanism (authentication bypass RT-004 is logic-based, not process-spoofing).</t>
        </is>
      </c>
      <c r="O53" s="5" t="inlineStr"/>
      <c r="P53" s="16" t="inlineStr">
        <is>
          <t>Spoofing of Source Data Store DS1 Backend User Database</t>
        </is>
      </c>
      <c r="Q53" s="16" t="inlineStr">
        <is>
          <t>Diagram 1</t>
        </is>
      </c>
      <c r="R53" s="16" t="inlineStr">
        <is>
          <t>Credential Verification Result</t>
        </is>
      </c>
      <c r="S53" s="5" t="inlineStr">
        <is>
          <t>Confirmed</t>
        </is>
      </c>
    </row>
    <row r="54" ht="16" customHeight="1">
      <c r="A54" s="5" t="inlineStr">
        <is>
          <t>TMT-S1-F015</t>
        </is>
      </c>
      <c r="B54" s="5" t="inlineStr">
        <is>
          <t>TMT</t>
        </is>
      </c>
      <c r="C54" s="5" t="inlineStr">
        <is>
          <t>S1</t>
        </is>
      </c>
      <c r="D54" s="21" t="str">
        <f>IFERROR(VLOOKUP($G54,'02_REFERENCE'!$A$2:$S$99,4,FALSE),"N/A")</f>
        <v>Information Disclosure</v>
      </c>
      <c r="E54" s="21" t="str">
        <f>IFERROR(VLOOKUP($G54,'02_REFERENCE'!$A$2:$S$99,15,FALSE),"N/A")</f>
        <v>Critical</v>
      </c>
      <c r="F54" s="21" t="str">
        <f>IFERROR(VLOOKUP($G54,'02_REFERENCE'!$A$2:$S$99,17,FALSE),"N/A")</f>
        <v>No</v>
      </c>
      <c r="G54" s="21" t="inlineStr">
        <is>
          <t>S1-RT-018</t>
        </is>
      </c>
      <c r="H54" s="21" t="inlineStr">
        <is>
          <t>Primary TP</t>
        </is>
      </c>
      <c r="I54" s="21" t="inlineStr">
        <is>
          <t>TP</t>
        </is>
      </c>
      <c r="J54" s="21" t="inlineStr">
        <is>
          <t>M</t>
        </is>
      </c>
      <c r="K54" s="21" t="inlineStr">
        <is>
          <t>Y</t>
        </is>
      </c>
      <c r="L54" s="21" t="inlineStr">
        <is>
          <t>No</t>
        </is>
      </c>
      <c r="M54" s="21" t="inlineStr"/>
      <c r="N54" s="22" t="inlineStr">
        <is>
          <t>Weak access control on a data-store resource -&gt; unauthorized read of store contents -&gt; reference S1-RT-018.</t>
        </is>
      </c>
      <c r="O54" s="5" t="inlineStr">
        <is>
          <t>mass_disclosure</t>
        </is>
      </c>
      <c r="P54" s="16" t="inlineStr">
        <is>
          <t>Weak Access Control for a Resource</t>
        </is>
      </c>
      <c r="Q54" s="16" t="inlineStr">
        <is>
          <t>Diagram 1</t>
        </is>
      </c>
      <c r="R54" s="16" t="inlineStr">
        <is>
          <t>Credential Verification Result</t>
        </is>
      </c>
      <c r="S54" s="5" t="inlineStr">
        <is>
          <t>Confirmed</t>
        </is>
      </c>
    </row>
    <row r="55" ht="16" customHeight="1">
      <c r="A55" s="5" t="inlineStr">
        <is>
          <t>TMT-S1-F016</t>
        </is>
      </c>
      <c r="B55" s="5" t="inlineStr">
        <is>
          <t>TMT</t>
        </is>
      </c>
      <c r="C55" s="5" t="inlineStr">
        <is>
          <t>S1</t>
        </is>
      </c>
      <c r="D55" s="21" t="str">
        <f>IFERROR(VLOOKUP($G55,'02_REFERENCE'!$A$2:$S$99,4,FALSE),"N/A")</f>
        <v>N/A</v>
      </c>
      <c r="E55" s="21" t="str">
        <f>IFERROR(VLOOKUP($G55,'02_REFERENCE'!$A$2:$S$99,15,FALSE),"N/A")</f>
        <v>N/A</v>
      </c>
      <c r="F55" s="21" t="str">
        <f>IFERROR(VLOOKUP($G55,'02_REFERENCE'!$A$2:$S$99,17,FALSE),"N/A")</f>
        <v>N/A</v>
      </c>
      <c r="G55" s="21" t="inlineStr"/>
      <c r="H55" s="21" t="inlineStr">
        <is>
          <t>False Positive</t>
        </is>
      </c>
      <c r="I55" s="21" t="inlineStr">
        <is>
          <t>FP</t>
        </is>
      </c>
      <c r="J55" s="21" t="inlineStr">
        <is>
          <t>M</t>
        </is>
      </c>
      <c r="K55" s="21" t="inlineStr">
        <is>
          <t>N</t>
        </is>
      </c>
      <c r="L55" s="21" t="inlineStr">
        <is>
          <t>No</t>
        </is>
      </c>
      <c r="M55" s="21" t="inlineStr"/>
      <c r="N55" s="22" t="inlineStr">
        <is>
          <t>Process-identity spoofing / memory-integrity template; no reference mechanism (authentication bypass RT-004 is logic-based, not process-spoofing).</t>
        </is>
      </c>
      <c r="O55" s="5" t="inlineStr"/>
      <c r="P55" s="16" t="inlineStr">
        <is>
          <t>P3 Session Management Module Process Memory Tampered</t>
        </is>
      </c>
      <c r="Q55" s="16" t="inlineStr">
        <is>
          <t>Diagram 1</t>
        </is>
      </c>
      <c r="R55" s="16" t="inlineStr">
        <is>
          <t>Session Token</t>
        </is>
      </c>
      <c r="S55" s="5" t="inlineStr">
        <is>
          <t>Confirmed</t>
        </is>
      </c>
    </row>
    <row r="56" ht="16" customHeight="1">
      <c r="A56" s="5" t="inlineStr">
        <is>
          <t>TMT-S1-F017</t>
        </is>
      </c>
      <c r="B56" s="5" t="inlineStr">
        <is>
          <t>TMT</t>
        </is>
      </c>
      <c r="C56" s="5" t="inlineStr">
        <is>
          <t>S1</t>
        </is>
      </c>
      <c r="D56" s="21" t="str">
        <f>IFERROR(VLOOKUP($G56,'02_REFERENCE'!$A$2:$S$99,4,FALSE),"N/A")</f>
        <v>Spoofing</v>
      </c>
      <c r="E56" s="21" t="str">
        <f>IFERROR(VLOOKUP($G56,'02_REFERENCE'!$A$2:$S$99,15,FALSE),"N/A")</f>
        <v>Critical</v>
      </c>
      <c r="F56" s="21" t="str">
        <f>IFERROR(VLOOKUP($G56,'02_REFERENCE'!$A$2:$S$99,17,FALSE),"N/A")</f>
        <v>No</v>
      </c>
      <c r="G56" s="21" t="inlineStr">
        <is>
          <t>S1-RT-014</t>
        </is>
      </c>
      <c r="H56" s="21" t="inlineStr">
        <is>
          <t>Primary TP</t>
        </is>
      </c>
      <c r="I56" s="21" t="inlineStr">
        <is>
          <t>TP</t>
        </is>
      </c>
      <c r="J56" s="21" t="inlineStr">
        <is>
          <t>M</t>
        </is>
      </c>
      <c r="K56" s="21" t="inlineStr">
        <is>
          <t>Y</t>
        </is>
      </c>
      <c r="L56" s="21" t="inlineStr">
        <is>
          <t>No</t>
        </is>
      </c>
      <c r="M56" s="21" t="inlineStr"/>
      <c r="N56" s="22" t="inlineStr">
        <is>
          <t>XSS on a session/token flow -&gt; client-side token theft at the delivery crossing -&gt; reference S1-RT-014.</t>
        </is>
      </c>
      <c r="O56" s="5" t="inlineStr">
        <is>
          <t>transit_token</t>
        </is>
      </c>
      <c r="P56" s="16" t="inlineStr">
        <is>
          <t>Cross Site Scripting</t>
        </is>
      </c>
      <c r="Q56" s="16" t="inlineStr">
        <is>
          <t>Diagram 1</t>
        </is>
      </c>
      <c r="R56" s="16" t="inlineStr">
        <is>
          <t>Session Token</t>
        </is>
      </c>
      <c r="S56" s="5" t="inlineStr">
        <is>
          <t>Confirmed</t>
        </is>
      </c>
    </row>
    <row r="57" ht="16" customHeight="1">
      <c r="A57" s="5" t="inlineStr">
        <is>
          <t>TMT-S1-F018</t>
        </is>
      </c>
      <c r="B57" s="5" t="inlineStr">
        <is>
          <t>TMT</t>
        </is>
      </c>
      <c r="C57" s="5" t="inlineStr">
        <is>
          <t>S1</t>
        </is>
      </c>
      <c r="D57" s="21" t="str">
        <f>IFERROR(VLOOKUP($G57,'02_REFERENCE'!$A$2:$S$99,4,FALSE),"N/A")</f>
        <v>N/A</v>
      </c>
      <c r="E57" s="21" t="str">
        <f>IFERROR(VLOOKUP($G57,'02_REFERENCE'!$A$2:$S$99,15,FALSE),"N/A")</f>
        <v>N/A</v>
      </c>
      <c r="F57" s="21" t="str">
        <f>IFERROR(VLOOKUP($G57,'02_REFERENCE'!$A$2:$S$99,17,FALSE),"N/A")</f>
        <v>N/A</v>
      </c>
      <c r="G57" s="21" t="inlineStr"/>
      <c r="H57" s="21" t="inlineStr">
        <is>
          <t>False Positive</t>
        </is>
      </c>
      <c r="I57" s="21" t="inlineStr">
        <is>
          <t>FP</t>
        </is>
      </c>
      <c r="J57" s="21" t="inlineStr">
        <is>
          <t>M</t>
        </is>
      </c>
      <c r="K57" s="21" t="inlineStr">
        <is>
          <t>N</t>
        </is>
      </c>
      <c r="L57" s="21" t="inlineStr">
        <is>
          <t>No</t>
        </is>
      </c>
      <c r="M57" s="21" t="inlineStr"/>
      <c r="N57" s="22" t="inlineStr">
        <is>
          <t>Process-identity spoofing / memory-integrity template; no reference mechanism (authentication bypass RT-004 is logic-based, not process-spoofing).</t>
        </is>
      </c>
      <c r="O57" s="5" t="inlineStr"/>
      <c r="P57" s="16" t="inlineStr">
        <is>
          <t>Elevation Using Impersonation</t>
        </is>
      </c>
      <c r="Q57" s="16" t="inlineStr">
        <is>
          <t>Diagram 1</t>
        </is>
      </c>
      <c r="R57" s="16" t="inlineStr">
        <is>
          <t>Session Token</t>
        </is>
      </c>
      <c r="S57" s="5" t="inlineStr">
        <is>
          <t>Confirmed</t>
        </is>
      </c>
    </row>
    <row r="58" ht="16" customHeight="1">
      <c r="A58" s="5" t="inlineStr">
        <is>
          <t>TMT-S1-F019</t>
        </is>
      </c>
      <c r="B58" s="5" t="inlineStr">
        <is>
          <t>TMT</t>
        </is>
      </c>
      <c r="C58" s="5" t="inlineStr">
        <is>
          <t>S1</t>
        </is>
      </c>
      <c r="D58" s="21" t="str">
        <f>IFERROR(VLOOKUP($G58,'02_REFERENCE'!$A$2:$S$99,4,FALSE),"N/A")</f>
        <v>N/A</v>
      </c>
      <c r="E58" s="21" t="str">
        <f>IFERROR(VLOOKUP($G58,'02_REFERENCE'!$A$2:$S$99,15,FALSE),"N/A")</f>
        <v>N/A</v>
      </c>
      <c r="F58" s="21" t="str">
        <f>IFERROR(VLOOKUP($G58,'02_REFERENCE'!$A$2:$S$99,17,FALSE),"N/A")</f>
        <v>N/A</v>
      </c>
      <c r="G58" s="21" t="inlineStr"/>
      <c r="H58" s="21" t="inlineStr">
        <is>
          <t>False Positive</t>
        </is>
      </c>
      <c r="I58" s="21" t="inlineStr">
        <is>
          <t>FP</t>
        </is>
      </c>
      <c r="J58" s="21" t="inlineStr">
        <is>
          <t>M</t>
        </is>
      </c>
      <c r="K58" s="21" t="inlineStr">
        <is>
          <t>N</t>
        </is>
      </c>
      <c r="L58" s="21" t="inlineStr">
        <is>
          <t>No</t>
        </is>
      </c>
      <c r="M58" s="21" t="inlineStr"/>
      <c r="N58" s="22" t="inlineStr">
        <is>
          <t>Process-identity spoofing / memory-integrity template; no reference mechanism (authentication bypass RT-004 is logic-based, not process-spoofing).</t>
        </is>
      </c>
      <c r="O58" s="5" t="inlineStr"/>
      <c r="P58" s="16" t="inlineStr">
        <is>
          <t>P1 Web Frontend Interface Process Memory Tampered</t>
        </is>
      </c>
      <c r="Q58" s="16" t="inlineStr">
        <is>
          <t>Diagram 1</t>
        </is>
      </c>
      <c r="R58" s="16" t="inlineStr">
        <is>
          <t>Authenticated Session Response</t>
        </is>
      </c>
      <c r="S58" s="5" t="inlineStr">
        <is>
          <t>Confirmed</t>
        </is>
      </c>
    </row>
    <row r="59" ht="16" customHeight="1">
      <c r="A59" s="5" t="inlineStr">
        <is>
          <t>TMT-S1-F020</t>
        </is>
      </c>
      <c r="B59" s="5" t="inlineStr">
        <is>
          <t>TMT</t>
        </is>
      </c>
      <c r="C59" s="5" t="inlineStr">
        <is>
          <t>S1</t>
        </is>
      </c>
      <c r="D59" s="21" t="str">
        <f>IFERROR(VLOOKUP($G59,'02_REFERENCE'!$A$2:$S$99,4,FALSE),"N/A")</f>
        <v>N/A</v>
      </c>
      <c r="E59" s="21" t="str">
        <f>IFERROR(VLOOKUP($G59,'02_REFERENCE'!$A$2:$S$99,15,FALSE),"N/A")</f>
        <v>N/A</v>
      </c>
      <c r="F59" s="21" t="str">
        <f>IFERROR(VLOOKUP($G59,'02_REFERENCE'!$A$2:$S$99,17,FALSE),"N/A")</f>
        <v>N/A</v>
      </c>
      <c r="G59" s="21" t="inlineStr"/>
      <c r="H59" s="21" t="inlineStr">
        <is>
          <t>False Positive</t>
        </is>
      </c>
      <c r="I59" s="21" t="inlineStr">
        <is>
          <t>FP</t>
        </is>
      </c>
      <c r="J59" s="21" t="inlineStr">
        <is>
          <t>M</t>
        </is>
      </c>
      <c r="K59" s="21" t="inlineStr">
        <is>
          <t>N</t>
        </is>
      </c>
      <c r="L59" s="21" t="inlineStr">
        <is>
          <t>No</t>
        </is>
      </c>
      <c r="M59" s="21" t="inlineStr"/>
      <c r="N59" s="22" t="inlineStr">
        <is>
          <t>Process-identity spoofing / memory-integrity template; no reference mechanism (authentication bypass RT-004 is logic-based, not process-spoofing).</t>
        </is>
      </c>
      <c r="O59" s="5" t="inlineStr"/>
      <c r="P59" s="16" t="inlineStr">
        <is>
          <t>Elevation Using Impersonation</t>
        </is>
      </c>
      <c r="Q59" s="16" t="inlineStr">
        <is>
          <t>Diagram 1</t>
        </is>
      </c>
      <c r="R59" s="16" t="inlineStr">
        <is>
          <t>Authenticated Session Response</t>
        </is>
      </c>
      <c r="S59" s="5" t="inlineStr">
        <is>
          <t>Confirmed</t>
        </is>
      </c>
    </row>
    <row r="60" ht="16" customHeight="1">
      <c r="A60" s="5" t="inlineStr">
        <is>
          <t>TMT-S1-F021</t>
        </is>
      </c>
      <c r="B60" s="5" t="inlineStr">
        <is>
          <t>TMT</t>
        </is>
      </c>
      <c r="C60" s="5" t="inlineStr">
        <is>
          <t>S1</t>
        </is>
      </c>
      <c r="D60" s="21" t="str">
        <f>IFERROR(VLOOKUP($G60,'02_REFERENCE'!$A$2:$S$99,4,FALSE),"N/A")</f>
        <v>N/A</v>
      </c>
      <c r="E60" s="21" t="str">
        <f>IFERROR(VLOOKUP($G60,'02_REFERENCE'!$A$2:$S$99,15,FALSE),"N/A")</f>
        <v>N/A</v>
      </c>
      <c r="F60" s="21" t="str">
        <f>IFERROR(VLOOKUP($G60,'02_REFERENCE'!$A$2:$S$99,17,FALSE),"N/A")</f>
        <v>N/A</v>
      </c>
      <c r="G60" s="21" t="inlineStr"/>
      <c r="H60" s="21" t="inlineStr">
        <is>
          <t>False Positive</t>
        </is>
      </c>
      <c r="I60" s="21" t="inlineStr">
        <is>
          <t>FP</t>
        </is>
      </c>
      <c r="J60" s="21" t="inlineStr">
        <is>
          <t>M</t>
        </is>
      </c>
      <c r="K60" s="21" t="inlineStr">
        <is>
          <t>N</t>
        </is>
      </c>
      <c r="L60" s="21" t="inlineStr">
        <is>
          <t>No</t>
        </is>
      </c>
      <c r="M60" s="21" t="inlineStr"/>
      <c r="N60" s="22" t="inlineStr">
        <is>
          <t>Process-identity spoofing / memory-integrity template; no reference mechanism (authentication bypass RT-004 is logic-based, not process-spoofing).</t>
        </is>
      </c>
      <c r="O60" s="5" t="inlineStr"/>
      <c r="P60" s="16" t="inlineStr">
        <is>
          <t>Elevation Using Impersonation</t>
        </is>
      </c>
      <c r="Q60" s="16" t="inlineStr">
        <is>
          <t>Diagram 1</t>
        </is>
      </c>
      <c r="R60" s="16" t="inlineStr">
        <is>
          <t>Chatbot Question</t>
        </is>
      </c>
      <c r="S60" s="5" t="inlineStr">
        <is>
          <t>Confirmed</t>
        </is>
      </c>
    </row>
    <row r="61" ht="16" customHeight="1">
      <c r="A61" s="5" t="inlineStr">
        <is>
          <t>TMT-S1-F022</t>
        </is>
      </c>
      <c r="B61" s="5" t="inlineStr">
        <is>
          <t>TMT</t>
        </is>
      </c>
      <c r="C61" s="5" t="inlineStr">
        <is>
          <t>S1</t>
        </is>
      </c>
      <c r="D61" s="21" t="str">
        <f>IFERROR(VLOOKUP($G61,'02_REFERENCE'!$A$2:$S$99,4,FALSE),"N/A")</f>
        <v>N/A</v>
      </c>
      <c r="E61" s="21" t="str">
        <f>IFERROR(VLOOKUP($G61,'02_REFERENCE'!$A$2:$S$99,15,FALSE),"N/A")</f>
        <v>N/A</v>
      </c>
      <c r="F61" s="21" t="str">
        <f>IFERROR(VLOOKUP($G61,'02_REFERENCE'!$A$2:$S$99,17,FALSE),"N/A")</f>
        <v>N/A</v>
      </c>
      <c r="G61" s="21" t="inlineStr"/>
      <c r="H61" s="21" t="inlineStr">
        <is>
          <t>False Positive</t>
        </is>
      </c>
      <c r="I61" s="21" t="inlineStr">
        <is>
          <t>FP</t>
        </is>
      </c>
      <c r="J61" s="21" t="inlineStr">
        <is>
          <t>M</t>
        </is>
      </c>
      <c r="K61" s="21" t="inlineStr">
        <is>
          <t>N</t>
        </is>
      </c>
      <c r="L61" s="21" t="inlineStr">
        <is>
          <t>No</t>
        </is>
      </c>
      <c r="M61" s="21" t="inlineStr"/>
      <c r="N61" s="22" t="inlineStr">
        <is>
          <t>Process-identity spoofing / memory-integrity template; no reference mechanism (authentication bypass RT-004 is logic-based, not process-spoofing).</t>
        </is>
      </c>
      <c r="O61" s="5" t="inlineStr"/>
      <c r="P61" s="16" t="inlineStr">
        <is>
          <t>EE1 End User (Browser) Process Memory Tampered</t>
        </is>
      </c>
      <c r="Q61" s="16" t="inlineStr">
        <is>
          <t>Diagram 1</t>
        </is>
      </c>
      <c r="R61" s="16" t="inlineStr">
        <is>
          <t>Chatbot Question</t>
        </is>
      </c>
      <c r="S61" s="5" t="inlineStr">
        <is>
          <t>Confirmed</t>
        </is>
      </c>
    </row>
    <row r="62" ht="16" customHeight="1">
      <c r="A62" s="5" t="inlineStr">
        <is>
          <t>TMT-S1-F023</t>
        </is>
      </c>
      <c r="B62" s="5" t="inlineStr">
        <is>
          <t>TMT</t>
        </is>
      </c>
      <c r="C62" s="5" t="inlineStr">
        <is>
          <t>S1</t>
        </is>
      </c>
      <c r="D62" s="21" t="str">
        <f>IFERROR(VLOOKUP($G62,'02_REFERENCE'!$A$2:$S$99,4,FALSE),"N/A")</f>
        <v>N/A</v>
      </c>
      <c r="E62" s="21" t="str">
        <f>IFERROR(VLOOKUP($G62,'02_REFERENCE'!$A$2:$S$99,15,FALSE),"N/A")</f>
        <v>N/A</v>
      </c>
      <c r="F62" s="21" t="str">
        <f>IFERROR(VLOOKUP($G62,'02_REFERENCE'!$A$2:$S$99,17,FALSE),"N/A")</f>
        <v>N/A</v>
      </c>
      <c r="G62" s="21" t="inlineStr"/>
      <c r="H62" s="21" t="inlineStr">
        <is>
          <t>False Positive</t>
        </is>
      </c>
      <c r="I62" s="21" t="inlineStr">
        <is>
          <t>FP</t>
        </is>
      </c>
      <c r="J62" s="21" t="inlineStr">
        <is>
          <t>M</t>
        </is>
      </c>
      <c r="K62" s="21" t="inlineStr">
        <is>
          <t>N</t>
        </is>
      </c>
      <c r="L62" s="21" t="inlineStr">
        <is>
          <t>No</t>
        </is>
      </c>
      <c r="M62" s="21" t="inlineStr"/>
      <c r="N62" s="22" t="inlineStr">
        <is>
          <t>Process-crash template (internal availability); no reference mechanism (provider-unavailability refs concern the external service; DoS refs concern attacker-driven flooding).</t>
        </is>
      </c>
      <c r="O62" s="5" t="inlineStr"/>
      <c r="P62" s="16" t="inlineStr">
        <is>
          <t>Potential Process Crash or Stop for EE1 End User (Browser)</t>
        </is>
      </c>
      <c r="Q62" s="16" t="inlineStr">
        <is>
          <t>Diagram 1</t>
        </is>
      </c>
      <c r="R62" s="16" t="inlineStr">
        <is>
          <t>Chatbot Answer</t>
        </is>
      </c>
      <c r="S62" s="5" t="inlineStr">
        <is>
          <t>Confirmed</t>
        </is>
      </c>
    </row>
    <row r="63" ht="16" customHeight="1">
      <c r="A63" s="5" t="inlineStr">
        <is>
          <t>TMT-S1-F024</t>
        </is>
      </c>
      <c r="B63" s="5" t="inlineStr">
        <is>
          <t>TMT</t>
        </is>
      </c>
      <c r="C63" s="5" t="inlineStr">
        <is>
          <t>S1</t>
        </is>
      </c>
      <c r="D63" s="21" t="str">
        <f>IFERROR(VLOOKUP($G63,'02_REFERENCE'!$A$2:$S$99,4,FALSE),"N/A")</f>
        <v>N/A</v>
      </c>
      <c r="E63" s="21" t="str">
        <f>IFERROR(VLOOKUP($G63,'02_REFERENCE'!$A$2:$S$99,15,FALSE),"N/A")</f>
        <v>N/A</v>
      </c>
      <c r="F63" s="21" t="str">
        <f>IFERROR(VLOOKUP($G63,'02_REFERENCE'!$A$2:$S$99,17,FALSE),"N/A")</f>
        <v>N/A</v>
      </c>
      <c r="G63" s="21" t="inlineStr"/>
      <c r="H63" s="21" t="inlineStr">
        <is>
          <t>False Positive</t>
        </is>
      </c>
      <c r="I63" s="21" t="inlineStr">
        <is>
          <t>FP</t>
        </is>
      </c>
      <c r="J63" s="21" t="inlineStr">
        <is>
          <t>M</t>
        </is>
      </c>
      <c r="K63" s="21" t="inlineStr">
        <is>
          <t>N</t>
        </is>
      </c>
      <c r="L63" s="21" t="inlineStr">
        <is>
          <t>No</t>
        </is>
      </c>
      <c r="M63" s="21" t="inlineStr"/>
      <c r="N63" s="22" t="inlineStr">
        <is>
          <t>Sniffing of chatbot answer/question traffic in S1: the S1 baseline contains no reference for interception of chat content (RT-006 is credential-specific and RT-014 is session-token-specific).</t>
        </is>
      </c>
      <c r="O63" s="5" t="inlineStr"/>
      <c r="P63" s="16" t="inlineStr">
        <is>
          <t>Data Flow Sniffing</t>
        </is>
      </c>
      <c r="Q63" s="16" t="inlineStr">
        <is>
          <t>Diagram 1</t>
        </is>
      </c>
      <c r="R63" s="16" t="inlineStr">
        <is>
          <t>Chatbot Answer</t>
        </is>
      </c>
      <c r="S63" s="5" t="inlineStr">
        <is>
          <t>Confirmed</t>
        </is>
      </c>
    </row>
    <row r="64" ht="16" customHeight="1">
      <c r="A64" s="5" t="inlineStr">
        <is>
          <t>TMT-S1-F025</t>
        </is>
      </c>
      <c r="B64" s="5" t="inlineStr">
        <is>
          <t>TMT</t>
        </is>
      </c>
      <c r="C64" s="5" t="inlineStr">
        <is>
          <t>S1</t>
        </is>
      </c>
      <c r="D64" s="21" t="str">
        <f>IFERROR(VLOOKUP($G64,'02_REFERENCE'!$A$2:$S$99,4,FALSE),"N/A")</f>
        <v>Repudiation</v>
      </c>
      <c r="E64" s="21" t="str">
        <f>IFERROR(VLOOKUP($G64,'02_REFERENCE'!$A$2:$S$99,15,FALSE),"N/A")</f>
        <v>Medium</v>
      </c>
      <c r="F64" s="21" t="str">
        <f>IFERROR(VLOOKUP($G64,'02_REFERENCE'!$A$2:$S$99,17,FALSE),"N/A")</f>
        <v>No</v>
      </c>
      <c r="G64" s="21" t="inlineStr">
        <is>
          <t>S1-RT-021</t>
        </is>
      </c>
      <c r="H64" s="21" t="inlineStr">
        <is>
          <t>Primary TP</t>
        </is>
      </c>
      <c r="I64" s="21" t="inlineStr">
        <is>
          <t>TP</t>
        </is>
      </c>
      <c r="J64" s="21" t="inlineStr">
        <is>
          <t>M</t>
        </is>
      </c>
      <c r="K64" s="21" t="inlineStr">
        <is>
          <t>Y</t>
        </is>
      </c>
      <c r="L64" s="21" t="inlineStr">
        <is>
          <t>No</t>
        </is>
      </c>
      <c r="M64" s="21" t="inlineStr"/>
      <c r="N64" s="22" t="inlineStr">
        <is>
          <t>Attribution template -&gt; reference S1-RT-021 (unspecified attribution of security-relevant actions).</t>
        </is>
      </c>
      <c r="O64" s="5" t="inlineStr">
        <is>
          <t>repudiation</t>
        </is>
      </c>
      <c r="P64" s="16" t="inlineStr">
        <is>
          <t>Potential Data Repudiation by EE1 End User (Browser)</t>
        </is>
      </c>
      <c r="Q64" s="16" t="inlineStr">
        <is>
          <t>Diagram 1</t>
        </is>
      </c>
      <c r="R64" s="16" t="inlineStr">
        <is>
          <t>Chatbot Answer</t>
        </is>
      </c>
      <c r="S64" s="5" t="inlineStr">
        <is>
          <t>Confirmed</t>
        </is>
      </c>
    </row>
    <row r="65" ht="16" customHeight="1">
      <c r="A65" s="5" t="inlineStr">
        <is>
          <t>TMT-S1-F026</t>
        </is>
      </c>
      <c r="B65" s="5" t="inlineStr">
        <is>
          <t>TMT</t>
        </is>
      </c>
      <c r="C65" s="5" t="inlineStr">
        <is>
          <t>S1</t>
        </is>
      </c>
      <c r="D65" s="21" t="str">
        <f>IFERROR(VLOOKUP($G65,'02_REFERENCE'!$A$2:$S$99,4,FALSE),"N/A")</f>
        <v>N/A</v>
      </c>
      <c r="E65" s="21" t="str">
        <f>IFERROR(VLOOKUP($G65,'02_REFERENCE'!$A$2:$S$99,15,FALSE),"N/A")</f>
        <v>N/A</v>
      </c>
      <c r="F65" s="21" t="str">
        <f>IFERROR(VLOOKUP($G65,'02_REFERENCE'!$A$2:$S$99,17,FALSE),"N/A")</f>
        <v>N/A</v>
      </c>
      <c r="G65" s="21" t="inlineStr"/>
      <c r="H65" s="21" t="inlineStr">
        <is>
          <t>False Positive</t>
        </is>
      </c>
      <c r="I65" s="21" t="inlineStr">
        <is>
          <t>FP</t>
        </is>
      </c>
      <c r="J65" s="21" t="inlineStr">
        <is>
          <t>M</t>
        </is>
      </c>
      <c r="K65" s="21" t="inlineStr">
        <is>
          <t>N</t>
        </is>
      </c>
      <c r="L65" s="21" t="inlineStr">
        <is>
          <t>No</t>
        </is>
      </c>
      <c r="M65" s="21" t="inlineStr"/>
      <c r="N65" s="22" t="inlineStr">
        <is>
          <t>Process-identity spoofing / memory-integrity template; no reference mechanism (authentication bypass RT-004 is logic-based, not process-spoofing).</t>
        </is>
      </c>
      <c r="O65" s="5" t="inlineStr"/>
      <c r="P65" s="16" t="inlineStr">
        <is>
          <t>P4 AI Authentication Assistant Process Memory Tampered</t>
        </is>
      </c>
      <c r="Q65" s="16" t="inlineStr">
        <is>
          <t>Diagram 1</t>
        </is>
      </c>
      <c r="R65" s="16" t="inlineStr">
        <is>
          <t>Chatbot Answer</t>
        </is>
      </c>
      <c r="S65" s="5" t="inlineStr">
        <is>
          <t>Confirmed</t>
        </is>
      </c>
    </row>
    <row r="66" ht="16" customHeight="1">
      <c r="A66" s="5" t="inlineStr">
        <is>
          <t>TMT-S1-F027</t>
        </is>
      </c>
      <c r="B66" s="5" t="inlineStr">
        <is>
          <t>TMT</t>
        </is>
      </c>
      <c r="C66" s="5" t="inlineStr">
        <is>
          <t>S1</t>
        </is>
      </c>
      <c r="D66" s="21" t="str">
        <f>IFERROR(VLOOKUP($G66,'02_REFERENCE'!$A$2:$S$99,4,FALSE),"N/A")</f>
        <v>N/A</v>
      </c>
      <c r="E66" s="21" t="str">
        <f>IFERROR(VLOOKUP($G66,'02_REFERENCE'!$A$2:$S$99,15,FALSE),"N/A")</f>
        <v>N/A</v>
      </c>
      <c r="F66" s="21" t="str">
        <f>IFERROR(VLOOKUP($G66,'02_REFERENCE'!$A$2:$S$99,17,FALSE),"N/A")</f>
        <v>N/A</v>
      </c>
      <c r="G66" s="21" t="inlineStr"/>
      <c r="H66" s="21" t="inlineStr">
        <is>
          <t>False Positive</t>
        </is>
      </c>
      <c r="I66" s="21" t="inlineStr">
        <is>
          <t>FP</t>
        </is>
      </c>
      <c r="J66" s="21" t="inlineStr">
        <is>
          <t>M</t>
        </is>
      </c>
      <c r="K66" s="21" t="inlineStr">
        <is>
          <t>N</t>
        </is>
      </c>
      <c r="L66" s="21" t="inlineStr">
        <is>
          <t>No</t>
        </is>
      </c>
      <c r="M66" s="21" t="inlineStr"/>
      <c r="N66" s="22" t="inlineStr">
        <is>
          <t>Generic input-validation template; flow-specific reference mapping not supported (no matching mechanism).</t>
        </is>
      </c>
      <c r="O66" s="5" t="inlineStr"/>
      <c r="P66" s="16" t="inlineStr">
        <is>
          <t>Potential Lack of Input Validation for EE1 End User (Browser)</t>
        </is>
      </c>
      <c r="Q66" s="16" t="inlineStr">
        <is>
          <t>Diagram 1</t>
        </is>
      </c>
      <c r="R66" s="16" t="inlineStr">
        <is>
          <t>Chatbot Answer</t>
        </is>
      </c>
      <c r="S66" s="5" t="inlineStr">
        <is>
          <t>Confirmed</t>
        </is>
      </c>
    </row>
    <row r="67" ht="16" customHeight="1">
      <c r="A67" s="5" t="inlineStr">
        <is>
          <t>TMT-S1-F028</t>
        </is>
      </c>
      <c r="B67" s="5" t="inlineStr">
        <is>
          <t>TMT</t>
        </is>
      </c>
      <c r="C67" s="5" t="inlineStr">
        <is>
          <t>S1</t>
        </is>
      </c>
      <c r="D67" s="21" t="str">
        <f>IFERROR(VLOOKUP($G67,'02_REFERENCE'!$A$2:$S$99,4,FALSE),"N/A")</f>
        <v>N/A</v>
      </c>
      <c r="E67" s="21" t="str">
        <f>IFERROR(VLOOKUP($G67,'02_REFERENCE'!$A$2:$S$99,15,FALSE),"N/A")</f>
        <v>N/A</v>
      </c>
      <c r="F67" s="21" t="str">
        <f>IFERROR(VLOOKUP($G67,'02_REFERENCE'!$A$2:$S$99,17,FALSE),"N/A")</f>
        <v>N/A</v>
      </c>
      <c r="G67" s="21" t="inlineStr"/>
      <c r="H67" s="21" t="inlineStr">
        <is>
          <t>False Positive</t>
        </is>
      </c>
      <c r="I67" s="21" t="inlineStr">
        <is>
          <t>FP</t>
        </is>
      </c>
      <c r="J67" s="21" t="inlineStr">
        <is>
          <t>M</t>
        </is>
      </c>
      <c r="K67" s="21" t="inlineStr">
        <is>
          <t>N</t>
        </is>
      </c>
      <c r="L67" s="21" t="inlineStr">
        <is>
          <t>No</t>
        </is>
      </c>
      <c r="M67" s="21" t="inlineStr"/>
      <c r="N67" s="22" t="inlineStr">
        <is>
          <t>Process-identity spoofing / memory-integrity template; no reference mechanism (authentication bypass RT-004 is logic-based, not process-spoofing).</t>
        </is>
      </c>
      <c r="O67" s="5" t="inlineStr"/>
      <c r="P67" s="16" t="inlineStr">
        <is>
          <t>Spoofing the EE1 End User (Browser) Process</t>
        </is>
      </c>
      <c r="Q67" s="16" t="inlineStr">
        <is>
          <t>Diagram 1</t>
        </is>
      </c>
      <c r="R67" s="16" t="inlineStr">
        <is>
          <t>Chatbot Answer</t>
        </is>
      </c>
      <c r="S67" s="5" t="inlineStr">
        <is>
          <t>Confirmed</t>
        </is>
      </c>
    </row>
    <row r="68" ht="16" customHeight="1">
      <c r="A68" s="5" t="inlineStr">
        <is>
          <t>TMT-S1-F029</t>
        </is>
      </c>
      <c r="B68" s="5" t="inlineStr">
        <is>
          <t>TMT</t>
        </is>
      </c>
      <c r="C68" s="5" t="inlineStr">
        <is>
          <t>S1</t>
        </is>
      </c>
      <c r="D68" s="21" t="str">
        <f>IFERROR(VLOOKUP($G68,'02_REFERENCE'!$A$2:$S$99,4,FALSE),"N/A")</f>
        <v>N/A</v>
      </c>
      <c r="E68" s="21" t="str">
        <f>IFERROR(VLOOKUP($G68,'02_REFERENCE'!$A$2:$S$99,15,FALSE),"N/A")</f>
        <v>N/A</v>
      </c>
      <c r="F68" s="21" t="str">
        <f>IFERROR(VLOOKUP($G68,'02_REFERENCE'!$A$2:$S$99,17,FALSE),"N/A")</f>
        <v>N/A</v>
      </c>
      <c r="G68" s="21" t="inlineStr"/>
      <c r="H68" s="21" t="inlineStr">
        <is>
          <t>False Positive</t>
        </is>
      </c>
      <c r="I68" s="21" t="inlineStr">
        <is>
          <t>FP</t>
        </is>
      </c>
      <c r="J68" s="21" t="inlineStr">
        <is>
          <t>M</t>
        </is>
      </c>
      <c r="K68" s="21" t="inlineStr">
        <is>
          <t>N</t>
        </is>
      </c>
      <c r="L68" s="21" t="inlineStr">
        <is>
          <t>No</t>
        </is>
      </c>
      <c r="M68" s="21" t="inlineStr"/>
      <c r="N68" s="22" t="inlineStr">
        <is>
          <t>Process-identity spoofing / memory-integrity template; no reference mechanism (authentication bypass RT-004 is logic-based, not process-spoofing).</t>
        </is>
      </c>
      <c r="O68" s="5" t="inlineStr"/>
      <c r="P68" s="16" t="inlineStr">
        <is>
          <t>Spoofing the P4 AI Authentication Assistant Process</t>
        </is>
      </c>
      <c r="Q68" s="16" t="inlineStr">
        <is>
          <t>Diagram 1</t>
        </is>
      </c>
      <c r="R68" s="16" t="inlineStr">
        <is>
          <t>Chatbot Answer</t>
        </is>
      </c>
      <c r="S68" s="5" t="inlineStr">
        <is>
          <t>Confirmed</t>
        </is>
      </c>
    </row>
    <row r="69" ht="16" customHeight="1">
      <c r="A69" s="5" t="inlineStr">
        <is>
          <t>TMT-S1-F030</t>
        </is>
      </c>
      <c r="B69" s="5" t="inlineStr">
        <is>
          <t>TMT</t>
        </is>
      </c>
      <c r="C69" s="5" t="inlineStr">
        <is>
          <t>S1</t>
        </is>
      </c>
      <c r="D69" s="21" t="str">
        <f>IFERROR(VLOOKUP($G69,'02_REFERENCE'!$A$2:$S$99,4,FALSE),"N/A")</f>
        <v>N/A</v>
      </c>
      <c r="E69" s="21" t="str">
        <f>IFERROR(VLOOKUP($G69,'02_REFERENCE'!$A$2:$S$99,15,FALSE),"N/A")</f>
        <v>N/A</v>
      </c>
      <c r="F69" s="21" t="str">
        <f>IFERROR(VLOOKUP($G69,'02_REFERENCE'!$A$2:$S$99,17,FALSE),"N/A")</f>
        <v>N/A</v>
      </c>
      <c r="G69" s="21" t="inlineStr"/>
      <c r="H69" s="21" t="inlineStr">
        <is>
          <t>False Positive</t>
        </is>
      </c>
      <c r="I69" s="21" t="inlineStr">
        <is>
          <t>FP</t>
        </is>
      </c>
      <c r="J69" s="21" t="inlineStr">
        <is>
          <t>M</t>
        </is>
      </c>
      <c r="K69" s="21" t="inlineStr">
        <is>
          <t>N</t>
        </is>
      </c>
      <c r="L69" s="21" t="inlineStr">
        <is>
          <t>No</t>
        </is>
      </c>
      <c r="M69" s="21" t="inlineStr"/>
      <c r="N69" s="22" t="inlineStr">
        <is>
          <t>Flow-interruption template on a flow without a matching availability reference.</t>
        </is>
      </c>
      <c r="O69" s="5" t="inlineStr"/>
      <c r="P69" s="16" t="inlineStr">
        <is>
          <t>Data Flow Chatbot Answer Is Potentially Interrupted</t>
        </is>
      </c>
      <c r="Q69" s="16" t="inlineStr">
        <is>
          <t>Diagram 1</t>
        </is>
      </c>
      <c r="R69" s="16" t="inlineStr">
        <is>
          <t>Chatbot Answer</t>
        </is>
      </c>
      <c r="S69" s="5" t="inlineStr">
        <is>
          <t>Confirmed</t>
        </is>
      </c>
    </row>
    <row r="70" ht="16" customHeight="1">
      <c r="A70" s="5" t="inlineStr">
        <is>
          <t>TMT-S1-F031</t>
        </is>
      </c>
      <c r="B70" s="5" t="inlineStr">
        <is>
          <t>TMT</t>
        </is>
      </c>
      <c r="C70" s="5" t="inlineStr">
        <is>
          <t>S1</t>
        </is>
      </c>
      <c r="D70" s="21" t="str">
        <f>IFERROR(VLOOKUP($G70,'02_REFERENCE'!$A$2:$S$99,4,FALSE),"N/A")</f>
        <v>N/A</v>
      </c>
      <c r="E70" s="21" t="str">
        <f>IFERROR(VLOOKUP($G70,'02_REFERENCE'!$A$2:$S$99,15,FALSE),"N/A")</f>
        <v>N/A</v>
      </c>
      <c r="F70" s="21" t="str">
        <f>IFERROR(VLOOKUP($G70,'02_REFERENCE'!$A$2:$S$99,17,FALSE),"N/A")</f>
        <v>N/A</v>
      </c>
      <c r="G70" s="21" t="inlineStr"/>
      <c r="H70" s="21" t="inlineStr">
        <is>
          <t>False Positive</t>
        </is>
      </c>
      <c r="I70" s="21" t="inlineStr">
        <is>
          <t>FP</t>
        </is>
      </c>
      <c r="J70" s="21" t="inlineStr">
        <is>
          <t>M</t>
        </is>
      </c>
      <c r="K70" s="21" t="inlineStr">
        <is>
          <t>N</t>
        </is>
      </c>
      <c r="L70" s="21" t="inlineStr">
        <is>
          <t>No</t>
        </is>
      </c>
      <c r="M70" s="21" t="inlineStr"/>
      <c r="N70" s="22" t="inlineStr">
        <is>
          <t>Process-identity spoofing / memory-integrity template; no reference mechanism (authentication bypass RT-004 is logic-based, not process-spoofing).</t>
        </is>
      </c>
      <c r="O70" s="5" t="inlineStr"/>
      <c r="P70" s="16" t="inlineStr">
        <is>
          <t>Elevation Using Impersonation</t>
        </is>
      </c>
      <c r="Q70" s="16" t="inlineStr">
        <is>
          <t>Diagram 1</t>
        </is>
      </c>
      <c r="R70" s="16" t="inlineStr">
        <is>
          <t>Chatbot Answer</t>
        </is>
      </c>
      <c r="S70" s="5" t="inlineStr">
        <is>
          <t>Confirmed</t>
        </is>
      </c>
    </row>
    <row r="71" ht="16" customHeight="1">
      <c r="A71" s="5" t="inlineStr">
        <is>
          <t>TMT-S1-F032</t>
        </is>
      </c>
      <c r="B71" s="5" t="inlineStr">
        <is>
          <t>TMT</t>
        </is>
      </c>
      <c r="C71" s="5" t="inlineStr">
        <is>
          <t>S1</t>
        </is>
      </c>
      <c r="D71" s="21" t="str">
        <f>IFERROR(VLOOKUP($G71,'02_REFERENCE'!$A$2:$S$99,4,FALSE),"N/A")</f>
        <v>N/A</v>
      </c>
      <c r="E71" s="21" t="str">
        <f>IFERROR(VLOOKUP($G71,'02_REFERENCE'!$A$2:$S$99,15,FALSE),"N/A")</f>
        <v>N/A</v>
      </c>
      <c r="F71" s="21" t="str">
        <f>IFERROR(VLOOKUP($G71,'02_REFERENCE'!$A$2:$S$99,17,FALSE),"N/A")</f>
        <v>N/A</v>
      </c>
      <c r="G71" s="21" t="inlineStr"/>
      <c r="H71" s="21" t="inlineStr">
        <is>
          <t>False Positive</t>
        </is>
      </c>
      <c r="I71" s="21" t="inlineStr">
        <is>
          <t>FP</t>
        </is>
      </c>
      <c r="J71" s="21" t="inlineStr">
        <is>
          <t>M</t>
        </is>
      </c>
      <c r="K71" s="21" t="inlineStr">
        <is>
          <t>N</t>
        </is>
      </c>
      <c r="L71" s="21" t="inlineStr">
        <is>
          <t>No</t>
        </is>
      </c>
      <c r="M71" s="21" t="inlineStr"/>
      <c r="N71" s="22" t="inlineStr">
        <is>
          <t>Process-identity spoofing / memory-integrity template; no reference mechanism (authentication bypass RT-004 is logic-based, not process-spoofing).</t>
        </is>
      </c>
      <c r="O71" s="5" t="inlineStr"/>
      <c r="P71" s="16" t="inlineStr">
        <is>
          <t>EE1 End User (Browser) May be Subject to Elevation of Privilege Using Remote Code Execution</t>
        </is>
      </c>
      <c r="Q71" s="16" t="inlineStr">
        <is>
          <t>Diagram 1</t>
        </is>
      </c>
      <c r="R71" s="16" t="inlineStr">
        <is>
          <t>Chatbot Answer</t>
        </is>
      </c>
      <c r="S71" s="5" t="inlineStr">
        <is>
          <t>Confirmed</t>
        </is>
      </c>
    </row>
    <row r="72" ht="16" customHeight="1">
      <c r="A72" s="5" t="inlineStr">
        <is>
          <t>TMT-S1-F033</t>
        </is>
      </c>
      <c r="B72" s="5" t="inlineStr">
        <is>
          <t>TMT</t>
        </is>
      </c>
      <c r="C72" s="5" t="inlineStr">
        <is>
          <t>S1</t>
        </is>
      </c>
      <c r="D72" s="21" t="str">
        <f>IFERROR(VLOOKUP($G72,'02_REFERENCE'!$A$2:$S$99,4,FALSE),"N/A")</f>
        <v>N/A</v>
      </c>
      <c r="E72" s="21" t="str">
        <f>IFERROR(VLOOKUP($G72,'02_REFERENCE'!$A$2:$S$99,15,FALSE),"N/A")</f>
        <v>N/A</v>
      </c>
      <c r="F72" s="21" t="str">
        <f>IFERROR(VLOOKUP($G72,'02_REFERENCE'!$A$2:$S$99,17,FALSE),"N/A")</f>
        <v>N/A</v>
      </c>
      <c r="G72" s="21" t="inlineStr"/>
      <c r="H72" s="21" t="inlineStr">
        <is>
          <t>False Positive</t>
        </is>
      </c>
      <c r="I72" s="21" t="inlineStr">
        <is>
          <t>FP</t>
        </is>
      </c>
      <c r="J72" s="21" t="inlineStr">
        <is>
          <t>M</t>
        </is>
      </c>
      <c r="K72" s="21" t="inlineStr">
        <is>
          <t>N</t>
        </is>
      </c>
      <c r="L72" s="21" t="inlineStr">
        <is>
          <t>No</t>
        </is>
      </c>
      <c r="M72" s="21" t="inlineStr"/>
      <c r="N72" s="22" t="inlineStr">
        <is>
          <t>Process-identity spoofing / memory-integrity template; no reference mechanism (authentication bypass RT-004 is logic-based, not process-spoofing).</t>
        </is>
      </c>
      <c r="O72" s="5" t="inlineStr"/>
      <c r="P72" s="16" t="inlineStr">
        <is>
          <t>Elevation by Changing the Execution Flow in EE1 End User (Browser)</t>
        </is>
      </c>
      <c r="Q72" s="16" t="inlineStr">
        <is>
          <t>Diagram 1</t>
        </is>
      </c>
      <c r="R72" s="16" t="inlineStr">
        <is>
          <t>Chatbot Answer</t>
        </is>
      </c>
      <c r="S72" s="5" t="inlineStr">
        <is>
          <t>Confirmed</t>
        </is>
      </c>
    </row>
    <row r="73" ht="16" customHeight="1">
      <c r="A73" s="5" t="inlineStr">
        <is>
          <t>TMT-S1-F034</t>
        </is>
      </c>
      <c r="B73" s="5" t="inlineStr">
        <is>
          <t>TMT</t>
        </is>
      </c>
      <c r="C73" s="5" t="inlineStr">
        <is>
          <t>S1</t>
        </is>
      </c>
      <c r="D73" s="21" t="str">
        <f>IFERROR(VLOOKUP($G73,'02_REFERENCE'!$A$2:$S$99,4,FALSE),"N/A")</f>
        <v>N/A</v>
      </c>
      <c r="E73" s="21" t="str">
        <f>IFERROR(VLOOKUP($G73,'02_REFERENCE'!$A$2:$S$99,15,FALSE),"N/A")</f>
        <v>N/A</v>
      </c>
      <c r="F73" s="21" t="str">
        <f>IFERROR(VLOOKUP($G73,'02_REFERENCE'!$A$2:$S$99,17,FALSE),"N/A")</f>
        <v>N/A</v>
      </c>
      <c r="G73" s="21" t="inlineStr"/>
      <c r="H73" s="21" t="inlineStr">
        <is>
          <t>False Positive</t>
        </is>
      </c>
      <c r="I73" s="21" t="inlineStr">
        <is>
          <t>FP</t>
        </is>
      </c>
      <c r="J73" s="21" t="inlineStr">
        <is>
          <t>M</t>
        </is>
      </c>
      <c r="K73" s="21" t="inlineStr">
        <is>
          <t>N</t>
        </is>
      </c>
      <c r="L73" s="21" t="inlineStr">
        <is>
          <t>No</t>
        </is>
      </c>
      <c r="M73" s="21" t="inlineStr"/>
      <c r="N73" s="22" t="inlineStr">
        <is>
          <t>Process-identity spoofing / memory-integrity template; no reference mechanism (authentication bypass RT-004 is logic-based, not process-spoofing).</t>
        </is>
      </c>
      <c r="O73" s="5" t="inlineStr"/>
      <c r="P73" s="16" t="inlineStr">
        <is>
          <t>P4 AI Authentication Assistant Process Memory Tampered</t>
        </is>
      </c>
      <c r="Q73" s="16" t="inlineStr">
        <is>
          <t>Diagram 1</t>
        </is>
      </c>
      <c r="R73" s="16" t="inlineStr">
        <is>
          <t>Prompt Request</t>
        </is>
      </c>
      <c r="S73" s="5" t="inlineStr">
        <is>
          <t>Confirmed</t>
        </is>
      </c>
    </row>
    <row r="74" ht="16" customHeight="1">
      <c r="A74" s="5" t="inlineStr">
        <is>
          <t>TMT-S1-F035</t>
        </is>
      </c>
      <c r="B74" s="5" t="inlineStr">
        <is>
          <t>TMT</t>
        </is>
      </c>
      <c r="C74" s="5" t="inlineStr">
        <is>
          <t>S1</t>
        </is>
      </c>
      <c r="D74" s="21" t="str">
        <f>IFERROR(VLOOKUP($G74,'02_REFERENCE'!$A$2:$S$99,4,FALSE),"N/A")</f>
        <v>N/A</v>
      </c>
      <c r="E74" s="21" t="str">
        <f>IFERROR(VLOOKUP($G74,'02_REFERENCE'!$A$2:$S$99,15,FALSE),"N/A")</f>
        <v>N/A</v>
      </c>
      <c r="F74" s="21" t="str">
        <f>IFERROR(VLOOKUP($G74,'02_REFERENCE'!$A$2:$S$99,17,FALSE),"N/A")</f>
        <v>N/A</v>
      </c>
      <c r="G74" s="21" t="inlineStr"/>
      <c r="H74" s="21" t="inlineStr">
        <is>
          <t>False Positive</t>
        </is>
      </c>
      <c r="I74" s="21" t="inlineStr">
        <is>
          <t>FP</t>
        </is>
      </c>
      <c r="J74" s="21" t="inlineStr">
        <is>
          <t>M</t>
        </is>
      </c>
      <c r="K74" s="21" t="inlineStr">
        <is>
          <t>N</t>
        </is>
      </c>
      <c r="L74" s="21" t="inlineStr">
        <is>
          <t>No</t>
        </is>
      </c>
      <c r="M74" s="21" t="inlineStr"/>
      <c r="N74" s="22" t="inlineStr">
        <is>
          <t>Process-identity spoofing / memory-integrity template; no reference mechanism (authentication bypass RT-004 is logic-based, not process-spoofing).</t>
        </is>
      </c>
      <c r="O74" s="5" t="inlineStr"/>
      <c r="P74" s="16" t="inlineStr">
        <is>
          <t>Elevation Using Impersonation</t>
        </is>
      </c>
      <c r="Q74" s="16" t="inlineStr">
        <is>
          <t>Diagram 1</t>
        </is>
      </c>
      <c r="R74" s="16" t="inlineStr">
        <is>
          <t>Prompt Request</t>
        </is>
      </c>
      <c r="S74" s="5" t="inlineStr">
        <is>
          <t>Confirmed</t>
        </is>
      </c>
    </row>
    <row r="75" ht="16" customHeight="1">
      <c r="A75" s="5" t="inlineStr">
        <is>
          <t>TMT-S1-F036</t>
        </is>
      </c>
      <c r="B75" s="5" t="inlineStr">
        <is>
          <t>TMT</t>
        </is>
      </c>
      <c r="C75" s="5" t="inlineStr">
        <is>
          <t>S1</t>
        </is>
      </c>
      <c r="D75" s="21" t="str">
        <f>IFERROR(VLOOKUP($G75,'02_REFERENCE'!$A$2:$S$99,4,FALSE),"N/A")</f>
        <v>N/A</v>
      </c>
      <c r="E75" s="21" t="str">
        <f>IFERROR(VLOOKUP($G75,'02_REFERENCE'!$A$2:$S$99,15,FALSE),"N/A")</f>
        <v>N/A</v>
      </c>
      <c r="F75" s="21" t="str">
        <f>IFERROR(VLOOKUP($G75,'02_REFERENCE'!$A$2:$S$99,17,FALSE),"N/A")</f>
        <v>N/A</v>
      </c>
      <c r="G75" s="21" t="inlineStr"/>
      <c r="H75" s="21" t="inlineStr">
        <is>
          <t>False Positive</t>
        </is>
      </c>
      <c r="I75" s="21" t="inlineStr">
        <is>
          <t>FP</t>
        </is>
      </c>
      <c r="J75" s="21" t="inlineStr">
        <is>
          <t>M</t>
        </is>
      </c>
      <c r="K75" s="21" t="inlineStr">
        <is>
          <t>N</t>
        </is>
      </c>
      <c r="L75" s="21" t="inlineStr">
        <is>
          <t>No</t>
        </is>
      </c>
      <c r="M75" s="21" t="inlineStr"/>
      <c r="N75" s="22" t="inlineStr">
        <is>
          <t>Process-identity spoofing / memory-integrity template; no reference mechanism (authentication bypass RT-004 is logic-based, not process-spoofing).</t>
        </is>
      </c>
      <c r="O75" s="5" t="inlineStr"/>
      <c r="P75" s="16" t="inlineStr">
        <is>
          <t>P5 LLM Integration Service Process Memory Tampered</t>
        </is>
      </c>
      <c r="Q75" s="16" t="inlineStr">
        <is>
          <t>Diagram 1</t>
        </is>
      </c>
      <c r="R75" s="16" t="inlineStr">
        <is>
          <t>Processed AI Response</t>
        </is>
      </c>
      <c r="S75" s="5" t="inlineStr">
        <is>
          <t>Confirmed</t>
        </is>
      </c>
    </row>
    <row r="76" ht="16" customHeight="1">
      <c r="A76" s="5" t="inlineStr">
        <is>
          <t>TMT-S1-F037</t>
        </is>
      </c>
      <c r="B76" s="5" t="inlineStr">
        <is>
          <t>TMT</t>
        </is>
      </c>
      <c r="C76" s="5" t="inlineStr">
        <is>
          <t>S1</t>
        </is>
      </c>
      <c r="D76" s="21" t="str">
        <f>IFERROR(VLOOKUP($G76,'02_REFERENCE'!$A$2:$S$99,4,FALSE),"N/A")</f>
        <v>N/A</v>
      </c>
      <c r="E76" s="21" t="str">
        <f>IFERROR(VLOOKUP($G76,'02_REFERENCE'!$A$2:$S$99,15,FALSE),"N/A")</f>
        <v>N/A</v>
      </c>
      <c r="F76" s="21" t="str">
        <f>IFERROR(VLOOKUP($G76,'02_REFERENCE'!$A$2:$S$99,17,FALSE),"N/A")</f>
        <v>N/A</v>
      </c>
      <c r="G76" s="21" t="inlineStr"/>
      <c r="H76" s="21" t="inlineStr">
        <is>
          <t>False Positive</t>
        </is>
      </c>
      <c r="I76" s="21" t="inlineStr">
        <is>
          <t>FP</t>
        </is>
      </c>
      <c r="J76" s="21" t="inlineStr">
        <is>
          <t>M</t>
        </is>
      </c>
      <c r="K76" s="21" t="inlineStr">
        <is>
          <t>N</t>
        </is>
      </c>
      <c r="L76" s="21" t="inlineStr">
        <is>
          <t>No</t>
        </is>
      </c>
      <c r="M76" s="21" t="inlineStr"/>
      <c r="N76" s="22" t="inlineStr">
        <is>
          <t>Process-identity spoofing / memory-integrity template; no reference mechanism (authentication bypass RT-004 is logic-based, not process-spoofing).</t>
        </is>
      </c>
      <c r="O76" s="5" t="inlineStr"/>
      <c r="P76" s="16" t="inlineStr">
        <is>
          <t>Elevation Using Impersonation</t>
        </is>
      </c>
      <c r="Q76" s="16" t="inlineStr">
        <is>
          <t>Diagram 1</t>
        </is>
      </c>
      <c r="R76" s="16" t="inlineStr">
        <is>
          <t>Processed AI Response</t>
        </is>
      </c>
      <c r="S76" s="5" t="inlineStr">
        <is>
          <t>Confirmed</t>
        </is>
      </c>
    </row>
    <row r="77" ht="16" customHeight="1">
      <c r="A77" s="5" t="inlineStr">
        <is>
          <t>TMT-S1-F038</t>
        </is>
      </c>
      <c r="B77" s="5" t="inlineStr">
        <is>
          <t>TMT</t>
        </is>
      </c>
      <c r="C77" s="5" t="inlineStr">
        <is>
          <t>S1</t>
        </is>
      </c>
      <c r="D77" s="21" t="str">
        <f>IFERROR(VLOOKUP($G77,'02_REFERENCE'!$A$2:$S$99,4,FALSE),"N/A")</f>
        <v>Spoofing</v>
      </c>
      <c r="E77" s="21" t="str">
        <f>IFERROR(VLOOKUP($G77,'02_REFERENCE'!$A$2:$S$99,15,FALSE),"N/A")</f>
        <v>High</v>
      </c>
      <c r="F77" s="21" t="str">
        <f>IFERROR(VLOOKUP($G77,'02_REFERENCE'!$A$2:$S$99,17,FALSE),"N/A")</f>
        <v>Yes</v>
      </c>
      <c r="G77" s="21" t="inlineStr">
        <is>
          <t>S1-RT-036</t>
        </is>
      </c>
      <c r="H77" s="21" t="inlineStr">
        <is>
          <t>Primary TP</t>
        </is>
      </c>
      <c r="I77" s="21" t="inlineStr">
        <is>
          <t>TP</t>
        </is>
      </c>
      <c r="J77" s="21" t="inlineStr">
        <is>
          <t>M</t>
        </is>
      </c>
      <c r="K77" s="21" t="inlineStr">
        <is>
          <t>Y</t>
        </is>
      </c>
      <c r="L77" s="21" t="inlineStr">
        <is>
          <t>No</t>
        </is>
      </c>
      <c r="M77" s="21" t="inlineStr"/>
      <c r="N77" s="22" t="inlineStr">
        <is>
          <t>Spoofing/impersonation of the external LLM provider -&gt; reference S1-RT-036 (compromise or substitution of the external model service).</t>
        </is>
      </c>
      <c r="O77" s="5" t="inlineStr">
        <is>
          <t>model_substitution</t>
        </is>
      </c>
      <c r="P77" s="16" t="inlineStr">
        <is>
          <t>Spoofing the EE2 External LLM Provider External Entity</t>
        </is>
      </c>
      <c r="Q77" s="16" t="inlineStr">
        <is>
          <t>Diagram 1</t>
        </is>
      </c>
      <c r="R77" s="16" t="inlineStr">
        <is>
          <t>Generated LLM Response</t>
        </is>
      </c>
      <c r="S77" s="5" t="inlineStr">
        <is>
          <t>Confirmed</t>
        </is>
      </c>
    </row>
    <row r="78" ht="16" customHeight="1">
      <c r="A78" s="5" t="inlineStr">
        <is>
          <t>TMT-S1-F039</t>
        </is>
      </c>
      <c r="B78" s="5" t="inlineStr">
        <is>
          <t>TMT</t>
        </is>
      </c>
      <c r="C78" s="5" t="inlineStr">
        <is>
          <t>S1</t>
        </is>
      </c>
      <c r="D78" s="21" t="str">
        <f>IFERROR(VLOOKUP($G78,'02_REFERENCE'!$A$2:$S$99,4,FALSE),"N/A")</f>
        <v>N/A</v>
      </c>
      <c r="E78" s="21" t="str">
        <f>IFERROR(VLOOKUP($G78,'02_REFERENCE'!$A$2:$S$99,15,FALSE),"N/A")</f>
        <v>N/A</v>
      </c>
      <c r="F78" s="21" t="str">
        <f>IFERROR(VLOOKUP($G78,'02_REFERENCE'!$A$2:$S$99,17,FALSE),"N/A")</f>
        <v>N/A</v>
      </c>
      <c r="G78" s="21" t="inlineStr"/>
      <c r="H78" s="21" t="inlineStr">
        <is>
          <t>False Positive</t>
        </is>
      </c>
      <c r="I78" s="21" t="inlineStr">
        <is>
          <t>FP</t>
        </is>
      </c>
      <c r="J78" s="21" t="inlineStr">
        <is>
          <t>M</t>
        </is>
      </c>
      <c r="K78" s="21" t="inlineStr">
        <is>
          <t>N</t>
        </is>
      </c>
      <c r="L78" s="21" t="inlineStr">
        <is>
          <t>No</t>
        </is>
      </c>
      <c r="M78" s="21" t="inlineStr"/>
      <c r="N78" s="22" t="inlineStr">
        <is>
          <t>Process-identity spoofing / memory-integrity template; no reference mechanism (authentication bypass RT-004 is logic-based, not process-spoofing).</t>
        </is>
      </c>
      <c r="O78" s="5" t="inlineStr"/>
      <c r="P78" s="16" t="inlineStr">
        <is>
          <t>Elevation Using Impersonation</t>
        </is>
      </c>
      <c r="Q78" s="16" t="inlineStr">
        <is>
          <t>Diagram 1</t>
        </is>
      </c>
      <c r="R78" s="16" t="inlineStr">
        <is>
          <t>Generated LLM Response</t>
        </is>
      </c>
      <c r="S78" s="5" t="inlineStr">
        <is>
          <t>Confirmed</t>
        </is>
      </c>
    </row>
    <row r="79" ht="16" customHeight="1">
      <c r="A79" s="5" t="inlineStr">
        <is>
          <t>TMT-S1-F040</t>
        </is>
      </c>
      <c r="B79" s="5" t="inlineStr">
        <is>
          <t>TMT</t>
        </is>
      </c>
      <c r="C79" s="5" t="inlineStr">
        <is>
          <t>S1</t>
        </is>
      </c>
      <c r="D79" s="21" t="str">
        <f>IFERROR(VLOOKUP($G79,'02_REFERENCE'!$A$2:$S$99,4,FALSE),"N/A")</f>
        <v>N/A</v>
      </c>
      <c r="E79" s="21" t="str">
        <f>IFERROR(VLOOKUP($G79,'02_REFERENCE'!$A$2:$S$99,15,FALSE),"N/A")</f>
        <v>N/A</v>
      </c>
      <c r="F79" s="21" t="str">
        <f>IFERROR(VLOOKUP($G79,'02_REFERENCE'!$A$2:$S$99,17,FALSE),"N/A")</f>
        <v>N/A</v>
      </c>
      <c r="G79" s="21" t="inlineStr"/>
      <c r="H79" s="21" t="inlineStr">
        <is>
          <t>False Positive</t>
        </is>
      </c>
      <c r="I79" s="21" t="inlineStr">
        <is>
          <t>FP</t>
        </is>
      </c>
      <c r="J79" s="21" t="inlineStr">
        <is>
          <t>M</t>
        </is>
      </c>
      <c r="K79" s="21" t="inlineStr">
        <is>
          <t>N</t>
        </is>
      </c>
      <c r="L79" s="21" t="inlineStr">
        <is>
          <t>No</t>
        </is>
      </c>
      <c r="M79" s="21" t="inlineStr"/>
      <c r="N79" s="22" t="inlineStr">
        <is>
          <t>Process-identity spoofing / memory-integrity template; no reference mechanism (authentication bypass RT-004 is logic-based, not process-spoofing).</t>
        </is>
      </c>
      <c r="O79" s="5" t="inlineStr"/>
      <c r="P79" s="16" t="inlineStr">
        <is>
          <t>Spoofing the EE1 End User (Browser) Process</t>
        </is>
      </c>
      <c r="Q79" s="16" t="inlineStr">
        <is>
          <t>Diagram 1</t>
        </is>
      </c>
      <c r="R79" s="16" t="inlineStr">
        <is>
          <t>Chatbot Question</t>
        </is>
      </c>
      <c r="S79" s="5" t="inlineStr">
        <is>
          <t>Confirmed</t>
        </is>
      </c>
    </row>
    <row r="80" ht="16" customHeight="1">
      <c r="A80" s="5" t="inlineStr">
        <is>
          <t>TMT-S1-F041</t>
        </is>
      </c>
      <c r="B80" s="5" t="inlineStr">
        <is>
          <t>TMT</t>
        </is>
      </c>
      <c r="C80" s="5" t="inlineStr">
        <is>
          <t>S1</t>
        </is>
      </c>
      <c r="D80" s="21" t="str">
        <f>IFERROR(VLOOKUP($G80,'02_REFERENCE'!$A$2:$S$99,4,FALSE),"N/A")</f>
        <v>N/A</v>
      </c>
      <c r="E80" s="21" t="str">
        <f>IFERROR(VLOOKUP($G80,'02_REFERENCE'!$A$2:$S$99,15,FALSE),"N/A")</f>
        <v>N/A</v>
      </c>
      <c r="F80" s="21" t="str">
        <f>IFERROR(VLOOKUP($G80,'02_REFERENCE'!$A$2:$S$99,17,FALSE),"N/A")</f>
        <v>N/A</v>
      </c>
      <c r="G80" s="21" t="inlineStr"/>
      <c r="H80" s="21" t="inlineStr">
        <is>
          <t>False Positive</t>
        </is>
      </c>
      <c r="I80" s="21" t="inlineStr">
        <is>
          <t>FP</t>
        </is>
      </c>
      <c r="J80" s="21" t="inlineStr">
        <is>
          <t>M</t>
        </is>
      </c>
      <c r="K80" s="21" t="inlineStr">
        <is>
          <t>N</t>
        </is>
      </c>
      <c r="L80" s="21" t="inlineStr">
        <is>
          <t>No</t>
        </is>
      </c>
      <c r="M80" s="21" t="inlineStr"/>
      <c r="N80" s="22" t="inlineStr">
        <is>
          <t>Process-identity spoofing / memory-integrity template; no reference mechanism (authentication bypass RT-004 is logic-based, not process-spoofing).</t>
        </is>
      </c>
      <c r="O80" s="5" t="inlineStr"/>
      <c r="P80" s="16" t="inlineStr">
        <is>
          <t>Spoofing the P4 AI Authentication Assistant Process</t>
        </is>
      </c>
      <c r="Q80" s="16" t="inlineStr">
        <is>
          <t>Diagram 1</t>
        </is>
      </c>
      <c r="R80" s="16" t="inlineStr">
        <is>
          <t>Chatbot Question</t>
        </is>
      </c>
      <c r="S80" s="5" t="inlineStr">
        <is>
          <t>Confirmed</t>
        </is>
      </c>
    </row>
    <row r="81" ht="16" customHeight="1">
      <c r="A81" s="5" t="inlineStr">
        <is>
          <t>TMT-S1-F042</t>
        </is>
      </c>
      <c r="B81" s="5" t="inlineStr">
        <is>
          <t>TMT</t>
        </is>
      </c>
      <c r="C81" s="5" t="inlineStr">
        <is>
          <t>S1</t>
        </is>
      </c>
      <c r="D81" s="21" t="str">
        <f>IFERROR(VLOOKUP($G81,'02_REFERENCE'!$A$2:$S$99,4,FALSE),"N/A")</f>
        <v>Tampering</v>
      </c>
      <c r="E81" s="21" t="str">
        <f>IFERROR(VLOOKUP($G81,'02_REFERENCE'!$A$2:$S$99,15,FALSE),"N/A")</f>
        <v>High</v>
      </c>
      <c r="F81" s="21" t="str">
        <f>IFERROR(VLOOKUP($G81,'02_REFERENCE'!$A$2:$S$99,17,FALSE),"N/A")</f>
        <v>Yes</v>
      </c>
      <c r="G81" s="21" t="inlineStr">
        <is>
          <t>S1-RT-022</t>
        </is>
      </c>
      <c r="H81" s="21" t="inlineStr">
        <is>
          <t>Primary TP</t>
        </is>
      </c>
      <c r="I81" s="21" t="inlineStr">
        <is>
          <t>TP</t>
        </is>
      </c>
      <c r="J81" s="21" t="inlineStr">
        <is>
          <t>M</t>
        </is>
      </c>
      <c r="K81" s="21" t="inlineStr">
        <is>
          <t>Y</t>
        </is>
      </c>
      <c r="L81" s="21" t="inlineStr">
        <is>
          <t>No</t>
        </is>
      </c>
      <c r="M81" s="21" t="inlineStr"/>
      <c r="N81" s="22" t="inlineStr">
        <is>
          <t>Unvalidated user input on the assistant question path -&gt; direct prompt injection -&gt; reference S1-RT-022.</t>
        </is>
      </c>
      <c r="O81" s="5" t="inlineStr">
        <is>
          <t>prompt_injection_direct</t>
        </is>
      </c>
      <c r="P81" s="16" t="inlineStr">
        <is>
          <t>Potential Lack of Input Validation for P4 AI Authentication Assistant</t>
        </is>
      </c>
      <c r="Q81" s="16" t="inlineStr">
        <is>
          <t>Diagram 1</t>
        </is>
      </c>
      <c r="R81" s="16" t="inlineStr">
        <is>
          <t>Chatbot Question</t>
        </is>
      </c>
      <c r="S81" s="5" t="inlineStr">
        <is>
          <t>Confirmed</t>
        </is>
      </c>
    </row>
    <row r="82" ht="16" customHeight="1">
      <c r="A82" s="5" t="inlineStr">
        <is>
          <t>TMT-S1-F043</t>
        </is>
      </c>
      <c r="B82" s="5" t="inlineStr">
        <is>
          <t>TMT</t>
        </is>
      </c>
      <c r="C82" s="5" t="inlineStr">
        <is>
          <t>S1</t>
        </is>
      </c>
      <c r="D82" s="21" t="str">
        <f>IFERROR(VLOOKUP($G82,'02_REFERENCE'!$A$2:$S$99,4,FALSE),"N/A")</f>
        <v>Repudiation</v>
      </c>
      <c r="E82" s="21" t="str">
        <f>IFERROR(VLOOKUP($G82,'02_REFERENCE'!$A$2:$S$99,15,FALSE),"N/A")</f>
        <v>Medium</v>
      </c>
      <c r="F82" s="21" t="str">
        <f>IFERROR(VLOOKUP($G82,'02_REFERENCE'!$A$2:$S$99,17,FALSE),"N/A")</f>
        <v>No</v>
      </c>
      <c r="G82" s="21" t="inlineStr">
        <is>
          <t>S1-RT-021</t>
        </is>
      </c>
      <c r="H82" s="21" t="inlineStr">
        <is>
          <t>Duplicate</t>
        </is>
      </c>
      <c r="I82" s="21" t="inlineStr">
        <is>
          <t>TP</t>
        </is>
      </c>
      <c r="J82" s="21" t="inlineStr">
        <is>
          <t>M</t>
        </is>
      </c>
      <c r="K82" s="21" t="inlineStr">
        <is>
          <t>N</t>
        </is>
      </c>
      <c r="L82" s="21" t="inlineStr">
        <is>
          <t>Yes</t>
        </is>
      </c>
      <c r="M82" s="21" t="inlineStr">
        <is>
          <t>TMT-S1-F025</t>
        </is>
      </c>
      <c r="N82" s="22" t="inlineStr">
        <is>
          <t>Attribution template -&gt; reference S1-RT-021 (unspecified attribution of security-relevant actions). [Equivalence: restates TMT-S1-F025 — one-to-one rule applied.]</t>
        </is>
      </c>
      <c r="O82" s="5" t="inlineStr">
        <is>
          <t>repudiation</t>
        </is>
      </c>
      <c r="P82" s="16" t="inlineStr">
        <is>
          <t>Potential Data Repudiation by P4 AI Authentication Assistant</t>
        </is>
      </c>
      <c r="Q82" s="16" t="inlineStr">
        <is>
          <t>Diagram 1</t>
        </is>
      </c>
      <c r="R82" s="16" t="inlineStr">
        <is>
          <t>Chatbot Question</t>
        </is>
      </c>
      <c r="S82" s="5" t="inlineStr">
        <is>
          <t>Confirmed</t>
        </is>
      </c>
    </row>
    <row r="83" ht="16" customHeight="1">
      <c r="A83" s="5" t="inlineStr">
        <is>
          <t>TMT-S1-F044</t>
        </is>
      </c>
      <c r="B83" s="5" t="inlineStr">
        <is>
          <t>TMT</t>
        </is>
      </c>
      <c r="C83" s="5" t="inlineStr">
        <is>
          <t>S1</t>
        </is>
      </c>
      <c r="D83" s="21" t="str">
        <f>IFERROR(VLOOKUP($G83,'02_REFERENCE'!$A$2:$S$99,4,FALSE),"N/A")</f>
        <v>N/A</v>
      </c>
      <c r="E83" s="21" t="str">
        <f>IFERROR(VLOOKUP($G83,'02_REFERENCE'!$A$2:$S$99,15,FALSE),"N/A")</f>
        <v>N/A</v>
      </c>
      <c r="F83" s="21" t="str">
        <f>IFERROR(VLOOKUP($G83,'02_REFERENCE'!$A$2:$S$99,17,FALSE),"N/A")</f>
        <v>N/A</v>
      </c>
      <c r="G83" s="21" t="inlineStr"/>
      <c r="H83" s="21" t="inlineStr">
        <is>
          <t>False Positive</t>
        </is>
      </c>
      <c r="I83" s="21" t="inlineStr">
        <is>
          <t>FP</t>
        </is>
      </c>
      <c r="J83" s="21" t="inlineStr">
        <is>
          <t>M</t>
        </is>
      </c>
      <c r="K83" s="21" t="inlineStr">
        <is>
          <t>N</t>
        </is>
      </c>
      <c r="L83" s="21" t="inlineStr">
        <is>
          <t>No</t>
        </is>
      </c>
      <c r="M83" s="21" t="inlineStr"/>
      <c r="N83" s="22" t="inlineStr">
        <is>
          <t>Sniffing of chatbot answer/question traffic in S1: the S1 baseline contains no reference for interception of chat content (RT-006 is credential-specific and RT-014 is session-token-specific).</t>
        </is>
      </c>
      <c r="O83" s="5" t="inlineStr"/>
      <c r="P83" s="16" t="inlineStr">
        <is>
          <t>Data Flow Sniffing</t>
        </is>
      </c>
      <c r="Q83" s="16" t="inlineStr">
        <is>
          <t>Diagram 1</t>
        </is>
      </c>
      <c r="R83" s="16" t="inlineStr">
        <is>
          <t>Chatbot Question</t>
        </is>
      </c>
      <c r="S83" s="5" t="inlineStr">
        <is>
          <t>Confirmed</t>
        </is>
      </c>
    </row>
    <row r="84" ht="16" customHeight="1">
      <c r="A84" s="5" t="inlineStr">
        <is>
          <t>TMT-S1-F045</t>
        </is>
      </c>
      <c r="B84" s="5" t="inlineStr">
        <is>
          <t>TMT</t>
        </is>
      </c>
      <c r="C84" s="5" t="inlineStr">
        <is>
          <t>S1</t>
        </is>
      </c>
      <c r="D84" s="21" t="str">
        <f>IFERROR(VLOOKUP($G84,'02_REFERENCE'!$A$2:$S$99,4,FALSE),"N/A")</f>
        <v>N/A</v>
      </c>
      <c r="E84" s="21" t="str">
        <f>IFERROR(VLOOKUP($G84,'02_REFERENCE'!$A$2:$S$99,15,FALSE),"N/A")</f>
        <v>N/A</v>
      </c>
      <c r="F84" s="21" t="str">
        <f>IFERROR(VLOOKUP($G84,'02_REFERENCE'!$A$2:$S$99,17,FALSE),"N/A")</f>
        <v>N/A</v>
      </c>
      <c r="G84" s="21" t="inlineStr"/>
      <c r="H84" s="21" t="inlineStr">
        <is>
          <t>False Positive</t>
        </is>
      </c>
      <c r="I84" s="21" t="inlineStr">
        <is>
          <t>FP</t>
        </is>
      </c>
      <c r="J84" s="21" t="inlineStr">
        <is>
          <t>M</t>
        </is>
      </c>
      <c r="K84" s="21" t="inlineStr">
        <is>
          <t>N</t>
        </is>
      </c>
      <c r="L84" s="21" t="inlineStr">
        <is>
          <t>No</t>
        </is>
      </c>
      <c r="M84" s="21" t="inlineStr"/>
      <c r="N84" s="22" t="inlineStr">
        <is>
          <t>Process-crash template (internal availability); no reference mechanism (provider-unavailability refs concern the external service; DoS refs concern attacker-driven flooding).</t>
        </is>
      </c>
      <c r="O84" s="5" t="inlineStr"/>
      <c r="P84" s="16" t="inlineStr">
        <is>
          <t>Potential Process Crash or Stop for P4 AI Authentication Assistant</t>
        </is>
      </c>
      <c r="Q84" s="16" t="inlineStr">
        <is>
          <t>Diagram 1</t>
        </is>
      </c>
      <c r="R84" s="16" t="inlineStr">
        <is>
          <t>Chatbot Question</t>
        </is>
      </c>
      <c r="S84" s="5" t="inlineStr">
        <is>
          <t>Confirmed</t>
        </is>
      </c>
    </row>
    <row r="85" ht="16" customHeight="1">
      <c r="A85" s="5" t="inlineStr">
        <is>
          <t>TMT-S1-F046</t>
        </is>
      </c>
      <c r="B85" s="5" t="inlineStr">
        <is>
          <t>TMT</t>
        </is>
      </c>
      <c r="C85" s="5" t="inlineStr">
        <is>
          <t>S1</t>
        </is>
      </c>
      <c r="D85" s="21" t="str">
        <f>IFERROR(VLOOKUP($G85,'02_REFERENCE'!$A$2:$S$99,4,FALSE),"N/A")</f>
        <v>N/A</v>
      </c>
      <c r="E85" s="21" t="str">
        <f>IFERROR(VLOOKUP($G85,'02_REFERENCE'!$A$2:$S$99,15,FALSE),"N/A")</f>
        <v>N/A</v>
      </c>
      <c r="F85" s="21" t="str">
        <f>IFERROR(VLOOKUP($G85,'02_REFERENCE'!$A$2:$S$99,17,FALSE),"N/A")</f>
        <v>N/A</v>
      </c>
      <c r="G85" s="21" t="inlineStr"/>
      <c r="H85" s="21" t="inlineStr">
        <is>
          <t>False Positive</t>
        </is>
      </c>
      <c r="I85" s="21" t="inlineStr">
        <is>
          <t>FP</t>
        </is>
      </c>
      <c r="J85" s="21" t="inlineStr">
        <is>
          <t>M</t>
        </is>
      </c>
      <c r="K85" s="21" t="inlineStr">
        <is>
          <t>N</t>
        </is>
      </c>
      <c r="L85" s="21" t="inlineStr">
        <is>
          <t>No</t>
        </is>
      </c>
      <c r="M85" s="21" t="inlineStr"/>
      <c r="N85" s="22" t="inlineStr">
        <is>
          <t>Flow-interruption template on a flow without a matching availability reference.</t>
        </is>
      </c>
      <c r="O85" s="5" t="inlineStr"/>
      <c r="P85" s="16" t="inlineStr">
        <is>
          <t>Data Flow Chatbot Question Is Potentially Interrupted</t>
        </is>
      </c>
      <c r="Q85" s="16" t="inlineStr">
        <is>
          <t>Diagram 1</t>
        </is>
      </c>
      <c r="R85" s="16" t="inlineStr">
        <is>
          <t>Chatbot Question</t>
        </is>
      </c>
      <c r="S85" s="5" t="inlineStr">
        <is>
          <t>Confirmed</t>
        </is>
      </c>
    </row>
    <row r="86" ht="16" customHeight="1">
      <c r="A86" s="5" t="inlineStr">
        <is>
          <t>TMT-S1-F047</t>
        </is>
      </c>
      <c r="B86" s="5" t="inlineStr">
        <is>
          <t>TMT</t>
        </is>
      </c>
      <c r="C86" s="5" t="inlineStr">
        <is>
          <t>S1</t>
        </is>
      </c>
      <c r="D86" s="21" t="str">
        <f>IFERROR(VLOOKUP($G86,'02_REFERENCE'!$A$2:$S$99,4,FALSE),"N/A")</f>
        <v>N/A</v>
      </c>
      <c r="E86" s="21" t="str">
        <f>IFERROR(VLOOKUP($G86,'02_REFERENCE'!$A$2:$S$99,15,FALSE),"N/A")</f>
        <v>N/A</v>
      </c>
      <c r="F86" s="21" t="str">
        <f>IFERROR(VLOOKUP($G86,'02_REFERENCE'!$A$2:$S$99,17,FALSE),"N/A")</f>
        <v>N/A</v>
      </c>
      <c r="G86" s="21" t="inlineStr"/>
      <c r="H86" s="21" t="inlineStr">
        <is>
          <t>False Positive</t>
        </is>
      </c>
      <c r="I86" s="21" t="inlineStr">
        <is>
          <t>FP</t>
        </is>
      </c>
      <c r="J86" s="21" t="inlineStr">
        <is>
          <t>M</t>
        </is>
      </c>
      <c r="K86" s="21" t="inlineStr">
        <is>
          <t>N</t>
        </is>
      </c>
      <c r="L86" s="21" t="inlineStr">
        <is>
          <t>No</t>
        </is>
      </c>
      <c r="M86" s="21" t="inlineStr"/>
      <c r="N86" s="22" t="inlineStr">
        <is>
          <t>Process-identity spoofing / memory-integrity template; no reference mechanism (authentication bypass RT-004 is logic-based, not process-spoofing).</t>
        </is>
      </c>
      <c r="O86" s="5" t="inlineStr"/>
      <c r="P86" s="16" t="inlineStr">
        <is>
          <t>P4 AI Authentication Assistant May be Subject to Elevation of Privilege Using Remote Code Execution</t>
        </is>
      </c>
      <c r="Q86" s="16" t="inlineStr">
        <is>
          <t>Diagram 1</t>
        </is>
      </c>
      <c r="R86" s="16" t="inlineStr">
        <is>
          <t>Chatbot Question</t>
        </is>
      </c>
      <c r="S86" s="5" t="inlineStr">
        <is>
          <t>Confirmed</t>
        </is>
      </c>
    </row>
    <row r="87" ht="16" customHeight="1">
      <c r="A87" s="5" t="inlineStr">
        <is>
          <t>TMT-S1-F048</t>
        </is>
      </c>
      <c r="B87" s="5" t="inlineStr">
        <is>
          <t>TMT</t>
        </is>
      </c>
      <c r="C87" s="5" t="inlineStr">
        <is>
          <t>S1</t>
        </is>
      </c>
      <c r="D87" s="21" t="str">
        <f>IFERROR(VLOOKUP($G87,'02_REFERENCE'!$A$2:$S$99,4,FALSE),"N/A")</f>
        <v>N/A</v>
      </c>
      <c r="E87" s="21" t="str">
        <f>IFERROR(VLOOKUP($G87,'02_REFERENCE'!$A$2:$S$99,15,FALSE),"N/A")</f>
        <v>N/A</v>
      </c>
      <c r="F87" s="21" t="str">
        <f>IFERROR(VLOOKUP($G87,'02_REFERENCE'!$A$2:$S$99,17,FALSE),"N/A")</f>
        <v>N/A</v>
      </c>
      <c r="G87" s="21" t="inlineStr"/>
      <c r="H87" s="21" t="inlineStr">
        <is>
          <t>False Positive</t>
        </is>
      </c>
      <c r="I87" s="21" t="inlineStr">
        <is>
          <t>FP</t>
        </is>
      </c>
      <c r="J87" s="21" t="inlineStr">
        <is>
          <t>M</t>
        </is>
      </c>
      <c r="K87" s="21" t="inlineStr">
        <is>
          <t>N</t>
        </is>
      </c>
      <c r="L87" s="21" t="inlineStr">
        <is>
          <t>No</t>
        </is>
      </c>
      <c r="M87" s="21" t="inlineStr"/>
      <c r="N87" s="22" t="inlineStr">
        <is>
          <t>Process-identity spoofing / memory-integrity template; no reference mechanism (authentication bypass RT-004 is logic-based, not process-spoofing).</t>
        </is>
      </c>
      <c r="O87" s="5" t="inlineStr"/>
      <c r="P87" s="16" t="inlineStr">
        <is>
          <t>Elevation by Changing the Execution Flow in P4 AI Authentication Assistant</t>
        </is>
      </c>
      <c r="Q87" s="16" t="inlineStr">
        <is>
          <t>Diagram 1</t>
        </is>
      </c>
      <c r="R87" s="16" t="inlineStr">
        <is>
          <t>Chatbot Question</t>
        </is>
      </c>
      <c r="S87" s="5" t="inlineStr">
        <is>
          <t>Confirmed</t>
        </is>
      </c>
    </row>
    <row r="88" ht="16" customHeight="1">
      <c r="A88" s="5" t="inlineStr">
        <is>
          <t>TMT-S1-F049</t>
        </is>
      </c>
      <c r="B88" s="5" t="inlineStr">
        <is>
          <t>TMT</t>
        </is>
      </c>
      <c r="C88" s="5" t="inlineStr">
        <is>
          <t>S1</t>
        </is>
      </c>
      <c r="D88" s="21" t="str">
        <f>IFERROR(VLOOKUP($G88,'02_REFERENCE'!$A$2:$S$99,4,FALSE),"N/A")</f>
        <v>N/A</v>
      </c>
      <c r="E88" s="21" t="str">
        <f>IFERROR(VLOOKUP($G88,'02_REFERENCE'!$A$2:$S$99,15,FALSE),"N/A")</f>
        <v>N/A</v>
      </c>
      <c r="F88" s="21" t="str">
        <f>IFERROR(VLOOKUP($G88,'02_REFERENCE'!$A$2:$S$99,17,FALSE),"N/A")</f>
        <v>N/A</v>
      </c>
      <c r="G88" s="21" t="inlineStr"/>
      <c r="H88" s="21" t="inlineStr">
        <is>
          <t>False Positive</t>
        </is>
      </c>
      <c r="I88" s="21" t="inlineStr">
        <is>
          <t>FP</t>
        </is>
      </c>
      <c r="J88" s="21" t="inlineStr">
        <is>
          <t>M</t>
        </is>
      </c>
      <c r="K88" s="21" t="inlineStr">
        <is>
          <t>N</t>
        </is>
      </c>
      <c r="L88" s="21" t="inlineStr">
        <is>
          <t>No</t>
        </is>
      </c>
      <c r="M88" s="21" t="inlineStr"/>
      <c r="N88" s="22" t="inlineStr">
        <is>
          <t>CSRF template; the reference baseline contains no CSRF mechanism (session threats are fixation/theft/replay/prediction/storage).</t>
        </is>
      </c>
      <c r="O88" s="5" t="inlineStr"/>
      <c r="P88" s="16" t="inlineStr">
        <is>
          <t>Cross Site Request Forgery</t>
        </is>
      </c>
      <c r="Q88" s="16" t="inlineStr">
        <is>
          <t>Diagram 1</t>
        </is>
      </c>
      <c r="R88" s="16" t="inlineStr">
        <is>
          <t>Chatbot Question</t>
        </is>
      </c>
      <c r="S88" s="5" t="inlineStr">
        <is>
          <t>Confirmed</t>
        </is>
      </c>
    </row>
    <row r="89" ht="16" customHeight="1">
      <c r="A89" s="5" t="inlineStr">
        <is>
          <t>TMT-S1-F050</t>
        </is>
      </c>
      <c r="B89" s="5" t="inlineStr">
        <is>
          <t>TMT</t>
        </is>
      </c>
      <c r="C89" s="5" t="inlineStr">
        <is>
          <t>S1</t>
        </is>
      </c>
      <c r="D89" s="21" t="str">
        <f>IFERROR(VLOOKUP($G89,'02_REFERENCE'!$A$2:$S$99,4,FALSE),"N/A")</f>
        <v>N/A</v>
      </c>
      <c r="E89" s="21" t="str">
        <f>IFERROR(VLOOKUP($G89,'02_REFERENCE'!$A$2:$S$99,15,FALSE),"N/A")</f>
        <v>N/A</v>
      </c>
      <c r="F89" s="21" t="str">
        <f>IFERROR(VLOOKUP($G89,'02_REFERENCE'!$A$2:$S$99,17,FALSE),"N/A")</f>
        <v>N/A</v>
      </c>
      <c r="G89" s="21" t="inlineStr"/>
      <c r="H89" s="21" t="inlineStr">
        <is>
          <t>False Positive</t>
        </is>
      </c>
      <c r="I89" s="21" t="inlineStr">
        <is>
          <t>FP</t>
        </is>
      </c>
      <c r="J89" s="21" t="inlineStr">
        <is>
          <t>M</t>
        </is>
      </c>
      <c r="K89" s="21" t="inlineStr">
        <is>
          <t>N</t>
        </is>
      </c>
      <c r="L89" s="21" t="inlineStr">
        <is>
          <t>No</t>
        </is>
      </c>
      <c r="M89" s="21" t="inlineStr"/>
      <c r="N89" s="22" t="inlineStr">
        <is>
          <t>Process-identity spoofing / memory-integrity template; no reference mechanism (authentication bypass RT-004 is logic-based, not process-spoofing).</t>
        </is>
      </c>
      <c r="O89" s="5" t="inlineStr"/>
      <c r="P89" s="16" t="inlineStr">
        <is>
          <t>Spoofing the P5 LLM Integration Service Process</t>
        </is>
      </c>
      <c r="Q89" s="16" t="inlineStr">
        <is>
          <t>Diagram 1</t>
        </is>
      </c>
      <c r="R89" s="16" t="inlineStr">
        <is>
          <t>Generated LLM Response</t>
        </is>
      </c>
      <c r="S89" s="5" t="inlineStr">
        <is>
          <t>Confirmed</t>
        </is>
      </c>
    </row>
    <row r="90" ht="16" customHeight="1">
      <c r="A90" s="5" t="inlineStr">
        <is>
          <t>TMT-S1-F051</t>
        </is>
      </c>
      <c r="B90" s="5" t="inlineStr">
        <is>
          <t>TMT</t>
        </is>
      </c>
      <c r="C90" s="5" t="inlineStr">
        <is>
          <t>S1</t>
        </is>
      </c>
      <c r="D90" s="21" t="str">
        <f>IFERROR(VLOOKUP($G90,'02_REFERENCE'!$A$2:$S$99,4,FALSE),"N/A")</f>
        <v>Tampering</v>
      </c>
      <c r="E90" s="21" t="str">
        <f>IFERROR(VLOOKUP($G90,'02_REFERENCE'!$A$2:$S$99,15,FALSE),"N/A")</f>
        <v>Critical</v>
      </c>
      <c r="F90" s="21" t="str">
        <f>IFERROR(VLOOKUP($G90,'02_REFERENCE'!$A$2:$S$99,17,FALSE),"N/A")</f>
        <v>Yes</v>
      </c>
      <c r="G90" s="21" t="inlineStr">
        <is>
          <t>S1-RT-033</t>
        </is>
      </c>
      <c r="H90" s="21" t="inlineStr">
        <is>
          <t>Primary TP</t>
        </is>
      </c>
      <c r="I90" s="21" t="inlineStr">
        <is>
          <t>TP</t>
        </is>
      </c>
      <c r="J90" s="21" t="inlineStr">
        <is>
          <t>M</t>
        </is>
      </c>
      <c r="K90" s="21" t="inlineStr">
        <is>
          <t>Y</t>
        </is>
      </c>
      <c r="L90" s="21" t="inlineStr">
        <is>
          <t>No</t>
        </is>
      </c>
      <c r="M90" s="21" t="inlineStr"/>
      <c r="N90" s="22" t="inlineStr">
        <is>
          <t>Unvalidated input on the generated-response path -&gt; insecure handling of generated output -&gt; reference S1-RT-033.</t>
        </is>
      </c>
      <c r="O90" s="5" t="inlineStr">
        <is>
          <t>unsafe_output</t>
        </is>
      </c>
      <c r="P90" s="16" t="inlineStr">
        <is>
          <t>Potential Lack of Input Validation for P5 LLM Integration Service</t>
        </is>
      </c>
      <c r="Q90" s="16" t="inlineStr">
        <is>
          <t>Diagram 1</t>
        </is>
      </c>
      <c r="R90" s="16" t="inlineStr">
        <is>
          <t>Generated LLM Response</t>
        </is>
      </c>
      <c r="S90" s="5" t="inlineStr">
        <is>
          <t>Confirmed</t>
        </is>
      </c>
    </row>
    <row r="91" ht="16" customHeight="1">
      <c r="A91" s="5" t="inlineStr">
        <is>
          <t>TMT-S1-F052</t>
        </is>
      </c>
      <c r="B91" s="5" t="inlineStr">
        <is>
          <t>TMT</t>
        </is>
      </c>
      <c r="C91" s="5" t="inlineStr">
        <is>
          <t>S1</t>
        </is>
      </c>
      <c r="D91" s="21" t="str">
        <f>IFERROR(VLOOKUP($G91,'02_REFERENCE'!$A$2:$S$99,4,FALSE),"N/A")</f>
        <v>Repudiation</v>
      </c>
      <c r="E91" s="21" t="str">
        <f>IFERROR(VLOOKUP($G91,'02_REFERENCE'!$A$2:$S$99,15,FALSE),"N/A")</f>
        <v>Medium</v>
      </c>
      <c r="F91" s="21" t="str">
        <f>IFERROR(VLOOKUP($G91,'02_REFERENCE'!$A$2:$S$99,17,FALSE),"N/A")</f>
        <v>No</v>
      </c>
      <c r="G91" s="21" t="inlineStr">
        <is>
          <t>S1-RT-021</t>
        </is>
      </c>
      <c r="H91" s="21" t="inlineStr">
        <is>
          <t>Duplicate</t>
        </is>
      </c>
      <c r="I91" s="21" t="inlineStr">
        <is>
          <t>TP</t>
        </is>
      </c>
      <c r="J91" s="21" t="inlineStr">
        <is>
          <t>M</t>
        </is>
      </c>
      <c r="K91" s="21" t="inlineStr">
        <is>
          <t>N</t>
        </is>
      </c>
      <c r="L91" s="21" t="inlineStr">
        <is>
          <t>Yes</t>
        </is>
      </c>
      <c r="M91" s="21" t="inlineStr">
        <is>
          <t>TMT-S1-F025</t>
        </is>
      </c>
      <c r="N91" s="22" t="inlineStr">
        <is>
          <t>Attribution template -&gt; reference S1-RT-021 (unspecified attribution of security-relevant actions). [Equivalence: restates TMT-S1-F025 — one-to-one rule applied.]</t>
        </is>
      </c>
      <c r="O91" s="5" t="inlineStr">
        <is>
          <t>repudiation</t>
        </is>
      </c>
      <c r="P91" s="16" t="inlineStr">
        <is>
          <t>Potential Data Repudiation by P5 LLM Integration Service</t>
        </is>
      </c>
      <c r="Q91" s="16" t="inlineStr">
        <is>
          <t>Diagram 1</t>
        </is>
      </c>
      <c r="R91" s="16" t="inlineStr">
        <is>
          <t>Generated LLM Response</t>
        </is>
      </c>
      <c r="S91" s="5" t="inlineStr">
        <is>
          <t>Confirmed</t>
        </is>
      </c>
    </row>
    <row r="92" ht="16" customHeight="1">
      <c r="A92" s="5" t="inlineStr">
        <is>
          <t>TMT-S1-F053</t>
        </is>
      </c>
      <c r="B92" s="5" t="inlineStr">
        <is>
          <t>TMT</t>
        </is>
      </c>
      <c r="C92" s="5" t="inlineStr">
        <is>
          <t>S1</t>
        </is>
      </c>
      <c r="D92" s="21" t="str">
        <f>IFERROR(VLOOKUP($G92,'02_REFERENCE'!$A$2:$S$99,4,FALSE),"N/A")</f>
        <v>N/A</v>
      </c>
      <c r="E92" s="21" t="str">
        <f>IFERROR(VLOOKUP($G92,'02_REFERENCE'!$A$2:$S$99,15,FALSE),"N/A")</f>
        <v>N/A</v>
      </c>
      <c r="F92" s="21" t="str">
        <f>IFERROR(VLOOKUP($G92,'02_REFERENCE'!$A$2:$S$99,17,FALSE),"N/A")</f>
        <v>N/A</v>
      </c>
      <c r="G92" s="21" t="inlineStr"/>
      <c r="H92" s="21" t="inlineStr">
        <is>
          <t>False Positive</t>
        </is>
      </c>
      <c r="I92" s="21" t="inlineStr">
        <is>
          <t>FP</t>
        </is>
      </c>
      <c r="J92" s="21" t="inlineStr">
        <is>
          <t>M</t>
        </is>
      </c>
      <c r="K92" s="21" t="inlineStr">
        <is>
          <t>N</t>
        </is>
      </c>
      <c r="L92" s="21" t="inlineStr">
        <is>
          <t>No</t>
        </is>
      </c>
      <c r="M92" s="21" t="inlineStr"/>
      <c r="N92" s="22" t="inlineStr">
        <is>
          <t>Sniffing of prompt/provider traffic: the baseline contains no reference for interception of prompt traffic (credential-token sniffing and file-interception refs are asset-specific; RT-024 covers application-side over-inclusion, not interception).</t>
        </is>
      </c>
      <c r="O92" s="5" t="inlineStr"/>
      <c r="P92" s="16" t="inlineStr">
        <is>
          <t>Data Flow Sniffing</t>
        </is>
      </c>
      <c r="Q92" s="16" t="inlineStr">
        <is>
          <t>Diagram 1</t>
        </is>
      </c>
      <c r="R92" s="16" t="inlineStr">
        <is>
          <t>Generated LLM Response</t>
        </is>
      </c>
      <c r="S92" s="5" t="inlineStr">
        <is>
          <t>Confirmed</t>
        </is>
      </c>
    </row>
    <row r="93" ht="16" customHeight="1">
      <c r="A93" s="5" t="inlineStr">
        <is>
          <t>TMT-S1-F054</t>
        </is>
      </c>
      <c r="B93" s="5" t="inlineStr">
        <is>
          <t>TMT</t>
        </is>
      </c>
      <c r="C93" s="5" t="inlineStr">
        <is>
          <t>S1</t>
        </is>
      </c>
      <c r="D93" s="21" t="str">
        <f>IFERROR(VLOOKUP($G93,'02_REFERENCE'!$A$2:$S$99,4,FALSE),"N/A")</f>
        <v>N/A</v>
      </c>
      <c r="E93" s="21" t="str">
        <f>IFERROR(VLOOKUP($G93,'02_REFERENCE'!$A$2:$S$99,15,FALSE),"N/A")</f>
        <v>N/A</v>
      </c>
      <c r="F93" s="21" t="str">
        <f>IFERROR(VLOOKUP($G93,'02_REFERENCE'!$A$2:$S$99,17,FALSE),"N/A")</f>
        <v>N/A</v>
      </c>
      <c r="G93" s="21" t="inlineStr"/>
      <c r="H93" s="21" t="inlineStr">
        <is>
          <t>False Positive</t>
        </is>
      </c>
      <c r="I93" s="21" t="inlineStr">
        <is>
          <t>FP</t>
        </is>
      </c>
      <c r="J93" s="21" t="inlineStr">
        <is>
          <t>M</t>
        </is>
      </c>
      <c r="K93" s="21" t="inlineStr">
        <is>
          <t>N</t>
        </is>
      </c>
      <c r="L93" s="21" t="inlineStr">
        <is>
          <t>No</t>
        </is>
      </c>
      <c r="M93" s="21" t="inlineStr"/>
      <c r="N93" s="22" t="inlineStr">
        <is>
          <t>Process-crash template (internal availability); no reference mechanism (provider-unavailability refs concern the external service; DoS refs concern attacker-driven flooding).</t>
        </is>
      </c>
      <c r="O93" s="5" t="inlineStr"/>
      <c r="P93" s="16" t="inlineStr">
        <is>
          <t>Potential Process Crash or Stop for P5 LLM Integration Service</t>
        </is>
      </c>
      <c r="Q93" s="16" t="inlineStr">
        <is>
          <t>Diagram 1</t>
        </is>
      </c>
      <c r="R93" s="16" t="inlineStr">
        <is>
          <t>Generated LLM Response</t>
        </is>
      </c>
      <c r="S93" s="5" t="inlineStr">
        <is>
          <t>Confirmed</t>
        </is>
      </c>
    </row>
    <row r="94" ht="16" customHeight="1">
      <c r="A94" s="5" t="inlineStr">
        <is>
          <t>TMT-S1-F055</t>
        </is>
      </c>
      <c r="B94" s="5" t="inlineStr">
        <is>
          <t>TMT</t>
        </is>
      </c>
      <c r="C94" s="5" t="inlineStr">
        <is>
          <t>S1</t>
        </is>
      </c>
      <c r="D94" s="21" t="str">
        <f>IFERROR(VLOOKUP($G94,'02_REFERENCE'!$A$2:$S$99,4,FALSE),"N/A")</f>
        <v>Denial of Service</v>
      </c>
      <c r="E94" s="21" t="str">
        <f>IFERROR(VLOOKUP($G94,'02_REFERENCE'!$A$2:$S$99,15,FALSE),"N/A")</f>
        <v>Medium</v>
      </c>
      <c r="F94" s="21" t="str">
        <f>IFERROR(VLOOKUP($G94,'02_REFERENCE'!$A$2:$S$99,17,FALSE),"N/A")</f>
        <v>Yes</v>
      </c>
      <c r="G94" s="21" t="inlineStr">
        <is>
          <t>S1-RT-029</t>
        </is>
      </c>
      <c r="H94" s="21" t="inlineStr">
        <is>
          <t>Primary TP</t>
        </is>
      </c>
      <c r="I94" s="21" t="inlineStr">
        <is>
          <t>TP</t>
        </is>
      </c>
      <c r="J94" s="21" t="inlineStr">
        <is>
          <t>M</t>
        </is>
      </c>
      <c r="K94" s="21" t="inlineStr">
        <is>
          <t>Y</t>
        </is>
      </c>
      <c r="L94" s="21" t="inlineStr">
        <is>
          <t>No</t>
        </is>
      </c>
      <c r="M94" s="21" t="inlineStr"/>
      <c r="N94" s="22" t="inlineStr">
        <is>
          <t>Interruption of the provider exchange -&gt; reference S1-RT-029 (provider unavailability).</t>
        </is>
      </c>
      <c r="O94" s="5" t="inlineStr">
        <is>
          <t>llm_unavailable</t>
        </is>
      </c>
      <c r="P94" s="16" t="inlineStr">
        <is>
          <t>Data Flow Generated LLM Response Is Potentially Interrupted</t>
        </is>
      </c>
      <c r="Q94" s="16" t="inlineStr">
        <is>
          <t>Diagram 1</t>
        </is>
      </c>
      <c r="R94" s="16" t="inlineStr">
        <is>
          <t>Generated LLM Response</t>
        </is>
      </c>
      <c r="S94" s="5" t="inlineStr">
        <is>
          <t>Confirmed</t>
        </is>
      </c>
    </row>
    <row r="95" ht="16" customHeight="1">
      <c r="A95" s="5" t="inlineStr">
        <is>
          <t>TMT-S1-F056</t>
        </is>
      </c>
      <c r="B95" s="5" t="inlineStr">
        <is>
          <t>TMT</t>
        </is>
      </c>
      <c r="C95" s="5" t="inlineStr">
        <is>
          <t>S1</t>
        </is>
      </c>
      <c r="D95" s="21" t="str">
        <f>IFERROR(VLOOKUP($G95,'02_REFERENCE'!$A$2:$S$99,4,FALSE),"N/A")</f>
        <v>N/A</v>
      </c>
      <c r="E95" s="21" t="str">
        <f>IFERROR(VLOOKUP($G95,'02_REFERENCE'!$A$2:$S$99,15,FALSE),"N/A")</f>
        <v>N/A</v>
      </c>
      <c r="F95" s="21" t="str">
        <f>IFERROR(VLOOKUP($G95,'02_REFERENCE'!$A$2:$S$99,17,FALSE),"N/A")</f>
        <v>N/A</v>
      </c>
      <c r="G95" s="21" t="inlineStr"/>
      <c r="H95" s="21" t="inlineStr">
        <is>
          <t>False Positive</t>
        </is>
      </c>
      <c r="I95" s="21" t="inlineStr">
        <is>
          <t>FP</t>
        </is>
      </c>
      <c r="J95" s="21" t="inlineStr">
        <is>
          <t>M</t>
        </is>
      </c>
      <c r="K95" s="21" t="inlineStr">
        <is>
          <t>N</t>
        </is>
      </c>
      <c r="L95" s="21" t="inlineStr">
        <is>
          <t>No</t>
        </is>
      </c>
      <c r="M95" s="21" t="inlineStr"/>
      <c r="N95" s="22" t="inlineStr">
        <is>
          <t>Process-identity spoofing / memory-integrity template; no reference mechanism (authentication bypass RT-004 is logic-based, not process-spoofing).</t>
        </is>
      </c>
      <c r="O95" s="5" t="inlineStr"/>
      <c r="P95" s="16" t="inlineStr">
        <is>
          <t>P5 LLM Integration Service May be Subject to Elevation of Privilege Using Remote Code Execution</t>
        </is>
      </c>
      <c r="Q95" s="16" t="inlineStr">
        <is>
          <t>Diagram 1</t>
        </is>
      </c>
      <c r="R95" s="16" t="inlineStr">
        <is>
          <t>Generated LLM Response</t>
        </is>
      </c>
      <c r="S95" s="5" t="inlineStr">
        <is>
          <t>Confirmed</t>
        </is>
      </c>
    </row>
    <row r="96" ht="16" customHeight="1">
      <c r="A96" s="5" t="inlineStr">
        <is>
          <t>TMT-S1-F057</t>
        </is>
      </c>
      <c r="B96" s="5" t="inlineStr">
        <is>
          <t>TMT</t>
        </is>
      </c>
      <c r="C96" s="5" t="inlineStr">
        <is>
          <t>S1</t>
        </is>
      </c>
      <c r="D96" s="21" t="str">
        <f>IFERROR(VLOOKUP($G96,'02_REFERENCE'!$A$2:$S$99,4,FALSE),"N/A")</f>
        <v>N/A</v>
      </c>
      <c r="E96" s="21" t="str">
        <f>IFERROR(VLOOKUP($G96,'02_REFERENCE'!$A$2:$S$99,15,FALSE),"N/A")</f>
        <v>N/A</v>
      </c>
      <c r="F96" s="21" t="str">
        <f>IFERROR(VLOOKUP($G96,'02_REFERENCE'!$A$2:$S$99,17,FALSE),"N/A")</f>
        <v>N/A</v>
      </c>
      <c r="G96" s="21" t="inlineStr"/>
      <c r="H96" s="21" t="inlineStr">
        <is>
          <t>False Positive</t>
        </is>
      </c>
      <c r="I96" s="21" t="inlineStr">
        <is>
          <t>FP</t>
        </is>
      </c>
      <c r="J96" s="21" t="inlineStr">
        <is>
          <t>M</t>
        </is>
      </c>
      <c r="K96" s="21" t="inlineStr">
        <is>
          <t>N</t>
        </is>
      </c>
      <c r="L96" s="21" t="inlineStr">
        <is>
          <t>No</t>
        </is>
      </c>
      <c r="M96" s="21" t="inlineStr"/>
      <c r="N96" s="22" t="inlineStr">
        <is>
          <t>Process-identity spoofing / memory-integrity template; no reference mechanism (authentication bypass RT-004 is logic-based, not process-spoofing).</t>
        </is>
      </c>
      <c r="O96" s="5" t="inlineStr"/>
      <c r="P96" s="16" t="inlineStr">
        <is>
          <t>Elevation by Changing the Execution Flow in P5 LLM Integration Service</t>
        </is>
      </c>
      <c r="Q96" s="16" t="inlineStr">
        <is>
          <t>Diagram 1</t>
        </is>
      </c>
      <c r="R96" s="16" t="inlineStr">
        <is>
          <t>Generated LLM Response</t>
        </is>
      </c>
      <c r="S96" s="5" t="inlineStr">
        <is>
          <t>Confirmed</t>
        </is>
      </c>
    </row>
    <row r="97" ht="16" customHeight="1">
      <c r="A97" s="5" t="inlineStr">
        <is>
          <t>TMT-S1-F058</t>
        </is>
      </c>
      <c r="B97" s="5" t="inlineStr">
        <is>
          <t>TMT</t>
        </is>
      </c>
      <c r="C97" s="5" t="inlineStr">
        <is>
          <t>S1</t>
        </is>
      </c>
      <c r="D97" s="21" t="str">
        <f>IFERROR(VLOOKUP($G97,'02_REFERENCE'!$A$2:$S$99,4,FALSE),"N/A")</f>
        <v>N/A</v>
      </c>
      <c r="E97" s="21" t="str">
        <f>IFERROR(VLOOKUP($G97,'02_REFERENCE'!$A$2:$S$99,15,FALSE),"N/A")</f>
        <v>N/A</v>
      </c>
      <c r="F97" s="21" t="str">
        <f>IFERROR(VLOOKUP($G97,'02_REFERENCE'!$A$2:$S$99,17,FALSE),"N/A")</f>
        <v>N/A</v>
      </c>
      <c r="G97" s="21" t="inlineStr"/>
      <c r="H97" s="21" t="inlineStr">
        <is>
          <t>False Positive</t>
        </is>
      </c>
      <c r="I97" s="21" t="inlineStr">
        <is>
          <t>FP</t>
        </is>
      </c>
      <c r="J97" s="21" t="inlineStr">
        <is>
          <t>M</t>
        </is>
      </c>
      <c r="K97" s="21" t="inlineStr">
        <is>
          <t>N</t>
        </is>
      </c>
      <c r="L97" s="21" t="inlineStr">
        <is>
          <t>No</t>
        </is>
      </c>
      <c r="M97" s="21" t="inlineStr"/>
      <c r="N97" s="22" t="inlineStr">
        <is>
          <t>CSRF template; the reference baseline contains no CSRF mechanism (session threats are fixation/theft/replay/prediction/storage).</t>
        </is>
      </c>
      <c r="O97" s="5" t="inlineStr"/>
      <c r="P97" s="16" t="inlineStr">
        <is>
          <t>Cross Site Request Forgery</t>
        </is>
      </c>
      <c r="Q97" s="16" t="inlineStr">
        <is>
          <t>Diagram 1</t>
        </is>
      </c>
      <c r="R97" s="16" t="inlineStr">
        <is>
          <t>Generated LLM Response</t>
        </is>
      </c>
      <c r="S97" s="5" t="inlineStr">
        <is>
          <t>Confirmed</t>
        </is>
      </c>
    </row>
    <row r="98" ht="16" customHeight="1">
      <c r="A98" s="5" t="inlineStr">
        <is>
          <t>TMT-S1-F059</t>
        </is>
      </c>
      <c r="B98" s="5" t="inlineStr">
        <is>
          <t>TMT</t>
        </is>
      </c>
      <c r="C98" s="5" t="inlineStr">
        <is>
          <t>S1</t>
        </is>
      </c>
      <c r="D98" s="21" t="str">
        <f>IFERROR(VLOOKUP($G98,'02_REFERENCE'!$A$2:$S$99,4,FALSE),"N/A")</f>
        <v>Denial of Service</v>
      </c>
      <c r="E98" s="21" t="str">
        <f>IFERROR(VLOOKUP($G98,'02_REFERENCE'!$A$2:$S$99,15,FALSE),"N/A")</f>
        <v>Medium</v>
      </c>
      <c r="F98" s="21" t="str">
        <f>IFERROR(VLOOKUP($G98,'02_REFERENCE'!$A$2:$S$99,17,FALSE),"N/A")</f>
        <v>Yes</v>
      </c>
      <c r="G98" s="21" t="inlineStr">
        <is>
          <t>S1-RT-029</t>
        </is>
      </c>
      <c r="H98" s="21" t="inlineStr">
        <is>
          <t>Duplicate</t>
        </is>
      </c>
      <c r="I98" s="21" t="inlineStr">
        <is>
          <t>TP</t>
        </is>
      </c>
      <c r="J98" s="21" t="inlineStr">
        <is>
          <t>M</t>
        </is>
      </c>
      <c r="K98" s="21" t="inlineStr">
        <is>
          <t>N</t>
        </is>
      </c>
      <c r="L98" s="21" t="inlineStr">
        <is>
          <t>Yes</t>
        </is>
      </c>
      <c r="M98" s="21" t="inlineStr">
        <is>
          <t>TMT-S1-F055</t>
        </is>
      </c>
      <c r="N98" s="22" t="inlineStr">
        <is>
          <t>Interruption of the provider exchange -&gt; reference S1-RT-029 (provider unavailability). [Equivalence: restates TMT-S1-F055 — one-to-one rule applied.]</t>
        </is>
      </c>
      <c r="O98" s="5" t="inlineStr">
        <is>
          <t>llm_unavailable</t>
        </is>
      </c>
      <c r="P98" s="16" t="inlineStr">
        <is>
          <t>Data Flow Prompt + Approved Context Is Potentially Interrupted</t>
        </is>
      </c>
      <c r="Q98" s="16" t="inlineStr">
        <is>
          <t>Diagram 1</t>
        </is>
      </c>
      <c r="R98" s="16" t="inlineStr">
        <is>
          <t>Prompt + Approved Context</t>
        </is>
      </c>
      <c r="S98" s="5" t="inlineStr">
        <is>
          <t>Confirmed</t>
        </is>
      </c>
    </row>
    <row r="99" ht="16" customHeight="1">
      <c r="A99" s="5" t="inlineStr">
        <is>
          <t>TMT-S1-F060</t>
        </is>
      </c>
      <c r="B99" s="5" t="inlineStr">
        <is>
          <t>TMT</t>
        </is>
      </c>
      <c r="C99" s="5" t="inlineStr">
        <is>
          <t>S1</t>
        </is>
      </c>
      <c r="D99" s="21" t="str">
        <f>IFERROR(VLOOKUP($G99,'02_REFERENCE'!$A$2:$S$99,4,FALSE),"N/A")</f>
        <v>N/A</v>
      </c>
      <c r="E99" s="21" t="str">
        <f>IFERROR(VLOOKUP($G99,'02_REFERENCE'!$A$2:$S$99,15,FALSE),"N/A")</f>
        <v>N/A</v>
      </c>
      <c r="F99" s="21" t="str">
        <f>IFERROR(VLOOKUP($G99,'02_REFERENCE'!$A$2:$S$99,17,FALSE),"N/A")</f>
        <v>N/A</v>
      </c>
      <c r="G99" s="21" t="inlineStr"/>
      <c r="H99" s="21" t="inlineStr">
        <is>
          <t>False Positive</t>
        </is>
      </c>
      <c r="I99" s="21" t="inlineStr">
        <is>
          <t>FP</t>
        </is>
      </c>
      <c r="J99" s="21" t="inlineStr">
        <is>
          <t>M</t>
        </is>
      </c>
      <c r="K99" s="21" t="inlineStr">
        <is>
          <t>N</t>
        </is>
      </c>
      <c r="L99" s="21" t="inlineStr">
        <is>
          <t>No</t>
        </is>
      </c>
      <c r="M99" s="21" t="inlineStr"/>
      <c r="N99" s="22" t="inlineStr">
        <is>
          <t>No reference threat corresponds to this finding's mechanism (scoring found no class with sufficient evidence).</t>
        </is>
      </c>
      <c r="O99" s="5" t="inlineStr"/>
      <c r="P99" s="16" t="inlineStr">
        <is>
          <t>External Entity EE2 External LLM Provider Potentially Denies Receiving Data</t>
        </is>
      </c>
      <c r="Q99" s="16" t="inlineStr">
        <is>
          <t>Diagram 1</t>
        </is>
      </c>
      <c r="R99" s="16" t="inlineStr">
        <is>
          <t>Prompt + Approved Context</t>
        </is>
      </c>
      <c r="S99" s="5" t="inlineStr">
        <is>
          <t>Confirmed</t>
        </is>
      </c>
    </row>
    <row r="100" ht="16" customHeight="1">
      <c r="A100" s="5" t="inlineStr">
        <is>
          <t>TMT-S1-F061</t>
        </is>
      </c>
      <c r="B100" s="5" t="inlineStr">
        <is>
          <t>TMT</t>
        </is>
      </c>
      <c r="C100" s="5" t="inlineStr">
        <is>
          <t>S1</t>
        </is>
      </c>
      <c r="D100" s="21" t="str">
        <f>IFERROR(VLOOKUP($G100,'02_REFERENCE'!$A$2:$S$99,4,FALSE),"N/A")</f>
        <v>Spoofing</v>
      </c>
      <c r="E100" s="21" t="str">
        <f>IFERROR(VLOOKUP($G100,'02_REFERENCE'!$A$2:$S$99,15,FALSE),"N/A")</f>
        <v>High</v>
      </c>
      <c r="F100" s="21" t="str">
        <f>IFERROR(VLOOKUP($G100,'02_REFERENCE'!$A$2:$S$99,17,FALSE),"N/A")</f>
        <v>Yes</v>
      </c>
      <c r="G100" s="21" t="inlineStr">
        <is>
          <t>S1-RT-036</t>
        </is>
      </c>
      <c r="H100" s="21" t="inlineStr">
        <is>
          <t>Duplicate</t>
        </is>
      </c>
      <c r="I100" s="21" t="inlineStr">
        <is>
          <t>TP</t>
        </is>
      </c>
      <c r="J100" s="21" t="inlineStr">
        <is>
          <t>M</t>
        </is>
      </c>
      <c r="K100" s="21" t="inlineStr">
        <is>
          <t>N</t>
        </is>
      </c>
      <c r="L100" s="21" t="inlineStr">
        <is>
          <t>Yes</t>
        </is>
      </c>
      <c r="M100" s="21" t="inlineStr">
        <is>
          <t>TMT-S1-F038</t>
        </is>
      </c>
      <c r="N100" s="22" t="inlineStr">
        <is>
          <t>Spoofing/impersonation of the external LLM provider -&gt; reference S1-RT-036 (compromise or substitution of the external model service). [Equivalence: restates TMT-S1-F038 — one-to-one rule applied.]</t>
        </is>
      </c>
      <c r="O100" s="5" t="inlineStr">
        <is>
          <t>model_substitution</t>
        </is>
      </c>
      <c r="P100" s="16" t="inlineStr">
        <is>
          <t>Spoofing of the EE2 External LLM Provider External Destination Entity</t>
        </is>
      </c>
      <c r="Q100" s="16" t="inlineStr">
        <is>
          <t>Diagram 1</t>
        </is>
      </c>
      <c r="R100" s="16" t="inlineStr">
        <is>
          <t>Prompt + Approved Context</t>
        </is>
      </c>
      <c r="S100" s="5" t="inlineStr">
        <is>
          <t>Confirmed</t>
        </is>
      </c>
    </row>
    <row r="101" ht="16" customHeight="1">
      <c r="A101" s="5" t="inlineStr">
        <is>
          <t>TMT-S1-F062</t>
        </is>
      </c>
      <c r="B101" s="5" t="inlineStr">
        <is>
          <t>TMT</t>
        </is>
      </c>
      <c r="C101" s="5" t="inlineStr">
        <is>
          <t>S1</t>
        </is>
      </c>
      <c r="D101" s="21" t="str">
        <f>IFERROR(VLOOKUP($G101,'02_REFERENCE'!$A$2:$S$99,4,FALSE),"N/A")</f>
        <v>N/A</v>
      </c>
      <c r="E101" s="21" t="str">
        <f>IFERROR(VLOOKUP($G101,'02_REFERENCE'!$A$2:$S$99,15,FALSE),"N/A")</f>
        <v>N/A</v>
      </c>
      <c r="F101" s="21" t="str">
        <f>IFERROR(VLOOKUP($G101,'02_REFERENCE'!$A$2:$S$99,17,FALSE),"N/A")</f>
        <v>N/A</v>
      </c>
      <c r="G101" s="21" t="inlineStr"/>
      <c r="H101" s="21" t="inlineStr">
        <is>
          <t>False Positive</t>
        </is>
      </c>
      <c r="I101" s="21" t="inlineStr">
        <is>
          <t>FP</t>
        </is>
      </c>
      <c r="J101" s="21" t="inlineStr">
        <is>
          <t>M</t>
        </is>
      </c>
      <c r="K101" s="21" t="inlineStr">
        <is>
          <t>N</t>
        </is>
      </c>
      <c r="L101" s="21" t="inlineStr">
        <is>
          <t>No</t>
        </is>
      </c>
      <c r="M101" s="21" t="inlineStr"/>
      <c r="N101" s="22" t="inlineStr">
        <is>
          <t>Process-crash template (internal availability); no reference mechanism (provider-unavailability refs concern the external service; DoS refs concern attacker-driven flooding).</t>
        </is>
      </c>
      <c r="O101" s="5" t="inlineStr"/>
      <c r="P101" s="16" t="inlineStr">
        <is>
          <t>Potential Process Crash or Stop for EE1 End User (Browser)</t>
        </is>
      </c>
      <c r="Q101" s="16" t="inlineStr">
        <is>
          <t>Diagram 1</t>
        </is>
      </c>
      <c r="R101" s="16" t="inlineStr">
        <is>
          <t>Authenticated Session Response</t>
        </is>
      </c>
      <c r="S101" s="5" t="inlineStr">
        <is>
          <t>Confirmed</t>
        </is>
      </c>
    </row>
    <row r="102" ht="16" customHeight="1">
      <c r="A102" s="5" t="inlineStr">
        <is>
          <t>TMT-S1-F063</t>
        </is>
      </c>
      <c r="B102" s="5" t="inlineStr">
        <is>
          <t>TMT</t>
        </is>
      </c>
      <c r="C102" s="5" t="inlineStr">
        <is>
          <t>S1</t>
        </is>
      </c>
      <c r="D102" s="21" t="str">
        <f>IFERROR(VLOOKUP($G102,'02_REFERENCE'!$A$2:$S$99,4,FALSE),"N/A")</f>
        <v>Spoofing</v>
      </c>
      <c r="E102" s="21" t="str">
        <f>IFERROR(VLOOKUP($G102,'02_REFERENCE'!$A$2:$S$99,15,FALSE),"N/A")</f>
        <v>Critical</v>
      </c>
      <c r="F102" s="21" t="str">
        <f>IFERROR(VLOOKUP($G102,'02_REFERENCE'!$A$2:$S$99,17,FALSE),"N/A")</f>
        <v>No</v>
      </c>
      <c r="G102" s="21" t="inlineStr">
        <is>
          <t>S1-RT-014</t>
        </is>
      </c>
      <c r="H102" s="21" t="inlineStr">
        <is>
          <t>Duplicate</t>
        </is>
      </c>
      <c r="I102" s="21" t="inlineStr">
        <is>
          <t>TP</t>
        </is>
      </c>
      <c r="J102" s="21" t="inlineStr">
        <is>
          <t>M</t>
        </is>
      </c>
      <c r="K102" s="21" t="inlineStr">
        <is>
          <t>N</t>
        </is>
      </c>
      <c r="L102" s="21" t="inlineStr">
        <is>
          <t>Yes</t>
        </is>
      </c>
      <c r="M102" s="21" t="inlineStr">
        <is>
          <t>TMT-S1-F017</t>
        </is>
      </c>
      <c r="N102" s="22" t="inlineStr">
        <is>
          <t>Flow sniffing of session/token material -&gt; token exposure at delivery crossing -&gt; reference S1-RT-014. [Equivalence: restates TMT-S1-F017 — one-to-one rule applied.]</t>
        </is>
      </c>
      <c r="O102" s="5" t="inlineStr">
        <is>
          <t>transit_token</t>
        </is>
      </c>
      <c r="P102" s="16" t="inlineStr">
        <is>
          <t>Data Flow Sniffing</t>
        </is>
      </c>
      <c r="Q102" s="16" t="inlineStr">
        <is>
          <t>Diagram 1</t>
        </is>
      </c>
      <c r="R102" s="16" t="inlineStr">
        <is>
          <t>Authenticated Session Response</t>
        </is>
      </c>
      <c r="S102" s="5" t="inlineStr">
        <is>
          <t>Confirmed</t>
        </is>
      </c>
    </row>
    <row r="103" ht="16" customHeight="1">
      <c r="A103" s="5" t="inlineStr">
        <is>
          <t>TMT-S1-F064</t>
        </is>
      </c>
      <c r="B103" s="5" t="inlineStr">
        <is>
          <t>TMT</t>
        </is>
      </c>
      <c r="C103" s="5" t="inlineStr">
        <is>
          <t>S1</t>
        </is>
      </c>
      <c r="D103" s="21" t="str">
        <f>IFERROR(VLOOKUP($G103,'02_REFERENCE'!$A$2:$S$99,4,FALSE),"N/A")</f>
        <v>Repudiation</v>
      </c>
      <c r="E103" s="21" t="str">
        <f>IFERROR(VLOOKUP($G103,'02_REFERENCE'!$A$2:$S$99,15,FALSE),"N/A")</f>
        <v>Medium</v>
      </c>
      <c r="F103" s="21" t="str">
        <f>IFERROR(VLOOKUP($G103,'02_REFERENCE'!$A$2:$S$99,17,FALSE),"N/A")</f>
        <v>No</v>
      </c>
      <c r="G103" s="21" t="inlineStr">
        <is>
          <t>S1-RT-021</t>
        </is>
      </c>
      <c r="H103" s="21" t="inlineStr">
        <is>
          <t>Duplicate</t>
        </is>
      </c>
      <c r="I103" s="21" t="inlineStr">
        <is>
          <t>TP</t>
        </is>
      </c>
      <c r="J103" s="21" t="inlineStr">
        <is>
          <t>M</t>
        </is>
      </c>
      <c r="K103" s="21" t="inlineStr">
        <is>
          <t>N</t>
        </is>
      </c>
      <c r="L103" s="21" t="inlineStr">
        <is>
          <t>Yes</t>
        </is>
      </c>
      <c r="M103" s="21" t="inlineStr">
        <is>
          <t>TMT-S1-F025</t>
        </is>
      </c>
      <c r="N103" s="22" t="inlineStr">
        <is>
          <t>Attribution template -&gt; reference S1-RT-021 (unspecified attribution of security-relevant actions). [Equivalence: restates TMT-S1-F025 — one-to-one rule applied.]</t>
        </is>
      </c>
      <c r="O103" s="5" t="inlineStr">
        <is>
          <t>repudiation</t>
        </is>
      </c>
      <c r="P103" s="16" t="inlineStr">
        <is>
          <t>Potential Data Repudiation by EE1 End User (Browser)</t>
        </is>
      </c>
      <c r="Q103" s="16" t="inlineStr">
        <is>
          <t>Diagram 1</t>
        </is>
      </c>
      <c r="R103" s="16" t="inlineStr">
        <is>
          <t>Authenticated Session Response</t>
        </is>
      </c>
      <c r="S103" s="5" t="inlineStr">
        <is>
          <t>Confirmed</t>
        </is>
      </c>
    </row>
    <row r="104" ht="16" customHeight="1">
      <c r="A104" s="5" t="inlineStr">
        <is>
          <t>TMT-S1-F065</t>
        </is>
      </c>
      <c r="B104" s="5" t="inlineStr">
        <is>
          <t>TMT</t>
        </is>
      </c>
      <c r="C104" s="5" t="inlineStr">
        <is>
          <t>S1</t>
        </is>
      </c>
      <c r="D104" s="21" t="str">
        <f>IFERROR(VLOOKUP($G104,'02_REFERENCE'!$A$2:$S$99,4,FALSE),"N/A")</f>
        <v>N/A</v>
      </c>
      <c r="E104" s="21" t="str">
        <f>IFERROR(VLOOKUP($G104,'02_REFERENCE'!$A$2:$S$99,15,FALSE),"N/A")</f>
        <v>N/A</v>
      </c>
      <c r="F104" s="21" t="str">
        <f>IFERROR(VLOOKUP($G104,'02_REFERENCE'!$A$2:$S$99,17,FALSE),"N/A")</f>
        <v>N/A</v>
      </c>
      <c r="G104" s="21" t="inlineStr"/>
      <c r="H104" s="21" t="inlineStr">
        <is>
          <t>False Positive</t>
        </is>
      </c>
      <c r="I104" s="21" t="inlineStr">
        <is>
          <t>FP</t>
        </is>
      </c>
      <c r="J104" s="21" t="inlineStr">
        <is>
          <t>M</t>
        </is>
      </c>
      <c r="K104" s="21" t="inlineStr">
        <is>
          <t>N</t>
        </is>
      </c>
      <c r="L104" s="21" t="inlineStr">
        <is>
          <t>No</t>
        </is>
      </c>
      <c r="M104" s="21" t="inlineStr"/>
      <c r="N104" s="22" t="inlineStr">
        <is>
          <t>Generic input-validation template; flow-specific reference mapping not supported (no matching mechanism).</t>
        </is>
      </c>
      <c r="O104" s="5" t="inlineStr"/>
      <c r="P104" s="16" t="inlineStr">
        <is>
          <t>Potential Lack of Input Validation for EE1 End User (Browser)</t>
        </is>
      </c>
      <c r="Q104" s="16" t="inlineStr">
        <is>
          <t>Diagram 1</t>
        </is>
      </c>
      <c r="R104" s="16" t="inlineStr">
        <is>
          <t>Authenticated Session Response</t>
        </is>
      </c>
      <c r="S104" s="5" t="inlineStr">
        <is>
          <t>Confirmed</t>
        </is>
      </c>
    </row>
    <row r="105" ht="16" customHeight="1">
      <c r="A105" s="5" t="inlineStr">
        <is>
          <t>TMT-S1-F066</t>
        </is>
      </c>
      <c r="B105" s="5" t="inlineStr">
        <is>
          <t>TMT</t>
        </is>
      </c>
      <c r="C105" s="5" t="inlineStr">
        <is>
          <t>S1</t>
        </is>
      </c>
      <c r="D105" s="21" t="str">
        <f>IFERROR(VLOOKUP($G105,'02_REFERENCE'!$A$2:$S$99,4,FALSE),"N/A")</f>
        <v>N/A</v>
      </c>
      <c r="E105" s="21" t="str">
        <f>IFERROR(VLOOKUP($G105,'02_REFERENCE'!$A$2:$S$99,15,FALSE),"N/A")</f>
        <v>N/A</v>
      </c>
      <c r="F105" s="21" t="str">
        <f>IFERROR(VLOOKUP($G105,'02_REFERENCE'!$A$2:$S$99,17,FALSE),"N/A")</f>
        <v>N/A</v>
      </c>
      <c r="G105" s="21" t="inlineStr"/>
      <c r="H105" s="21" t="inlineStr">
        <is>
          <t>False Positive</t>
        </is>
      </c>
      <c r="I105" s="21" t="inlineStr">
        <is>
          <t>FP</t>
        </is>
      </c>
      <c r="J105" s="21" t="inlineStr">
        <is>
          <t>M</t>
        </is>
      </c>
      <c r="K105" s="21" t="inlineStr">
        <is>
          <t>N</t>
        </is>
      </c>
      <c r="L105" s="21" t="inlineStr">
        <is>
          <t>No</t>
        </is>
      </c>
      <c r="M105" s="21" t="inlineStr"/>
      <c r="N105" s="22" t="inlineStr">
        <is>
          <t>Process-identity spoofing / memory-integrity template; no reference mechanism (authentication bypass RT-004 is logic-based, not process-spoofing).</t>
        </is>
      </c>
      <c r="O105" s="5" t="inlineStr"/>
      <c r="P105" s="16" t="inlineStr">
        <is>
          <t>Spoofing the EE1 End User (Browser) Process</t>
        </is>
      </c>
      <c r="Q105" s="16" t="inlineStr">
        <is>
          <t>Diagram 1</t>
        </is>
      </c>
      <c r="R105" s="16" t="inlineStr">
        <is>
          <t>Authenticated Session Response</t>
        </is>
      </c>
      <c r="S105" s="5" t="inlineStr">
        <is>
          <t>Confirmed</t>
        </is>
      </c>
    </row>
    <row r="106" ht="16" customHeight="1">
      <c r="A106" s="5" t="inlineStr">
        <is>
          <t>TMT-S1-F067</t>
        </is>
      </c>
      <c r="B106" s="5" t="inlineStr">
        <is>
          <t>TMT</t>
        </is>
      </c>
      <c r="C106" s="5" t="inlineStr">
        <is>
          <t>S1</t>
        </is>
      </c>
      <c r="D106" s="21" t="str">
        <f>IFERROR(VLOOKUP($G106,'02_REFERENCE'!$A$2:$S$99,4,FALSE),"N/A")</f>
        <v>N/A</v>
      </c>
      <c r="E106" s="21" t="str">
        <f>IFERROR(VLOOKUP($G106,'02_REFERENCE'!$A$2:$S$99,15,FALSE),"N/A")</f>
        <v>N/A</v>
      </c>
      <c r="F106" s="21" t="str">
        <f>IFERROR(VLOOKUP($G106,'02_REFERENCE'!$A$2:$S$99,17,FALSE),"N/A")</f>
        <v>N/A</v>
      </c>
      <c r="G106" s="21" t="inlineStr"/>
      <c r="H106" s="21" t="inlineStr">
        <is>
          <t>False Positive</t>
        </is>
      </c>
      <c r="I106" s="21" t="inlineStr">
        <is>
          <t>FP</t>
        </is>
      </c>
      <c r="J106" s="21" t="inlineStr">
        <is>
          <t>M</t>
        </is>
      </c>
      <c r="K106" s="21" t="inlineStr">
        <is>
          <t>N</t>
        </is>
      </c>
      <c r="L106" s="21" t="inlineStr">
        <is>
          <t>No</t>
        </is>
      </c>
      <c r="M106" s="21" t="inlineStr"/>
      <c r="N106" s="22" t="inlineStr">
        <is>
          <t>Process-identity spoofing / memory-integrity template; no reference mechanism (authentication bypass RT-004 is logic-based, not process-spoofing).</t>
        </is>
      </c>
      <c r="O106" s="5" t="inlineStr"/>
      <c r="P106" s="16" t="inlineStr">
        <is>
          <t>Spoofing the P1 Web Frontend Interface Process</t>
        </is>
      </c>
      <c r="Q106" s="16" t="inlineStr">
        <is>
          <t>Diagram 1</t>
        </is>
      </c>
      <c r="R106" s="16" t="inlineStr">
        <is>
          <t>Authenticated Session Response</t>
        </is>
      </c>
      <c r="S106" s="5" t="inlineStr">
        <is>
          <t>Confirmed</t>
        </is>
      </c>
    </row>
    <row r="107" ht="16" customHeight="1">
      <c r="A107" s="5" t="inlineStr">
        <is>
          <t>TMT-S1-F068</t>
        </is>
      </c>
      <c r="B107" s="5" t="inlineStr">
        <is>
          <t>TMT</t>
        </is>
      </c>
      <c r="C107" s="5" t="inlineStr">
        <is>
          <t>S1</t>
        </is>
      </c>
      <c r="D107" s="21" t="str">
        <f>IFERROR(VLOOKUP($G107,'02_REFERENCE'!$A$2:$S$99,4,FALSE),"N/A")</f>
        <v>N/A</v>
      </c>
      <c r="E107" s="21" t="str">
        <f>IFERROR(VLOOKUP($G107,'02_REFERENCE'!$A$2:$S$99,15,FALSE),"N/A")</f>
        <v>N/A</v>
      </c>
      <c r="F107" s="21" t="str">
        <f>IFERROR(VLOOKUP($G107,'02_REFERENCE'!$A$2:$S$99,17,FALSE),"N/A")</f>
        <v>N/A</v>
      </c>
      <c r="G107" s="21" t="inlineStr"/>
      <c r="H107" s="21" t="inlineStr">
        <is>
          <t>False Positive</t>
        </is>
      </c>
      <c r="I107" s="21" t="inlineStr">
        <is>
          <t>FP</t>
        </is>
      </c>
      <c r="J107" s="21" t="inlineStr">
        <is>
          <t>M</t>
        </is>
      </c>
      <c r="K107" s="21" t="inlineStr">
        <is>
          <t>N</t>
        </is>
      </c>
      <c r="L107" s="21" t="inlineStr">
        <is>
          <t>No</t>
        </is>
      </c>
      <c r="M107" s="21" t="inlineStr"/>
      <c r="N107" s="22" t="inlineStr">
        <is>
          <t>CSRF template; the reference baseline contains no CSRF mechanism (session threats are fixation/theft/replay/prediction/storage).</t>
        </is>
      </c>
      <c r="O107" s="5" t="inlineStr"/>
      <c r="P107" s="16" t="inlineStr">
        <is>
          <t>Cross Site Request Forgery</t>
        </is>
      </c>
      <c r="Q107" s="16" t="inlineStr">
        <is>
          <t>Diagram 1</t>
        </is>
      </c>
      <c r="R107" s="16" t="inlineStr">
        <is>
          <t>Registration/Login Credentials</t>
        </is>
      </c>
      <c r="S107" s="5" t="inlineStr">
        <is>
          <t>Confirmed</t>
        </is>
      </c>
    </row>
    <row r="108" ht="16" customHeight="1">
      <c r="A108" s="5" t="inlineStr">
        <is>
          <t>TMT-S1-F069</t>
        </is>
      </c>
      <c r="B108" s="5" t="inlineStr">
        <is>
          <t>TMT</t>
        </is>
      </c>
      <c r="C108" s="5" t="inlineStr">
        <is>
          <t>S1</t>
        </is>
      </c>
      <c r="D108" s="21" t="str">
        <f>IFERROR(VLOOKUP($G108,'02_REFERENCE'!$A$2:$S$99,4,FALSE),"N/A")</f>
        <v>N/A</v>
      </c>
      <c r="E108" s="21" t="str">
        <f>IFERROR(VLOOKUP($G108,'02_REFERENCE'!$A$2:$S$99,15,FALSE),"N/A")</f>
        <v>N/A</v>
      </c>
      <c r="F108" s="21" t="str">
        <f>IFERROR(VLOOKUP($G108,'02_REFERENCE'!$A$2:$S$99,17,FALSE),"N/A")</f>
        <v>N/A</v>
      </c>
      <c r="G108" s="21" t="inlineStr"/>
      <c r="H108" s="21" t="inlineStr">
        <is>
          <t>False Positive</t>
        </is>
      </c>
      <c r="I108" s="21" t="inlineStr">
        <is>
          <t>FP</t>
        </is>
      </c>
      <c r="J108" s="21" t="inlineStr">
        <is>
          <t>M</t>
        </is>
      </c>
      <c r="K108" s="21" t="inlineStr">
        <is>
          <t>N</t>
        </is>
      </c>
      <c r="L108" s="21" t="inlineStr">
        <is>
          <t>No</t>
        </is>
      </c>
      <c r="M108" s="21" t="inlineStr"/>
      <c r="N108" s="22" t="inlineStr">
        <is>
          <t>Process-identity spoofing / memory-integrity template; no reference mechanism (authentication bypass RT-004 is logic-based, not process-spoofing).</t>
        </is>
      </c>
      <c r="O108" s="5" t="inlineStr"/>
      <c r="P108" s="16" t="inlineStr">
        <is>
          <t>Elevation by Changing the Execution Flow in P1 Web Frontend Interface</t>
        </is>
      </c>
      <c r="Q108" s="16" t="inlineStr">
        <is>
          <t>Diagram 1</t>
        </is>
      </c>
      <c r="R108" s="16" t="inlineStr">
        <is>
          <t>Registration/Login Credentials</t>
        </is>
      </c>
      <c r="S108" s="5" t="inlineStr">
        <is>
          <t>Confirmed</t>
        </is>
      </c>
    </row>
    <row r="109" ht="16" customHeight="1">
      <c r="A109" s="5" t="inlineStr">
        <is>
          <t>TMT-S1-F070</t>
        </is>
      </c>
      <c r="B109" s="5" t="inlineStr">
        <is>
          <t>TMT</t>
        </is>
      </c>
      <c r="C109" s="5" t="inlineStr">
        <is>
          <t>S1</t>
        </is>
      </c>
      <c r="D109" s="21" t="str">
        <f>IFERROR(VLOOKUP($G109,'02_REFERENCE'!$A$2:$S$99,4,FALSE),"N/A")</f>
        <v>N/A</v>
      </c>
      <c r="E109" s="21" t="str">
        <f>IFERROR(VLOOKUP($G109,'02_REFERENCE'!$A$2:$S$99,15,FALSE),"N/A")</f>
        <v>N/A</v>
      </c>
      <c r="F109" s="21" t="str">
        <f>IFERROR(VLOOKUP($G109,'02_REFERENCE'!$A$2:$S$99,17,FALSE),"N/A")</f>
        <v>N/A</v>
      </c>
      <c r="G109" s="21" t="inlineStr"/>
      <c r="H109" s="21" t="inlineStr">
        <is>
          <t>False Positive</t>
        </is>
      </c>
      <c r="I109" s="21" t="inlineStr">
        <is>
          <t>FP</t>
        </is>
      </c>
      <c r="J109" s="21" t="inlineStr">
        <is>
          <t>M</t>
        </is>
      </c>
      <c r="K109" s="21" t="inlineStr">
        <is>
          <t>N</t>
        </is>
      </c>
      <c r="L109" s="21" t="inlineStr">
        <is>
          <t>No</t>
        </is>
      </c>
      <c r="M109" s="21" t="inlineStr"/>
      <c r="N109" s="22" t="inlineStr">
        <is>
          <t>Process-identity spoofing / memory-integrity template; no reference mechanism (authentication bypass RT-004 is logic-based, not process-spoofing).</t>
        </is>
      </c>
      <c r="O109" s="5" t="inlineStr"/>
      <c r="P109" s="16" t="inlineStr">
        <is>
          <t>P1 Web Frontend Interface May be Subject to Elevation of Privilege Using Remote Code Execution</t>
        </is>
      </c>
      <c r="Q109" s="16" t="inlineStr">
        <is>
          <t>Diagram 1</t>
        </is>
      </c>
      <c r="R109" s="16" t="inlineStr">
        <is>
          <t>Registration/Login Credentials</t>
        </is>
      </c>
      <c r="S109" s="5" t="inlineStr">
        <is>
          <t>Confirmed</t>
        </is>
      </c>
    </row>
    <row r="110" ht="16" customHeight="1">
      <c r="A110" s="5" t="inlineStr">
        <is>
          <t>TMT-S1-F071</t>
        </is>
      </c>
      <c r="B110" s="5" t="inlineStr">
        <is>
          <t>TMT</t>
        </is>
      </c>
      <c r="C110" s="5" t="inlineStr">
        <is>
          <t>S1</t>
        </is>
      </c>
      <c r="D110" s="21" t="str">
        <f>IFERROR(VLOOKUP($G110,'02_REFERENCE'!$A$2:$S$99,4,FALSE),"N/A")</f>
        <v>Denial of Service</v>
      </c>
      <c r="E110" s="21" t="str">
        <f>IFERROR(VLOOKUP($G110,'02_REFERENCE'!$A$2:$S$99,15,FALSE),"N/A")</f>
        <v>Medium</v>
      </c>
      <c r="F110" s="21" t="str">
        <f>IFERROR(VLOOKUP($G110,'02_REFERENCE'!$A$2:$S$99,17,FALSE),"N/A")</f>
        <v>No</v>
      </c>
      <c r="G110" s="21" t="inlineStr">
        <is>
          <t>S1-RT-028</t>
        </is>
      </c>
      <c r="H110" s="21" t="inlineStr">
        <is>
          <t>Duplicate</t>
        </is>
      </c>
      <c r="I110" s="21" t="inlineStr">
        <is>
          <t>TP</t>
        </is>
      </c>
      <c r="J110" s="21" t="inlineStr">
        <is>
          <t>M</t>
        </is>
      </c>
      <c r="K110" s="21" t="inlineStr">
        <is>
          <t>N</t>
        </is>
      </c>
      <c r="L110" s="21" t="inlineStr">
        <is>
          <t>Yes</t>
        </is>
      </c>
      <c r="M110" s="21" t="inlineStr">
        <is>
          <t>TMT-S1-F008</t>
        </is>
      </c>
      <c r="N110" s="22" t="inlineStr">
        <is>
          <t>Interruption of the authentication path -&gt; reference S1-RT-028. [Equivalence: restates TMT-S1-F008 — one-to-one rule applied.]</t>
        </is>
      </c>
      <c r="O110" s="5" t="inlineStr">
        <is>
          <t>dos_service</t>
        </is>
      </c>
      <c r="P110" s="16" t="inlineStr">
        <is>
          <t>Data Flow Registration/Login Credentials Is Potentially Interrupted</t>
        </is>
      </c>
      <c r="Q110" s="16" t="inlineStr">
        <is>
          <t>Diagram 1</t>
        </is>
      </c>
      <c r="R110" s="16" t="inlineStr">
        <is>
          <t>Registration/Login Credentials</t>
        </is>
      </c>
      <c r="S110" s="5" t="inlineStr">
        <is>
          <t>Confirmed</t>
        </is>
      </c>
    </row>
    <row r="111" ht="16" customHeight="1">
      <c r="A111" s="5" t="inlineStr">
        <is>
          <t>TMT-S1-F072</t>
        </is>
      </c>
      <c r="B111" s="5" t="inlineStr">
        <is>
          <t>TMT</t>
        </is>
      </c>
      <c r="C111" s="5" t="inlineStr">
        <is>
          <t>S1</t>
        </is>
      </c>
      <c r="D111" s="21" t="str">
        <f>IFERROR(VLOOKUP($G111,'02_REFERENCE'!$A$2:$S$99,4,FALSE),"N/A")</f>
        <v>N/A</v>
      </c>
      <c r="E111" s="21" t="str">
        <f>IFERROR(VLOOKUP($G111,'02_REFERENCE'!$A$2:$S$99,15,FALSE),"N/A")</f>
        <v>N/A</v>
      </c>
      <c r="F111" s="21" t="str">
        <f>IFERROR(VLOOKUP($G111,'02_REFERENCE'!$A$2:$S$99,17,FALSE),"N/A")</f>
        <v>N/A</v>
      </c>
      <c r="G111" s="21" t="inlineStr"/>
      <c r="H111" s="21" t="inlineStr">
        <is>
          <t>False Positive</t>
        </is>
      </c>
      <c r="I111" s="21" t="inlineStr">
        <is>
          <t>FP</t>
        </is>
      </c>
      <c r="J111" s="21" t="inlineStr">
        <is>
          <t>M</t>
        </is>
      </c>
      <c r="K111" s="21" t="inlineStr">
        <is>
          <t>N</t>
        </is>
      </c>
      <c r="L111" s="21" t="inlineStr">
        <is>
          <t>No</t>
        </is>
      </c>
      <c r="M111" s="21" t="inlineStr"/>
      <c r="N111" s="22" t="inlineStr">
        <is>
          <t>Process-crash template (internal availability); no reference mechanism (provider-unavailability refs concern the external service; DoS refs concern attacker-driven flooding).</t>
        </is>
      </c>
      <c r="O111" s="5" t="inlineStr"/>
      <c r="P111" s="16" t="inlineStr">
        <is>
          <t>Potential Process Crash or Stop for P1 Web Frontend Interface</t>
        </is>
      </c>
      <c r="Q111" s="16" t="inlineStr">
        <is>
          <t>Diagram 1</t>
        </is>
      </c>
      <c r="R111" s="16" t="inlineStr">
        <is>
          <t>Registration/Login Credentials</t>
        </is>
      </c>
      <c r="S111" s="5" t="inlineStr">
        <is>
          <t>Confirmed</t>
        </is>
      </c>
    </row>
    <row r="112" ht="16" customHeight="1">
      <c r="A112" s="5" t="inlineStr">
        <is>
          <t>TMT-S1-F073</t>
        </is>
      </c>
      <c r="B112" s="5" t="inlineStr">
        <is>
          <t>TMT</t>
        </is>
      </c>
      <c r="C112" s="5" t="inlineStr">
        <is>
          <t>S1</t>
        </is>
      </c>
      <c r="D112" s="21" t="str">
        <f>IFERROR(VLOOKUP($G112,'02_REFERENCE'!$A$2:$S$99,4,FALSE),"N/A")</f>
        <v>Repudiation</v>
      </c>
      <c r="E112" s="21" t="str">
        <f>IFERROR(VLOOKUP($G112,'02_REFERENCE'!$A$2:$S$99,15,FALSE),"N/A")</f>
        <v>Medium</v>
      </c>
      <c r="F112" s="21" t="str">
        <f>IFERROR(VLOOKUP($G112,'02_REFERENCE'!$A$2:$S$99,17,FALSE),"N/A")</f>
        <v>No</v>
      </c>
      <c r="G112" s="21" t="inlineStr">
        <is>
          <t>S1-RT-021</t>
        </is>
      </c>
      <c r="H112" s="21" t="inlineStr">
        <is>
          <t>Duplicate</t>
        </is>
      </c>
      <c r="I112" s="21" t="inlineStr">
        <is>
          <t>TP</t>
        </is>
      </c>
      <c r="J112" s="21" t="inlineStr">
        <is>
          <t>M</t>
        </is>
      </c>
      <c r="K112" s="21" t="inlineStr">
        <is>
          <t>N</t>
        </is>
      </c>
      <c r="L112" s="21" t="inlineStr">
        <is>
          <t>Yes</t>
        </is>
      </c>
      <c r="M112" s="21" t="inlineStr">
        <is>
          <t>TMT-S1-F025</t>
        </is>
      </c>
      <c r="N112" s="22" t="inlineStr">
        <is>
          <t>Attribution template -&gt; reference S1-RT-021 (unspecified attribution of security-relevant actions). [Equivalence: restates TMT-S1-F025 — one-to-one rule applied.]</t>
        </is>
      </c>
      <c r="O112" s="5" t="inlineStr">
        <is>
          <t>repudiation</t>
        </is>
      </c>
      <c r="P112" s="16" t="inlineStr">
        <is>
          <t>Potential Data Repudiation by P1 Web Frontend Interface</t>
        </is>
      </c>
      <c r="Q112" s="16" t="inlineStr">
        <is>
          <t>Diagram 1</t>
        </is>
      </c>
      <c r="R112" s="16" t="inlineStr">
        <is>
          <t>Registration/Login Credentials</t>
        </is>
      </c>
      <c r="S112" s="5" t="inlineStr">
        <is>
          <t>Confirmed</t>
        </is>
      </c>
    </row>
    <row r="113" ht="16" customHeight="1">
      <c r="A113" s="5" t="inlineStr">
        <is>
          <t>TMT-S1-F074</t>
        </is>
      </c>
      <c r="B113" s="5" t="inlineStr">
        <is>
          <t>TMT</t>
        </is>
      </c>
      <c r="C113" s="5" t="inlineStr">
        <is>
          <t>S1</t>
        </is>
      </c>
      <c r="D113" s="21" t="str">
        <f>IFERROR(VLOOKUP($G113,'02_REFERENCE'!$A$2:$S$99,4,FALSE),"N/A")</f>
        <v>N/A</v>
      </c>
      <c r="E113" s="21" t="str">
        <f>IFERROR(VLOOKUP($G113,'02_REFERENCE'!$A$2:$S$99,15,FALSE),"N/A")</f>
        <v>N/A</v>
      </c>
      <c r="F113" s="21" t="str">
        <f>IFERROR(VLOOKUP($G113,'02_REFERENCE'!$A$2:$S$99,17,FALSE),"N/A")</f>
        <v>N/A</v>
      </c>
      <c r="G113" s="21" t="inlineStr"/>
      <c r="H113" s="21" t="inlineStr">
        <is>
          <t>False Positive</t>
        </is>
      </c>
      <c r="I113" s="21" t="inlineStr">
        <is>
          <t>FP</t>
        </is>
      </c>
      <c r="J113" s="21" t="inlineStr">
        <is>
          <t>M</t>
        </is>
      </c>
      <c r="K113" s="21" t="inlineStr">
        <is>
          <t>N</t>
        </is>
      </c>
      <c r="L113" s="21" t="inlineStr">
        <is>
          <t>No</t>
        </is>
      </c>
      <c r="M113" s="21" t="inlineStr"/>
      <c r="N113" s="22" t="inlineStr">
        <is>
          <t>Process-identity spoofing / memory-integrity template; no reference mechanism (authentication bypass RT-004 is logic-based, not process-spoofing).</t>
        </is>
      </c>
      <c r="O113" s="5" t="inlineStr"/>
      <c r="P113" s="16" t="inlineStr">
        <is>
          <t>Spoofing the EE1 End User (Browser) Process</t>
        </is>
      </c>
      <c r="Q113" s="16" t="inlineStr">
        <is>
          <t>Diagram 1</t>
        </is>
      </c>
      <c r="R113" s="16" t="inlineStr">
        <is>
          <t>Registration/Login Credentials</t>
        </is>
      </c>
      <c r="S113" s="5" t="inlineStr">
        <is>
          <t>Confirmed</t>
        </is>
      </c>
    </row>
    <row r="114" ht="16" customHeight="1">
      <c r="A114" s="5" t="inlineStr">
        <is>
          <t>TMT-S1-F075</t>
        </is>
      </c>
      <c r="B114" s="5" t="inlineStr">
        <is>
          <t>TMT</t>
        </is>
      </c>
      <c r="C114" s="5" t="inlineStr">
        <is>
          <t>S1</t>
        </is>
      </c>
      <c r="D114" s="21" t="str">
        <f>IFERROR(VLOOKUP($G114,'02_REFERENCE'!$A$2:$S$99,4,FALSE),"N/A")</f>
        <v>N/A</v>
      </c>
      <c r="E114" s="21" t="str">
        <f>IFERROR(VLOOKUP($G114,'02_REFERENCE'!$A$2:$S$99,15,FALSE),"N/A")</f>
        <v>N/A</v>
      </c>
      <c r="F114" s="21" t="str">
        <f>IFERROR(VLOOKUP($G114,'02_REFERENCE'!$A$2:$S$99,17,FALSE),"N/A")</f>
        <v>N/A</v>
      </c>
      <c r="G114" s="21" t="inlineStr"/>
      <c r="H114" s="21" t="inlineStr">
        <is>
          <t>False Positive</t>
        </is>
      </c>
      <c r="I114" s="21" t="inlineStr">
        <is>
          <t>FP</t>
        </is>
      </c>
      <c r="J114" s="21" t="inlineStr">
        <is>
          <t>M</t>
        </is>
      </c>
      <c r="K114" s="21" t="inlineStr">
        <is>
          <t>N</t>
        </is>
      </c>
      <c r="L114" s="21" t="inlineStr">
        <is>
          <t>No</t>
        </is>
      </c>
      <c r="M114" s="21" t="inlineStr"/>
      <c r="N114" s="22" t="inlineStr">
        <is>
          <t>Flow-interruption template on a flow without a matching availability reference.</t>
        </is>
      </c>
      <c r="O114" s="5" t="inlineStr"/>
      <c r="P114" s="16" t="inlineStr">
        <is>
          <t>Data Flow Authenticated Session Response Is Potentially Interrupted</t>
        </is>
      </c>
      <c r="Q114" s="16" t="inlineStr">
        <is>
          <t>Diagram 1</t>
        </is>
      </c>
      <c r="R114" s="16" t="inlineStr">
        <is>
          <t>Authenticated Session Response</t>
        </is>
      </c>
      <c r="S114" s="5" t="inlineStr">
        <is>
          <t>Confirmed</t>
        </is>
      </c>
    </row>
    <row r="115" ht="16" customHeight="1">
      <c r="A115" s="5" t="inlineStr">
        <is>
          <t>TMT-S1-F076</t>
        </is>
      </c>
      <c r="B115" s="5" t="inlineStr">
        <is>
          <t>TMT</t>
        </is>
      </c>
      <c r="C115" s="5" t="inlineStr">
        <is>
          <t>S1</t>
        </is>
      </c>
      <c r="D115" s="21" t="str">
        <f>IFERROR(VLOOKUP($G115,'02_REFERENCE'!$A$2:$S$99,4,FALSE),"N/A")</f>
        <v>N/A</v>
      </c>
      <c r="E115" s="21" t="str">
        <f>IFERROR(VLOOKUP($G115,'02_REFERENCE'!$A$2:$S$99,15,FALSE),"N/A")</f>
        <v>N/A</v>
      </c>
      <c r="F115" s="21" t="str">
        <f>IFERROR(VLOOKUP($G115,'02_REFERENCE'!$A$2:$S$99,17,FALSE),"N/A")</f>
        <v>N/A</v>
      </c>
      <c r="G115" s="21" t="inlineStr"/>
      <c r="H115" s="21" t="inlineStr">
        <is>
          <t>False Positive</t>
        </is>
      </c>
      <c r="I115" s="21" t="inlineStr">
        <is>
          <t>FP</t>
        </is>
      </c>
      <c r="J115" s="21" t="inlineStr">
        <is>
          <t>M</t>
        </is>
      </c>
      <c r="K115" s="21" t="inlineStr">
        <is>
          <t>N</t>
        </is>
      </c>
      <c r="L115" s="21" t="inlineStr">
        <is>
          <t>No</t>
        </is>
      </c>
      <c r="M115" s="21" t="inlineStr"/>
      <c r="N115" s="22" t="inlineStr">
        <is>
          <t>Process-identity spoofing / memory-integrity template; no reference mechanism (authentication bypass RT-004 is logic-based, not process-spoofing).</t>
        </is>
      </c>
      <c r="O115" s="5" t="inlineStr"/>
      <c r="P115" s="16" t="inlineStr">
        <is>
          <t>EE1 End User (Browser) May be Subject to Elevation of Privilege Using Remote Code Execution</t>
        </is>
      </c>
      <c r="Q115" s="16" t="inlineStr">
        <is>
          <t>Diagram 1</t>
        </is>
      </c>
      <c r="R115" s="16" t="inlineStr">
        <is>
          <t>Authenticated Session Response</t>
        </is>
      </c>
      <c r="S115" s="5" t="inlineStr">
        <is>
          <t>Confirmed</t>
        </is>
      </c>
    </row>
    <row r="116" ht="16" customHeight="1">
      <c r="A116" s="5" t="inlineStr">
        <is>
          <t>TMT-S1-F077</t>
        </is>
      </c>
      <c r="B116" s="5" t="inlineStr">
        <is>
          <t>TMT</t>
        </is>
      </c>
      <c r="C116" s="5" t="inlineStr">
        <is>
          <t>S1</t>
        </is>
      </c>
      <c r="D116" s="21" t="str">
        <f>IFERROR(VLOOKUP($G116,'02_REFERENCE'!$A$2:$S$99,4,FALSE),"N/A")</f>
        <v>N/A</v>
      </c>
      <c r="E116" s="21" t="str">
        <f>IFERROR(VLOOKUP($G116,'02_REFERENCE'!$A$2:$S$99,15,FALSE),"N/A")</f>
        <v>N/A</v>
      </c>
      <c r="F116" s="21" t="str">
        <f>IFERROR(VLOOKUP($G116,'02_REFERENCE'!$A$2:$S$99,17,FALSE),"N/A")</f>
        <v>N/A</v>
      </c>
      <c r="G116" s="21" t="inlineStr"/>
      <c r="H116" s="21" t="inlineStr">
        <is>
          <t>False Positive</t>
        </is>
      </c>
      <c r="I116" s="21" t="inlineStr">
        <is>
          <t>FP</t>
        </is>
      </c>
      <c r="J116" s="21" t="inlineStr">
        <is>
          <t>M</t>
        </is>
      </c>
      <c r="K116" s="21" t="inlineStr">
        <is>
          <t>N</t>
        </is>
      </c>
      <c r="L116" s="21" t="inlineStr">
        <is>
          <t>No</t>
        </is>
      </c>
      <c r="M116" s="21" t="inlineStr"/>
      <c r="N116" s="22" t="inlineStr">
        <is>
          <t>Process-identity spoofing / memory-integrity template; no reference mechanism (authentication bypass RT-004 is logic-based, not process-spoofing).</t>
        </is>
      </c>
      <c r="O116" s="5" t="inlineStr"/>
      <c r="P116" s="16" t="inlineStr">
        <is>
          <t>Elevation by Changing the Execution Flow in EE1 End User (Browser)</t>
        </is>
      </c>
      <c r="Q116" s="16" t="inlineStr">
        <is>
          <t>Diagram 1</t>
        </is>
      </c>
      <c r="R116" s="16" t="inlineStr">
        <is>
          <t>Authenticated Session Response</t>
        </is>
      </c>
      <c r="S116" s="5" t="inlineStr">
        <is>
          <t>Confirmed</t>
        </is>
      </c>
    </row>
    <row r="117" ht="16" customHeight="1">
      <c r="A117" s="5" t="inlineStr">
        <is>
          <t>TMT-S1-F078</t>
        </is>
      </c>
      <c r="B117" s="5" t="inlineStr">
        <is>
          <t>TMT</t>
        </is>
      </c>
      <c r="C117" s="5" t="inlineStr">
        <is>
          <t>S1</t>
        </is>
      </c>
      <c r="D117" s="21" t="str">
        <f>IFERROR(VLOOKUP($G117,'02_REFERENCE'!$A$2:$S$99,4,FALSE),"N/A")</f>
        <v>N/A</v>
      </c>
      <c r="E117" s="21" t="str">
        <f>IFERROR(VLOOKUP($G117,'02_REFERENCE'!$A$2:$S$99,15,FALSE),"N/A")</f>
        <v>N/A</v>
      </c>
      <c r="F117" s="21" t="str">
        <f>IFERROR(VLOOKUP($G117,'02_REFERENCE'!$A$2:$S$99,17,FALSE),"N/A")</f>
        <v>N/A</v>
      </c>
      <c r="G117" s="21" t="inlineStr"/>
      <c r="H117" s="21" t="inlineStr">
        <is>
          <t>False Positive</t>
        </is>
      </c>
      <c r="I117" s="21" t="inlineStr">
        <is>
          <t>FP</t>
        </is>
      </c>
      <c r="J117" s="21" t="inlineStr">
        <is>
          <t>M</t>
        </is>
      </c>
      <c r="K117" s="21" t="inlineStr">
        <is>
          <t>N</t>
        </is>
      </c>
      <c r="L117" s="21" t="inlineStr">
        <is>
          <t>No</t>
        </is>
      </c>
      <c r="M117" s="21" t="inlineStr"/>
      <c r="N117" s="22" t="inlineStr">
        <is>
          <t>Sniffing of prompt/provider traffic: the baseline contains no reference for interception of prompt traffic (credential-token sniffing and file-interception refs are asset-specific; RT-024 covers application-side over-inclusion, not interception).</t>
        </is>
      </c>
      <c r="O117" s="5" t="inlineStr"/>
      <c r="P117" s="16" t="inlineStr">
        <is>
          <t>Data Flow Sniffing</t>
        </is>
      </c>
      <c r="Q117" s="16" t="inlineStr">
        <is>
          <t>Diagram 1</t>
        </is>
      </c>
      <c r="R117" s="16" t="inlineStr">
        <is>
          <t>Prompt Request</t>
        </is>
      </c>
      <c r="S117" s="5" t="inlineStr">
        <is>
          <t>Confirmed</t>
        </is>
      </c>
    </row>
    <row r="118" ht="16" customHeight="1">
      <c r="A118" s="5" t="inlineStr">
        <is>
          <t>TMT-S1-F079</t>
        </is>
      </c>
      <c r="B118" s="5" t="inlineStr">
        <is>
          <t>TMT</t>
        </is>
      </c>
      <c r="C118" s="5" t="inlineStr">
        <is>
          <t>S1</t>
        </is>
      </c>
      <c r="D118" s="21" t="str">
        <f>IFERROR(VLOOKUP($G118,'02_REFERENCE'!$A$2:$S$99,4,FALSE),"N/A")</f>
        <v>Repudiation</v>
      </c>
      <c r="E118" s="21" t="str">
        <f>IFERROR(VLOOKUP($G118,'02_REFERENCE'!$A$2:$S$99,15,FALSE),"N/A")</f>
        <v>Medium</v>
      </c>
      <c r="F118" s="21" t="str">
        <f>IFERROR(VLOOKUP($G118,'02_REFERENCE'!$A$2:$S$99,17,FALSE),"N/A")</f>
        <v>No</v>
      </c>
      <c r="G118" s="21" t="inlineStr">
        <is>
          <t>S1-RT-021</t>
        </is>
      </c>
      <c r="H118" s="21" t="inlineStr">
        <is>
          <t>Duplicate</t>
        </is>
      </c>
      <c r="I118" s="21" t="inlineStr">
        <is>
          <t>TP</t>
        </is>
      </c>
      <c r="J118" s="21" t="inlineStr">
        <is>
          <t>M</t>
        </is>
      </c>
      <c r="K118" s="21" t="inlineStr">
        <is>
          <t>N</t>
        </is>
      </c>
      <c r="L118" s="21" t="inlineStr">
        <is>
          <t>Yes</t>
        </is>
      </c>
      <c r="M118" s="21" t="inlineStr">
        <is>
          <t>TMT-S1-F025</t>
        </is>
      </c>
      <c r="N118" s="22" t="inlineStr">
        <is>
          <t>Attribution template -&gt; reference S1-RT-021 (unspecified attribution of security-relevant actions). [Equivalence: restates TMT-S1-F025 — one-to-one rule applied.]</t>
        </is>
      </c>
      <c r="O118" s="5" t="inlineStr">
        <is>
          <t>repudiation</t>
        </is>
      </c>
      <c r="P118" s="16" t="inlineStr">
        <is>
          <t>Potential Data Repudiation by P5 LLM Integration Service</t>
        </is>
      </c>
      <c r="Q118" s="16" t="inlineStr">
        <is>
          <t>Diagram 1</t>
        </is>
      </c>
      <c r="R118" s="16" t="inlineStr">
        <is>
          <t>Prompt Request</t>
        </is>
      </c>
      <c r="S118" s="5" t="inlineStr">
        <is>
          <t>Confirmed</t>
        </is>
      </c>
    </row>
    <row r="119" ht="16" customHeight="1">
      <c r="A119" s="5" t="inlineStr">
        <is>
          <t>TMT-S1-F080</t>
        </is>
      </c>
      <c r="B119" s="5" t="inlineStr">
        <is>
          <t>TMT</t>
        </is>
      </c>
      <c r="C119" s="5" t="inlineStr">
        <is>
          <t>S1</t>
        </is>
      </c>
      <c r="D119" s="21" t="str">
        <f>IFERROR(VLOOKUP($G119,'02_REFERENCE'!$A$2:$S$99,4,FALSE),"N/A")</f>
        <v>N/A</v>
      </c>
      <c r="E119" s="21" t="str">
        <f>IFERROR(VLOOKUP($G119,'02_REFERENCE'!$A$2:$S$99,15,FALSE),"N/A")</f>
        <v>N/A</v>
      </c>
      <c r="F119" s="21" t="str">
        <f>IFERROR(VLOOKUP($G119,'02_REFERENCE'!$A$2:$S$99,17,FALSE),"N/A")</f>
        <v>N/A</v>
      </c>
      <c r="G119" s="21" t="inlineStr"/>
      <c r="H119" s="21" t="inlineStr">
        <is>
          <t>False Positive</t>
        </is>
      </c>
      <c r="I119" s="21" t="inlineStr">
        <is>
          <t>FP</t>
        </is>
      </c>
      <c r="J119" s="21" t="inlineStr">
        <is>
          <t>M</t>
        </is>
      </c>
      <c r="K119" s="21" t="inlineStr">
        <is>
          <t>N</t>
        </is>
      </c>
      <c r="L119" s="21" t="inlineStr">
        <is>
          <t>No</t>
        </is>
      </c>
      <c r="M119" s="21" t="inlineStr"/>
      <c r="N119" s="22" t="inlineStr">
        <is>
          <t>Generic input-validation template; flow-specific reference mapping not supported (no matching mechanism).</t>
        </is>
      </c>
      <c r="O119" s="5" t="inlineStr"/>
      <c r="P119" s="16" t="inlineStr">
        <is>
          <t>Potential Lack of Input Validation for P5 LLM Integration Service</t>
        </is>
      </c>
      <c r="Q119" s="16" t="inlineStr">
        <is>
          <t>Diagram 1</t>
        </is>
      </c>
      <c r="R119" s="16" t="inlineStr">
        <is>
          <t>Prompt Request</t>
        </is>
      </c>
      <c r="S119" s="5" t="inlineStr">
        <is>
          <t>Confirmed</t>
        </is>
      </c>
    </row>
    <row r="120" ht="16" customHeight="1">
      <c r="A120" s="5" t="inlineStr">
        <is>
          <t>TMT-S1-F081</t>
        </is>
      </c>
      <c r="B120" s="5" t="inlineStr">
        <is>
          <t>TMT</t>
        </is>
      </c>
      <c r="C120" s="5" t="inlineStr">
        <is>
          <t>S1</t>
        </is>
      </c>
      <c r="D120" s="21" t="str">
        <f>IFERROR(VLOOKUP($G120,'02_REFERENCE'!$A$2:$S$99,4,FALSE),"N/A")</f>
        <v>N/A</v>
      </c>
      <c r="E120" s="21" t="str">
        <f>IFERROR(VLOOKUP($G120,'02_REFERENCE'!$A$2:$S$99,15,FALSE),"N/A")</f>
        <v>N/A</v>
      </c>
      <c r="F120" s="21" t="str">
        <f>IFERROR(VLOOKUP($G120,'02_REFERENCE'!$A$2:$S$99,17,FALSE),"N/A")</f>
        <v>N/A</v>
      </c>
      <c r="G120" s="21" t="inlineStr"/>
      <c r="H120" s="21" t="inlineStr">
        <is>
          <t>False Positive</t>
        </is>
      </c>
      <c r="I120" s="21" t="inlineStr">
        <is>
          <t>FP</t>
        </is>
      </c>
      <c r="J120" s="21" t="inlineStr">
        <is>
          <t>M</t>
        </is>
      </c>
      <c r="K120" s="21" t="inlineStr">
        <is>
          <t>N</t>
        </is>
      </c>
      <c r="L120" s="21" t="inlineStr">
        <is>
          <t>No</t>
        </is>
      </c>
      <c r="M120" s="21" t="inlineStr"/>
      <c r="N120" s="22" t="inlineStr">
        <is>
          <t>Process-identity spoofing / memory-integrity template; no reference mechanism (authentication bypass RT-004 is logic-based, not process-spoofing).</t>
        </is>
      </c>
      <c r="O120" s="5" t="inlineStr"/>
      <c r="P120" s="16" t="inlineStr">
        <is>
          <t>Spoofing the P5 LLM Integration Service Process</t>
        </is>
      </c>
      <c r="Q120" s="16" t="inlineStr">
        <is>
          <t>Diagram 1</t>
        </is>
      </c>
      <c r="R120" s="16" t="inlineStr">
        <is>
          <t>Prompt Request</t>
        </is>
      </c>
      <c r="S120" s="5" t="inlineStr">
        <is>
          <t>Confirmed</t>
        </is>
      </c>
    </row>
    <row r="121" ht="16" customHeight="1">
      <c r="A121" s="5" t="inlineStr">
        <is>
          <t>TMT-S1-F082</t>
        </is>
      </c>
      <c r="B121" s="5" t="inlineStr">
        <is>
          <t>TMT</t>
        </is>
      </c>
      <c r="C121" s="5" t="inlineStr">
        <is>
          <t>S1</t>
        </is>
      </c>
      <c r="D121" s="21" t="str">
        <f>IFERROR(VLOOKUP($G121,'02_REFERENCE'!$A$2:$S$99,4,FALSE),"N/A")</f>
        <v>N/A</v>
      </c>
      <c r="E121" s="21" t="str">
        <f>IFERROR(VLOOKUP($G121,'02_REFERENCE'!$A$2:$S$99,15,FALSE),"N/A")</f>
        <v>N/A</v>
      </c>
      <c r="F121" s="21" t="str">
        <f>IFERROR(VLOOKUP($G121,'02_REFERENCE'!$A$2:$S$99,17,FALSE),"N/A")</f>
        <v>N/A</v>
      </c>
      <c r="G121" s="21" t="inlineStr"/>
      <c r="H121" s="21" t="inlineStr">
        <is>
          <t>False Positive</t>
        </is>
      </c>
      <c r="I121" s="21" t="inlineStr">
        <is>
          <t>FP</t>
        </is>
      </c>
      <c r="J121" s="21" t="inlineStr">
        <is>
          <t>M</t>
        </is>
      </c>
      <c r="K121" s="21" t="inlineStr">
        <is>
          <t>N</t>
        </is>
      </c>
      <c r="L121" s="21" t="inlineStr">
        <is>
          <t>No</t>
        </is>
      </c>
      <c r="M121" s="21" t="inlineStr"/>
      <c r="N121" s="22" t="inlineStr">
        <is>
          <t>Process-identity spoofing / memory-integrity template; no reference mechanism (authentication bypass RT-004 is logic-based, not process-spoofing).</t>
        </is>
      </c>
      <c r="O121" s="5" t="inlineStr"/>
      <c r="P121" s="16" t="inlineStr">
        <is>
          <t>Spoofing the P4 AI Authentication Assistant Process</t>
        </is>
      </c>
      <c r="Q121" s="16" t="inlineStr">
        <is>
          <t>Diagram 1</t>
        </is>
      </c>
      <c r="R121" s="16" t="inlineStr">
        <is>
          <t>Prompt Request</t>
        </is>
      </c>
      <c r="S121" s="5" t="inlineStr">
        <is>
          <t>Confirmed</t>
        </is>
      </c>
    </row>
    <row r="122" ht="16" customHeight="1">
      <c r="A122" s="5" t="inlineStr">
        <is>
          <t>TMT-S1-F083</t>
        </is>
      </c>
      <c r="B122" s="5" t="inlineStr">
        <is>
          <t>TMT</t>
        </is>
      </c>
      <c r="C122" s="5" t="inlineStr">
        <is>
          <t>S1</t>
        </is>
      </c>
      <c r="D122" s="21" t="str">
        <f>IFERROR(VLOOKUP($G122,'02_REFERENCE'!$A$2:$S$99,4,FALSE),"N/A")</f>
        <v>N/A</v>
      </c>
      <c r="E122" s="21" t="str">
        <f>IFERROR(VLOOKUP($G122,'02_REFERENCE'!$A$2:$S$99,15,FALSE),"N/A")</f>
        <v>N/A</v>
      </c>
      <c r="F122" s="21" t="str">
        <f>IFERROR(VLOOKUP($G122,'02_REFERENCE'!$A$2:$S$99,17,FALSE),"N/A")</f>
        <v>N/A</v>
      </c>
      <c r="G122" s="21" t="inlineStr"/>
      <c r="H122" s="21" t="inlineStr">
        <is>
          <t>False Positive</t>
        </is>
      </c>
      <c r="I122" s="21" t="inlineStr">
        <is>
          <t>FP</t>
        </is>
      </c>
      <c r="J122" s="21" t="inlineStr">
        <is>
          <t>M</t>
        </is>
      </c>
      <c r="K122" s="21" t="inlineStr">
        <is>
          <t>N</t>
        </is>
      </c>
      <c r="L122" s="21" t="inlineStr">
        <is>
          <t>No</t>
        </is>
      </c>
      <c r="M122" s="21" t="inlineStr"/>
      <c r="N122" s="22" t="inlineStr">
        <is>
          <t>Process-crash template (internal availability); no reference mechanism (provider-unavailability refs concern the external service; DoS refs concern attacker-driven flooding).</t>
        </is>
      </c>
      <c r="O122" s="5" t="inlineStr"/>
      <c r="P122" s="16" t="inlineStr">
        <is>
          <t>Potential Process Crash or Stop for P5 LLM Integration Service</t>
        </is>
      </c>
      <c r="Q122" s="16" t="inlineStr">
        <is>
          <t>Diagram 1</t>
        </is>
      </c>
      <c r="R122" s="16" t="inlineStr">
        <is>
          <t>Prompt Request</t>
        </is>
      </c>
      <c r="S122" s="5" t="inlineStr">
        <is>
          <t>Confirmed</t>
        </is>
      </c>
    </row>
    <row r="123" ht="16" customHeight="1">
      <c r="A123" s="5" t="inlineStr">
        <is>
          <t>TMT-S1-F084</t>
        </is>
      </c>
      <c r="B123" s="5" t="inlineStr">
        <is>
          <t>TMT</t>
        </is>
      </c>
      <c r="C123" s="5" t="inlineStr">
        <is>
          <t>S1</t>
        </is>
      </c>
      <c r="D123" s="21" t="str">
        <f>IFERROR(VLOOKUP($G123,'02_REFERENCE'!$A$2:$S$99,4,FALSE),"N/A")</f>
        <v>Denial of Service</v>
      </c>
      <c r="E123" s="21" t="str">
        <f>IFERROR(VLOOKUP($G123,'02_REFERENCE'!$A$2:$S$99,15,FALSE),"N/A")</f>
        <v>Medium</v>
      </c>
      <c r="F123" s="21" t="str">
        <f>IFERROR(VLOOKUP($G123,'02_REFERENCE'!$A$2:$S$99,17,FALSE),"N/A")</f>
        <v>Yes</v>
      </c>
      <c r="G123" s="21" t="inlineStr">
        <is>
          <t>S1-RT-029</t>
        </is>
      </c>
      <c r="H123" s="21" t="inlineStr">
        <is>
          <t>Duplicate</t>
        </is>
      </c>
      <c r="I123" s="21" t="inlineStr">
        <is>
          <t>TP</t>
        </is>
      </c>
      <c r="J123" s="21" t="inlineStr">
        <is>
          <t>M</t>
        </is>
      </c>
      <c r="K123" s="21" t="inlineStr">
        <is>
          <t>N</t>
        </is>
      </c>
      <c r="L123" s="21" t="inlineStr">
        <is>
          <t>Yes</t>
        </is>
      </c>
      <c r="M123" s="21" t="inlineStr">
        <is>
          <t>TMT-S1-F055</t>
        </is>
      </c>
      <c r="N123" s="22" t="inlineStr">
        <is>
          <t>Interruption of the provider exchange -&gt; reference S1-RT-029 (provider unavailability). [Equivalence: restates TMT-S1-F055 — one-to-one rule applied.]</t>
        </is>
      </c>
      <c r="O123" s="5" t="inlineStr">
        <is>
          <t>llm_unavailable</t>
        </is>
      </c>
      <c r="P123" s="16" t="inlineStr">
        <is>
          <t>Data Flow Prompt Request Is Potentially Interrupted</t>
        </is>
      </c>
      <c r="Q123" s="16" t="inlineStr">
        <is>
          <t>Diagram 1</t>
        </is>
      </c>
      <c r="R123" s="16" t="inlineStr">
        <is>
          <t>Prompt Request</t>
        </is>
      </c>
      <c r="S123" s="5" t="inlineStr">
        <is>
          <t>Confirmed</t>
        </is>
      </c>
    </row>
    <row r="124" ht="16" customHeight="1">
      <c r="A124" s="5" t="inlineStr">
        <is>
          <t>TMT-S1-F085</t>
        </is>
      </c>
      <c r="B124" s="5" t="inlineStr">
        <is>
          <t>TMT</t>
        </is>
      </c>
      <c r="C124" s="5" t="inlineStr">
        <is>
          <t>S1</t>
        </is>
      </c>
      <c r="D124" s="21" t="str">
        <f>IFERROR(VLOOKUP($G124,'02_REFERENCE'!$A$2:$S$99,4,FALSE),"N/A")</f>
        <v>N/A</v>
      </c>
      <c r="E124" s="21" t="str">
        <f>IFERROR(VLOOKUP($G124,'02_REFERENCE'!$A$2:$S$99,15,FALSE),"N/A")</f>
        <v>N/A</v>
      </c>
      <c r="F124" s="21" t="str">
        <f>IFERROR(VLOOKUP($G124,'02_REFERENCE'!$A$2:$S$99,17,FALSE),"N/A")</f>
        <v>N/A</v>
      </c>
      <c r="G124" s="21" t="inlineStr"/>
      <c r="H124" s="21" t="inlineStr">
        <is>
          <t>False Positive</t>
        </is>
      </c>
      <c r="I124" s="21" t="inlineStr">
        <is>
          <t>FP</t>
        </is>
      </c>
      <c r="J124" s="21" t="inlineStr">
        <is>
          <t>M</t>
        </is>
      </c>
      <c r="K124" s="21" t="inlineStr">
        <is>
          <t>N</t>
        </is>
      </c>
      <c r="L124" s="21" t="inlineStr">
        <is>
          <t>No</t>
        </is>
      </c>
      <c r="M124" s="21" t="inlineStr"/>
      <c r="N124" s="22" t="inlineStr">
        <is>
          <t>Process-identity spoofing / memory-integrity template; no reference mechanism (authentication bypass RT-004 is logic-based, not process-spoofing).</t>
        </is>
      </c>
      <c r="O124" s="5" t="inlineStr"/>
      <c r="P124" s="16" t="inlineStr">
        <is>
          <t>P5 LLM Integration Service May be Subject to Elevation of Privilege Using Remote Code Execution</t>
        </is>
      </c>
      <c r="Q124" s="16" t="inlineStr">
        <is>
          <t>Diagram 1</t>
        </is>
      </c>
      <c r="R124" s="16" t="inlineStr">
        <is>
          <t>Prompt Request</t>
        </is>
      </c>
      <c r="S124" s="5" t="inlineStr">
        <is>
          <t>Confirmed</t>
        </is>
      </c>
    </row>
    <row r="125" ht="16" customHeight="1">
      <c r="A125" s="5" t="inlineStr">
        <is>
          <t>TMT-S1-F086</t>
        </is>
      </c>
      <c r="B125" s="5" t="inlineStr">
        <is>
          <t>TMT</t>
        </is>
      </c>
      <c r="C125" s="5" t="inlineStr">
        <is>
          <t>S1</t>
        </is>
      </c>
      <c r="D125" s="21" t="str">
        <f>IFERROR(VLOOKUP($G125,'02_REFERENCE'!$A$2:$S$99,4,FALSE),"N/A")</f>
        <v>N/A</v>
      </c>
      <c r="E125" s="21" t="str">
        <f>IFERROR(VLOOKUP($G125,'02_REFERENCE'!$A$2:$S$99,15,FALSE),"N/A")</f>
        <v>N/A</v>
      </c>
      <c r="F125" s="21" t="str">
        <f>IFERROR(VLOOKUP($G125,'02_REFERENCE'!$A$2:$S$99,17,FALSE),"N/A")</f>
        <v>N/A</v>
      </c>
      <c r="G125" s="21" t="inlineStr"/>
      <c r="H125" s="21" t="inlineStr">
        <is>
          <t>False Positive</t>
        </is>
      </c>
      <c r="I125" s="21" t="inlineStr">
        <is>
          <t>FP</t>
        </is>
      </c>
      <c r="J125" s="21" t="inlineStr">
        <is>
          <t>M</t>
        </is>
      </c>
      <c r="K125" s="21" t="inlineStr">
        <is>
          <t>N</t>
        </is>
      </c>
      <c r="L125" s="21" t="inlineStr">
        <is>
          <t>No</t>
        </is>
      </c>
      <c r="M125" s="21" t="inlineStr"/>
      <c r="N125" s="22" t="inlineStr">
        <is>
          <t>Process-identity spoofing / memory-integrity template; no reference mechanism (authentication bypass RT-004 is logic-based, not process-spoofing).</t>
        </is>
      </c>
      <c r="O125" s="5" t="inlineStr"/>
      <c r="P125" s="16" t="inlineStr">
        <is>
          <t>Elevation by Changing the Execution Flow in P5 LLM Integration Service</t>
        </is>
      </c>
      <c r="Q125" s="16" t="inlineStr">
        <is>
          <t>Diagram 1</t>
        </is>
      </c>
      <c r="R125" s="16" t="inlineStr">
        <is>
          <t>Prompt Request</t>
        </is>
      </c>
      <c r="S125" s="5" t="inlineStr">
        <is>
          <t>Confirmed</t>
        </is>
      </c>
    </row>
    <row r="126" ht="16" customHeight="1">
      <c r="A126" s="5" t="inlineStr">
        <is>
          <t>TMT-S1-F087</t>
        </is>
      </c>
      <c r="B126" s="5" t="inlineStr">
        <is>
          <t>TMT</t>
        </is>
      </c>
      <c r="C126" s="5" t="inlineStr">
        <is>
          <t>S1</t>
        </is>
      </c>
      <c r="D126" s="21" t="str">
        <f>IFERROR(VLOOKUP($G126,'02_REFERENCE'!$A$2:$S$99,4,FALSE),"N/A")</f>
        <v>N/A</v>
      </c>
      <c r="E126" s="21" t="str">
        <f>IFERROR(VLOOKUP($G126,'02_REFERENCE'!$A$2:$S$99,15,FALSE),"N/A")</f>
        <v>N/A</v>
      </c>
      <c r="F126" s="21" t="str">
        <f>IFERROR(VLOOKUP($G126,'02_REFERENCE'!$A$2:$S$99,17,FALSE),"N/A")</f>
        <v>N/A</v>
      </c>
      <c r="G126" s="21" t="inlineStr"/>
      <c r="H126" s="21" t="inlineStr">
        <is>
          <t>False Positive</t>
        </is>
      </c>
      <c r="I126" s="21" t="inlineStr">
        <is>
          <t>FP</t>
        </is>
      </c>
      <c r="J126" s="21" t="inlineStr">
        <is>
          <t>M</t>
        </is>
      </c>
      <c r="K126" s="21" t="inlineStr">
        <is>
          <t>N</t>
        </is>
      </c>
      <c r="L126" s="21" t="inlineStr">
        <is>
          <t>No</t>
        </is>
      </c>
      <c r="M126" s="21" t="inlineStr"/>
      <c r="N126" s="22" t="inlineStr">
        <is>
          <t>Process-identity spoofing / memory-integrity template; no reference mechanism (authentication bypass RT-004 is logic-based, not process-spoofing).</t>
        </is>
      </c>
      <c r="O126" s="5" t="inlineStr"/>
      <c r="P126" s="16" t="inlineStr">
        <is>
          <t>Spoofing the P5 LLM Integration Service Process</t>
        </is>
      </c>
      <c r="Q126" s="16" t="inlineStr">
        <is>
          <t>Diagram 1</t>
        </is>
      </c>
      <c r="R126" s="16" t="inlineStr">
        <is>
          <t>Processed AI Response</t>
        </is>
      </c>
      <c r="S126" s="5" t="inlineStr">
        <is>
          <t>Confirmed</t>
        </is>
      </c>
    </row>
    <row r="127" ht="16" customHeight="1">
      <c r="A127" s="5" t="inlineStr">
        <is>
          <t>TMT-S1-F088</t>
        </is>
      </c>
      <c r="B127" s="5" t="inlineStr">
        <is>
          <t>TMT</t>
        </is>
      </c>
      <c r="C127" s="5" t="inlineStr">
        <is>
          <t>S1</t>
        </is>
      </c>
      <c r="D127" s="21" t="str">
        <f>IFERROR(VLOOKUP($G127,'02_REFERENCE'!$A$2:$S$99,4,FALSE),"N/A")</f>
        <v>N/A</v>
      </c>
      <c r="E127" s="21" t="str">
        <f>IFERROR(VLOOKUP($G127,'02_REFERENCE'!$A$2:$S$99,15,FALSE),"N/A")</f>
        <v>N/A</v>
      </c>
      <c r="F127" s="21" t="str">
        <f>IFERROR(VLOOKUP($G127,'02_REFERENCE'!$A$2:$S$99,17,FALSE),"N/A")</f>
        <v>N/A</v>
      </c>
      <c r="G127" s="21" t="inlineStr"/>
      <c r="H127" s="21" t="inlineStr">
        <is>
          <t>False Positive</t>
        </is>
      </c>
      <c r="I127" s="21" t="inlineStr">
        <is>
          <t>FP</t>
        </is>
      </c>
      <c r="J127" s="21" t="inlineStr">
        <is>
          <t>M</t>
        </is>
      </c>
      <c r="K127" s="21" t="inlineStr">
        <is>
          <t>N</t>
        </is>
      </c>
      <c r="L127" s="21" t="inlineStr">
        <is>
          <t>No</t>
        </is>
      </c>
      <c r="M127" s="21" t="inlineStr"/>
      <c r="N127" s="22" t="inlineStr">
        <is>
          <t>Process-identity spoofing / memory-integrity template; no reference mechanism (authentication bypass RT-004 is logic-based, not process-spoofing).</t>
        </is>
      </c>
      <c r="O127" s="5" t="inlineStr"/>
      <c r="P127" s="16" t="inlineStr">
        <is>
          <t>Spoofing the P4 AI Authentication Assistant Process</t>
        </is>
      </c>
      <c r="Q127" s="16" t="inlineStr">
        <is>
          <t>Diagram 1</t>
        </is>
      </c>
      <c r="R127" s="16" t="inlineStr">
        <is>
          <t>Processed AI Response</t>
        </is>
      </c>
      <c r="S127" s="5" t="inlineStr">
        <is>
          <t>Confirmed</t>
        </is>
      </c>
    </row>
    <row r="128" ht="16" customHeight="1">
      <c r="A128" s="5" t="inlineStr">
        <is>
          <t>TMT-S1-F089</t>
        </is>
      </c>
      <c r="B128" s="5" t="inlineStr">
        <is>
          <t>TMT</t>
        </is>
      </c>
      <c r="C128" s="5" t="inlineStr">
        <is>
          <t>S1</t>
        </is>
      </c>
      <c r="D128" s="21" t="str">
        <f>IFERROR(VLOOKUP($G128,'02_REFERENCE'!$A$2:$S$99,4,FALSE),"N/A")</f>
        <v>Tampering</v>
      </c>
      <c r="E128" s="21" t="str">
        <f>IFERROR(VLOOKUP($G128,'02_REFERENCE'!$A$2:$S$99,15,FALSE),"N/A")</f>
        <v>Critical</v>
      </c>
      <c r="F128" s="21" t="str">
        <f>IFERROR(VLOOKUP($G128,'02_REFERENCE'!$A$2:$S$99,17,FALSE),"N/A")</f>
        <v>Yes</v>
      </c>
      <c r="G128" s="21" t="inlineStr">
        <is>
          <t>S1-RT-033</t>
        </is>
      </c>
      <c r="H128" s="21" t="inlineStr">
        <is>
          <t>Duplicate</t>
        </is>
      </c>
      <c r="I128" s="21" t="inlineStr">
        <is>
          <t>TP</t>
        </is>
      </c>
      <c r="J128" s="21" t="inlineStr">
        <is>
          <t>M</t>
        </is>
      </c>
      <c r="K128" s="21" t="inlineStr">
        <is>
          <t>N</t>
        </is>
      </c>
      <c r="L128" s="21" t="inlineStr">
        <is>
          <t>Yes</t>
        </is>
      </c>
      <c r="M128" s="21" t="inlineStr">
        <is>
          <t>TMT-S1-F051</t>
        </is>
      </c>
      <c r="N128" s="22" t="inlineStr">
        <is>
          <t>Unvalidated input on the generated-response path -&gt; insecure handling of generated output -&gt; reference S1-RT-033. [Equivalence: restates TMT-S1-F051 — one-to-one rule applied.]</t>
        </is>
      </c>
      <c r="O128" s="5" t="inlineStr">
        <is>
          <t>unsafe_output</t>
        </is>
      </c>
      <c r="P128" s="16" t="inlineStr">
        <is>
          <t>Potential Lack of Input Validation for P4 AI Authentication Assistant</t>
        </is>
      </c>
      <c r="Q128" s="16" t="inlineStr">
        <is>
          <t>Diagram 1</t>
        </is>
      </c>
      <c r="R128" s="16" t="inlineStr">
        <is>
          <t>Processed AI Response</t>
        </is>
      </c>
      <c r="S128" s="5" t="inlineStr">
        <is>
          <t>Confirmed</t>
        </is>
      </c>
    </row>
    <row r="129" ht="16" customHeight="1">
      <c r="A129" s="5" t="inlineStr">
        <is>
          <t>TMT-S1-F090</t>
        </is>
      </c>
      <c r="B129" s="5" t="inlineStr">
        <is>
          <t>TMT</t>
        </is>
      </c>
      <c r="C129" s="5" t="inlineStr">
        <is>
          <t>S1</t>
        </is>
      </c>
      <c r="D129" s="21" t="str">
        <f>IFERROR(VLOOKUP($G129,'02_REFERENCE'!$A$2:$S$99,4,FALSE),"N/A")</f>
        <v>Repudiation</v>
      </c>
      <c r="E129" s="21" t="str">
        <f>IFERROR(VLOOKUP($G129,'02_REFERENCE'!$A$2:$S$99,15,FALSE),"N/A")</f>
        <v>Medium</v>
      </c>
      <c r="F129" s="21" t="str">
        <f>IFERROR(VLOOKUP($G129,'02_REFERENCE'!$A$2:$S$99,17,FALSE),"N/A")</f>
        <v>No</v>
      </c>
      <c r="G129" s="21" t="inlineStr">
        <is>
          <t>S1-RT-021</t>
        </is>
      </c>
      <c r="H129" s="21" t="inlineStr">
        <is>
          <t>Duplicate</t>
        </is>
      </c>
      <c r="I129" s="21" t="inlineStr">
        <is>
          <t>TP</t>
        </is>
      </c>
      <c r="J129" s="21" t="inlineStr">
        <is>
          <t>M</t>
        </is>
      </c>
      <c r="K129" s="21" t="inlineStr">
        <is>
          <t>N</t>
        </is>
      </c>
      <c r="L129" s="21" t="inlineStr">
        <is>
          <t>Yes</t>
        </is>
      </c>
      <c r="M129" s="21" t="inlineStr">
        <is>
          <t>TMT-S1-F025</t>
        </is>
      </c>
      <c r="N129" s="22" t="inlineStr">
        <is>
          <t>Attribution template -&gt; reference S1-RT-021 (unspecified attribution of security-relevant actions). [Equivalence: restates TMT-S1-F025 — one-to-one rule applied.]</t>
        </is>
      </c>
      <c r="O129" s="5" t="inlineStr">
        <is>
          <t>repudiation</t>
        </is>
      </c>
      <c r="P129" s="16" t="inlineStr">
        <is>
          <t>Potential Data Repudiation by P4 AI Authentication Assistant</t>
        </is>
      </c>
      <c r="Q129" s="16" t="inlineStr">
        <is>
          <t>Diagram 1</t>
        </is>
      </c>
      <c r="R129" s="16" t="inlineStr">
        <is>
          <t>Processed AI Response</t>
        </is>
      </c>
      <c r="S129" s="5" t="inlineStr">
        <is>
          <t>Confirmed</t>
        </is>
      </c>
    </row>
    <row r="130" ht="16" customHeight="1">
      <c r="A130" s="5" t="inlineStr">
        <is>
          <t>TMT-S1-F091</t>
        </is>
      </c>
      <c r="B130" s="5" t="inlineStr">
        <is>
          <t>TMT</t>
        </is>
      </c>
      <c r="C130" s="5" t="inlineStr">
        <is>
          <t>S1</t>
        </is>
      </c>
      <c r="D130" s="21" t="str">
        <f>IFERROR(VLOOKUP($G130,'02_REFERENCE'!$A$2:$S$99,4,FALSE),"N/A")</f>
        <v>N/A</v>
      </c>
      <c r="E130" s="21" t="str">
        <f>IFERROR(VLOOKUP($G130,'02_REFERENCE'!$A$2:$S$99,15,FALSE),"N/A")</f>
        <v>N/A</v>
      </c>
      <c r="F130" s="21" t="str">
        <f>IFERROR(VLOOKUP($G130,'02_REFERENCE'!$A$2:$S$99,17,FALSE),"N/A")</f>
        <v>N/A</v>
      </c>
      <c r="G130" s="21" t="inlineStr"/>
      <c r="H130" s="21" t="inlineStr">
        <is>
          <t>False Positive</t>
        </is>
      </c>
      <c r="I130" s="21" t="inlineStr">
        <is>
          <t>FP</t>
        </is>
      </c>
      <c r="J130" s="21" t="inlineStr">
        <is>
          <t>M</t>
        </is>
      </c>
      <c r="K130" s="21" t="inlineStr">
        <is>
          <t>N</t>
        </is>
      </c>
      <c r="L130" s="21" t="inlineStr">
        <is>
          <t>No</t>
        </is>
      </c>
      <c r="M130" s="21" t="inlineStr"/>
      <c r="N130" s="22" t="inlineStr">
        <is>
          <t>Sniffing of prompt/provider traffic: the baseline contains no reference for interception of prompt traffic (credential-token sniffing and file-interception refs are asset-specific; RT-024 covers application-side over-inclusion, not interception).</t>
        </is>
      </c>
      <c r="O130" s="5" t="inlineStr"/>
      <c r="P130" s="16" t="inlineStr">
        <is>
          <t>Data Flow Sniffing</t>
        </is>
      </c>
      <c r="Q130" s="16" t="inlineStr">
        <is>
          <t>Diagram 1</t>
        </is>
      </c>
      <c r="R130" s="16" t="inlineStr">
        <is>
          <t>Processed AI Response</t>
        </is>
      </c>
      <c r="S130" s="5" t="inlineStr">
        <is>
          <t>Confirmed</t>
        </is>
      </c>
    </row>
    <row r="131" ht="16" customHeight="1">
      <c r="A131" s="5" t="inlineStr">
        <is>
          <t>TMT-S1-F092</t>
        </is>
      </c>
      <c r="B131" s="5" t="inlineStr">
        <is>
          <t>TMT</t>
        </is>
      </c>
      <c r="C131" s="5" t="inlineStr">
        <is>
          <t>S1</t>
        </is>
      </c>
      <c r="D131" s="21" t="str">
        <f>IFERROR(VLOOKUP($G131,'02_REFERENCE'!$A$2:$S$99,4,FALSE),"N/A")</f>
        <v>N/A</v>
      </c>
      <c r="E131" s="21" t="str">
        <f>IFERROR(VLOOKUP($G131,'02_REFERENCE'!$A$2:$S$99,15,FALSE),"N/A")</f>
        <v>N/A</v>
      </c>
      <c r="F131" s="21" t="str">
        <f>IFERROR(VLOOKUP($G131,'02_REFERENCE'!$A$2:$S$99,17,FALSE),"N/A")</f>
        <v>N/A</v>
      </c>
      <c r="G131" s="21" t="inlineStr"/>
      <c r="H131" s="21" t="inlineStr">
        <is>
          <t>False Positive</t>
        </is>
      </c>
      <c r="I131" s="21" t="inlineStr">
        <is>
          <t>FP</t>
        </is>
      </c>
      <c r="J131" s="21" t="inlineStr">
        <is>
          <t>M</t>
        </is>
      </c>
      <c r="K131" s="21" t="inlineStr">
        <is>
          <t>N</t>
        </is>
      </c>
      <c r="L131" s="21" t="inlineStr">
        <is>
          <t>No</t>
        </is>
      </c>
      <c r="M131" s="21" t="inlineStr"/>
      <c r="N131" s="22" t="inlineStr">
        <is>
          <t>Process-crash template (internal availability); no reference mechanism (provider-unavailability refs concern the external service; DoS refs concern attacker-driven flooding).</t>
        </is>
      </c>
      <c r="O131" s="5" t="inlineStr"/>
      <c r="P131" s="16" t="inlineStr">
        <is>
          <t>Potential Process Crash or Stop for P4 AI Authentication Assistant</t>
        </is>
      </c>
      <c r="Q131" s="16" t="inlineStr">
        <is>
          <t>Diagram 1</t>
        </is>
      </c>
      <c r="R131" s="16" t="inlineStr">
        <is>
          <t>Processed AI Response</t>
        </is>
      </c>
      <c r="S131" s="5" t="inlineStr">
        <is>
          <t>Confirmed</t>
        </is>
      </c>
    </row>
    <row r="132" ht="16" customHeight="1">
      <c r="A132" s="5" t="inlineStr">
        <is>
          <t>TMT-S1-F093</t>
        </is>
      </c>
      <c r="B132" s="5" t="inlineStr">
        <is>
          <t>TMT</t>
        </is>
      </c>
      <c r="C132" s="5" t="inlineStr">
        <is>
          <t>S1</t>
        </is>
      </c>
      <c r="D132" s="21" t="str">
        <f>IFERROR(VLOOKUP($G132,'02_REFERENCE'!$A$2:$S$99,4,FALSE),"N/A")</f>
        <v>Denial of Service</v>
      </c>
      <c r="E132" s="21" t="str">
        <f>IFERROR(VLOOKUP($G132,'02_REFERENCE'!$A$2:$S$99,15,FALSE),"N/A")</f>
        <v>Medium</v>
      </c>
      <c r="F132" s="21" t="str">
        <f>IFERROR(VLOOKUP($G132,'02_REFERENCE'!$A$2:$S$99,17,FALSE),"N/A")</f>
        <v>Yes</v>
      </c>
      <c r="G132" s="21" t="inlineStr">
        <is>
          <t>S1-RT-029</t>
        </is>
      </c>
      <c r="H132" s="21" t="inlineStr">
        <is>
          <t>Duplicate</t>
        </is>
      </c>
      <c r="I132" s="21" t="inlineStr">
        <is>
          <t>TP</t>
        </is>
      </c>
      <c r="J132" s="21" t="inlineStr">
        <is>
          <t>M</t>
        </is>
      </c>
      <c r="K132" s="21" t="inlineStr">
        <is>
          <t>N</t>
        </is>
      </c>
      <c r="L132" s="21" t="inlineStr">
        <is>
          <t>Yes</t>
        </is>
      </c>
      <c r="M132" s="21" t="inlineStr">
        <is>
          <t>TMT-S1-F055</t>
        </is>
      </c>
      <c r="N132" s="22" t="inlineStr">
        <is>
          <t>Interruption of the provider exchange -&gt; reference S1-RT-029 (provider unavailability). [Equivalence: restates TMT-S1-F055 — one-to-one rule applied.]</t>
        </is>
      </c>
      <c r="O132" s="5" t="inlineStr">
        <is>
          <t>llm_unavailable</t>
        </is>
      </c>
      <c r="P132" s="16" t="inlineStr">
        <is>
          <t>Data Flow Processed AI Response Is Potentially Interrupted</t>
        </is>
      </c>
      <c r="Q132" s="16" t="inlineStr">
        <is>
          <t>Diagram 1</t>
        </is>
      </c>
      <c r="R132" s="16" t="inlineStr">
        <is>
          <t>Processed AI Response</t>
        </is>
      </c>
      <c r="S132" s="5" t="inlineStr">
        <is>
          <t>Confirmed</t>
        </is>
      </c>
    </row>
    <row r="133" ht="16" customHeight="1">
      <c r="A133" s="5" t="inlineStr">
        <is>
          <t>TMT-S1-F094</t>
        </is>
      </c>
      <c r="B133" s="5" t="inlineStr">
        <is>
          <t>TMT</t>
        </is>
      </c>
      <c r="C133" s="5" t="inlineStr">
        <is>
          <t>S1</t>
        </is>
      </c>
      <c r="D133" s="21" t="str">
        <f>IFERROR(VLOOKUP($G133,'02_REFERENCE'!$A$2:$S$99,4,FALSE),"N/A")</f>
        <v>N/A</v>
      </c>
      <c r="E133" s="21" t="str">
        <f>IFERROR(VLOOKUP($G133,'02_REFERENCE'!$A$2:$S$99,15,FALSE),"N/A")</f>
        <v>N/A</v>
      </c>
      <c r="F133" s="21" t="str">
        <f>IFERROR(VLOOKUP($G133,'02_REFERENCE'!$A$2:$S$99,17,FALSE),"N/A")</f>
        <v>N/A</v>
      </c>
      <c r="G133" s="21" t="inlineStr"/>
      <c r="H133" s="21" t="inlineStr">
        <is>
          <t>False Positive</t>
        </is>
      </c>
      <c r="I133" s="21" t="inlineStr">
        <is>
          <t>FP</t>
        </is>
      </c>
      <c r="J133" s="21" t="inlineStr">
        <is>
          <t>M</t>
        </is>
      </c>
      <c r="K133" s="21" t="inlineStr">
        <is>
          <t>N</t>
        </is>
      </c>
      <c r="L133" s="21" t="inlineStr">
        <is>
          <t>No</t>
        </is>
      </c>
      <c r="M133" s="21" t="inlineStr"/>
      <c r="N133" s="22" t="inlineStr">
        <is>
          <t>Process-identity spoofing / memory-integrity template; no reference mechanism (authentication bypass RT-004 is logic-based, not process-spoofing).</t>
        </is>
      </c>
      <c r="O133" s="5" t="inlineStr"/>
      <c r="P133" s="16" t="inlineStr">
        <is>
          <t>P4 AI Authentication Assistant May be Subject to Elevation of Privilege Using Remote Code Execution</t>
        </is>
      </c>
      <c r="Q133" s="16" t="inlineStr">
        <is>
          <t>Diagram 1</t>
        </is>
      </c>
      <c r="R133" s="16" t="inlineStr">
        <is>
          <t>Processed AI Response</t>
        </is>
      </c>
      <c r="S133" s="5" t="inlineStr">
        <is>
          <t>Confirmed</t>
        </is>
      </c>
    </row>
    <row r="134" ht="16" customHeight="1">
      <c r="A134" s="5" t="inlineStr">
        <is>
          <t>TMT-S1-F095</t>
        </is>
      </c>
      <c r="B134" s="5" t="inlineStr">
        <is>
          <t>TMT</t>
        </is>
      </c>
      <c r="C134" s="5" t="inlineStr">
        <is>
          <t>S1</t>
        </is>
      </c>
      <c r="D134" s="21" t="str">
        <f>IFERROR(VLOOKUP($G134,'02_REFERENCE'!$A$2:$S$99,4,FALSE),"N/A")</f>
        <v>N/A</v>
      </c>
      <c r="E134" s="21" t="str">
        <f>IFERROR(VLOOKUP($G134,'02_REFERENCE'!$A$2:$S$99,15,FALSE),"N/A")</f>
        <v>N/A</v>
      </c>
      <c r="F134" s="21" t="str">
        <f>IFERROR(VLOOKUP($G134,'02_REFERENCE'!$A$2:$S$99,17,FALSE),"N/A")</f>
        <v>N/A</v>
      </c>
      <c r="G134" s="21" t="inlineStr"/>
      <c r="H134" s="21" t="inlineStr">
        <is>
          <t>False Positive</t>
        </is>
      </c>
      <c r="I134" s="21" t="inlineStr">
        <is>
          <t>FP</t>
        </is>
      </c>
      <c r="J134" s="21" t="inlineStr">
        <is>
          <t>M</t>
        </is>
      </c>
      <c r="K134" s="21" t="inlineStr">
        <is>
          <t>N</t>
        </is>
      </c>
      <c r="L134" s="21" t="inlineStr">
        <is>
          <t>No</t>
        </is>
      </c>
      <c r="M134" s="21" t="inlineStr"/>
      <c r="N134" s="22" t="inlineStr">
        <is>
          <t>Process-identity spoofing / memory-integrity template; no reference mechanism (authentication bypass RT-004 is logic-based, not process-spoofing).</t>
        </is>
      </c>
      <c r="O134" s="5" t="inlineStr"/>
      <c r="P134" s="16" t="inlineStr">
        <is>
          <t>Elevation by Changing the Execution Flow in P4 AI Authentication Assistant</t>
        </is>
      </c>
      <c r="Q134" s="16" t="inlineStr">
        <is>
          <t>Diagram 1</t>
        </is>
      </c>
      <c r="R134" s="16" t="inlineStr">
        <is>
          <t>Processed AI Response</t>
        </is>
      </c>
      <c r="S134" s="5" t="inlineStr">
        <is>
          <t>Confirmed</t>
        </is>
      </c>
    </row>
    <row r="135" ht="16" customHeight="1">
      <c r="A135" s="5" t="inlineStr">
        <is>
          <t>CHATGPT-S1-F001</t>
        </is>
      </c>
      <c r="B135" s="5" t="inlineStr">
        <is>
          <t>CHATGPT</t>
        </is>
      </c>
      <c r="C135" s="5" t="inlineStr">
        <is>
          <t>S1</t>
        </is>
      </c>
      <c r="D135" s="21" t="str">
        <f>IFERROR(VLOOKUP($G135,'02_REFERENCE'!$A$2:$S$99,4,FALSE),"N/A")</f>
        <v>Spoofing</v>
      </c>
      <c r="E135" s="21" t="str">
        <f>IFERROR(VLOOKUP($G135,'02_REFERENCE'!$A$2:$S$99,15,FALSE),"N/A")</f>
        <v>Critical</v>
      </c>
      <c r="F135" s="21" t="str">
        <f>IFERROR(VLOOKUP($G135,'02_REFERENCE'!$A$2:$S$99,17,FALSE),"N/A")</f>
        <v>No</v>
      </c>
      <c r="G135" s="21" t="inlineStr">
        <is>
          <t>S1-RT-004</t>
        </is>
      </c>
      <c r="H135" s="21" t="inlineStr">
        <is>
          <t>Duplicate</t>
        </is>
      </c>
      <c r="I135" s="21" t="inlineStr">
        <is>
          <t>TP</t>
        </is>
      </c>
      <c r="J135" s="21" t="inlineStr">
        <is>
          <t>M</t>
        </is>
      </c>
      <c r="K135" s="21" t="inlineStr">
        <is>
          <t>N</t>
        </is>
      </c>
      <c r="L135" s="21" t="inlineStr">
        <is>
          <t>Yes</t>
        </is>
      </c>
      <c r="M135" s="21" t="inlineStr">
        <is>
          <t>CHATGPT-S1-F002</t>
        </is>
      </c>
      <c r="N135" s="22" t="inlineStr">
        <is>
          <t>Mechanism class auth_bypass_logic; evidence: Authentication bypass; bypass, incorrect authentication [Equivalence: restates CHATGPT-S1-F002 — one-to-one rule applied.]</t>
        </is>
      </c>
      <c r="O135" s="5" t="inlineStr">
        <is>
          <t>auth_bypass_logic</t>
        </is>
      </c>
      <c r="P135" s="16" t="inlineStr">
        <is>
          <t>Credential Manipulation at Authentication Boundary</t>
        </is>
      </c>
      <c r="Q135" s="16" t="inlineStr">
        <is>
          <t>EE1 → P1 → P2</t>
        </is>
      </c>
      <c r="R135" s="16" t="inlineStr"/>
      <c r="S135" s="5" t="inlineStr">
        <is>
          <t>Confirmed</t>
        </is>
      </c>
    </row>
    <row r="136" ht="16" customHeight="1">
      <c r="A136" s="5" t="inlineStr">
        <is>
          <t>CHATGPT-S1-F002</t>
        </is>
      </c>
      <c r="B136" s="5" t="inlineStr">
        <is>
          <t>CHATGPT</t>
        </is>
      </c>
      <c r="C136" s="5" t="inlineStr">
        <is>
          <t>S1</t>
        </is>
      </c>
      <c r="D136" s="21" t="str">
        <f>IFERROR(VLOOKUP($G136,'02_REFERENCE'!$A$2:$S$99,4,FALSE),"N/A")</f>
        <v>Spoofing</v>
      </c>
      <c r="E136" s="21" t="str">
        <f>IFERROR(VLOOKUP($G136,'02_REFERENCE'!$A$2:$S$99,15,FALSE),"N/A")</f>
        <v>Critical</v>
      </c>
      <c r="F136" s="21" t="str">
        <f>IFERROR(VLOOKUP($G136,'02_REFERENCE'!$A$2:$S$99,17,FALSE),"N/A")</f>
        <v>No</v>
      </c>
      <c r="G136" s="21" t="inlineStr">
        <is>
          <t>S1-RT-004</t>
        </is>
      </c>
      <c r="H136" s="21" t="inlineStr">
        <is>
          <t>Primary TP</t>
        </is>
      </c>
      <c r="I136" s="21" t="inlineStr">
        <is>
          <t>TP</t>
        </is>
      </c>
      <c r="J136" s="21" t="inlineStr">
        <is>
          <t>H</t>
        </is>
      </c>
      <c r="K136" s="21" t="inlineStr">
        <is>
          <t>Y</t>
        </is>
      </c>
      <c r="L136" s="21" t="inlineStr">
        <is>
          <t>No</t>
        </is>
      </c>
      <c r="M136" s="21" t="inlineStr"/>
      <c r="N136" s="22" t="inlineStr">
        <is>
          <t>Mechanism class auth_bypass_logic; evidence: Authentication bypass; Forged Authentication; Forged Authentication Result</t>
        </is>
      </c>
      <c r="O136" s="5" t="inlineStr">
        <is>
          <t>auth_bypass_logic</t>
        </is>
      </c>
      <c r="P136" s="16" t="inlineStr">
        <is>
          <t>Forged Authentication Result</t>
        </is>
      </c>
      <c r="Q136" s="16" t="inlineStr">
        <is>
          <t>P2 → P3</t>
        </is>
      </c>
      <c r="R136" s="16" t="inlineStr"/>
      <c r="S136" s="5" t="inlineStr">
        <is>
          <t>Confirmed</t>
        </is>
      </c>
    </row>
    <row r="137" ht="16" customHeight="1">
      <c r="A137" s="5" t="inlineStr">
        <is>
          <t>CHATGPT-S1-F003</t>
        </is>
      </c>
      <c r="B137" s="5" t="inlineStr">
        <is>
          <t>CHATGPT</t>
        </is>
      </c>
      <c r="C137" s="5" t="inlineStr">
        <is>
          <t>S1</t>
        </is>
      </c>
      <c r="D137" s="21" t="str">
        <f>IFERROR(VLOOKUP($G137,'02_REFERENCE'!$A$2:$S$99,4,FALSE),"N/A")</f>
        <v>Spoofing</v>
      </c>
      <c r="E137" s="21" t="str">
        <f>IFERROR(VLOOKUP($G137,'02_REFERENCE'!$A$2:$S$99,15,FALSE),"N/A")</f>
        <v>Critical</v>
      </c>
      <c r="F137" s="21" t="str">
        <f>IFERROR(VLOOKUP($G137,'02_REFERENCE'!$A$2:$S$99,17,FALSE),"N/A")</f>
        <v>No</v>
      </c>
      <c r="G137" s="21" t="inlineStr">
        <is>
          <t>S1-RT-014</t>
        </is>
      </c>
      <c r="H137" s="21" t="inlineStr">
        <is>
          <t>Primary TP</t>
        </is>
      </c>
      <c r="I137" s="21" t="inlineStr">
        <is>
          <t>TP</t>
        </is>
      </c>
      <c r="J137" s="21" t="inlineStr">
        <is>
          <t>H</t>
        </is>
      </c>
      <c r="K137" s="21" t="inlineStr">
        <is>
          <t>Y</t>
        </is>
      </c>
      <c r="L137" s="21" t="inlineStr">
        <is>
          <t>No</t>
        </is>
      </c>
      <c r="M137" s="21" t="inlineStr"/>
      <c r="N137" s="22" t="inlineStr">
        <is>
          <t>Mechanism class transit_token; evidence: Token Disclos; Disclosure Session identifiers or token; Session Token Disclos; Session Token Disclosure; Disclosure Session identifiers</t>
        </is>
      </c>
      <c r="O137" s="5" t="inlineStr">
        <is>
          <t>transit_token</t>
        </is>
      </c>
      <c r="P137" s="16" t="inlineStr">
        <is>
          <t>Session Token Disclosure</t>
        </is>
      </c>
      <c r="Q137" s="16" t="inlineStr">
        <is>
          <t>P3 / DS2 → P4 / P5 / EE2</t>
        </is>
      </c>
      <c r="R137" s="16" t="inlineStr"/>
      <c r="S137" s="5" t="inlineStr">
        <is>
          <t>Confirmed</t>
        </is>
      </c>
    </row>
    <row r="138" ht="16" customHeight="1">
      <c r="A138" s="5" t="inlineStr">
        <is>
          <t>CHATGPT-S1-F004</t>
        </is>
      </c>
      <c r="B138" s="5" t="inlineStr">
        <is>
          <t>CHATGPT</t>
        </is>
      </c>
      <c r="C138" s="5" t="inlineStr">
        <is>
          <t>S1</t>
        </is>
      </c>
      <c r="D138" s="21" t="str">
        <f>IFERROR(VLOOKUP($G138,'02_REFERENCE'!$A$2:$S$99,4,FALSE),"N/A")</f>
        <v>Spoofing</v>
      </c>
      <c r="E138" s="21" t="str">
        <f>IFERROR(VLOOKUP($G138,'02_REFERENCE'!$A$2:$S$99,15,FALSE),"N/A")</f>
        <v>Critical</v>
      </c>
      <c r="F138" s="21" t="str">
        <f>IFERROR(VLOOKUP($G138,'02_REFERENCE'!$A$2:$S$99,17,FALSE),"N/A")</f>
        <v>No</v>
      </c>
      <c r="G138" s="21" t="inlineStr">
        <is>
          <t>S1-RT-004</t>
        </is>
      </c>
      <c r="H138" s="21" t="inlineStr">
        <is>
          <t>Duplicate</t>
        </is>
      </c>
      <c r="I138" s="21" t="inlineStr">
        <is>
          <t>TP</t>
        </is>
      </c>
      <c r="J138" s="21" t="inlineStr">
        <is>
          <t>H</t>
        </is>
      </c>
      <c r="K138" s="21" t="inlineStr">
        <is>
          <t>N</t>
        </is>
      </c>
      <c r="L138" s="21" t="inlineStr">
        <is>
          <t>Yes</t>
        </is>
      </c>
      <c r="M138" s="21" t="inlineStr">
        <is>
          <t>CHATGPT-S1-F002</t>
        </is>
      </c>
      <c r="N138" s="22" t="inlineStr">
        <is>
          <t>Mechanism class auth_bypass_logic; evidence: authentication bypass; Session Creation Without Successful Authenticat; Session Creation Without Successful Authenticat [Equivalence: restates CHATGPT-S1-F002 — one-to-one rule applied.]</t>
        </is>
      </c>
      <c r="O138" s="5" t="inlineStr">
        <is>
          <t>auth_bypass_logic</t>
        </is>
      </c>
      <c r="P138" s="16" t="inlineStr">
        <is>
          <t>Session Creation Without Successful Authentication</t>
        </is>
      </c>
      <c r="Q138" s="16" t="inlineStr">
        <is>
          <t>P2 → P3</t>
        </is>
      </c>
      <c r="R138" s="16" t="inlineStr"/>
      <c r="S138" s="5" t="inlineStr">
        <is>
          <t>Confirmed</t>
        </is>
      </c>
    </row>
    <row r="139" ht="16" customHeight="1">
      <c r="A139" s="5" t="inlineStr">
        <is>
          <t>CHATGPT-S1-F005</t>
        </is>
      </c>
      <c r="B139" s="5" t="inlineStr">
        <is>
          <t>CHATGPT</t>
        </is>
      </c>
      <c r="C139" s="5" t="inlineStr">
        <is>
          <t>S1</t>
        </is>
      </c>
      <c r="D139" s="21" t="str">
        <f>IFERROR(VLOOKUP($G139,'02_REFERENCE'!$A$2:$S$99,4,FALSE),"N/A")</f>
        <v>Tampering</v>
      </c>
      <c r="E139" s="21" t="str">
        <f>IFERROR(VLOOKUP($G139,'02_REFERENCE'!$A$2:$S$99,15,FALSE),"N/A")</f>
        <v>High</v>
      </c>
      <c r="F139" s="21" t="str">
        <f>IFERROR(VLOOKUP($G139,'02_REFERENCE'!$A$2:$S$99,17,FALSE),"N/A")</f>
        <v>No</v>
      </c>
      <c r="G139" s="21" t="inlineStr">
        <is>
          <t>S1-RT-017</t>
        </is>
      </c>
      <c r="H139" s="21" t="inlineStr">
        <is>
          <t>Primary TP</t>
        </is>
      </c>
      <c r="I139" s="21" t="inlineStr">
        <is>
          <t>TP</t>
        </is>
      </c>
      <c r="J139" s="21" t="inlineStr">
        <is>
          <t>M</t>
        </is>
      </c>
      <c r="K139" s="21" t="inlineStr">
        <is>
          <t>Y</t>
        </is>
      </c>
      <c r="L139" s="21" t="inlineStr">
        <is>
          <t>No</t>
        </is>
      </c>
      <c r="M139" s="21" t="inlineStr"/>
      <c r="N139" s="22" t="inlineStr">
        <is>
          <t>Mechanism class session_store_tamper; evidence: Session State Manipulation An attacker attempts to manipulat</t>
        </is>
      </c>
      <c r="O139" s="5" t="inlineStr">
        <is>
          <t>session_store_tamper</t>
        </is>
      </c>
      <c r="P139" s="16" t="inlineStr">
        <is>
          <t>Unauthorized Session State Manipulation</t>
        </is>
      </c>
      <c r="Q139" s="16" t="inlineStr">
        <is>
          <t>P3 ↔ DS2</t>
        </is>
      </c>
      <c r="R139" s="16" t="inlineStr"/>
      <c r="S139" s="5" t="inlineStr">
        <is>
          <t>Confirmed</t>
        </is>
      </c>
    </row>
    <row r="140" ht="16" customHeight="1">
      <c r="A140" s="5" t="inlineStr">
        <is>
          <t>CHATGPT-S1-F006</t>
        </is>
      </c>
      <c r="B140" s="5" t="inlineStr">
        <is>
          <t>CHATGPT</t>
        </is>
      </c>
      <c r="C140" s="5" t="inlineStr">
        <is>
          <t>S1</t>
        </is>
      </c>
      <c r="D140" s="21" t="str">
        <f>IFERROR(VLOOKUP($G140,'02_REFERENCE'!$A$2:$S$99,4,FALSE),"N/A")</f>
        <v>N/A</v>
      </c>
      <c r="E140" s="21" t="str">
        <f>IFERROR(VLOOKUP($G140,'02_REFERENCE'!$A$2:$S$99,15,FALSE),"N/A")</f>
        <v>N/A</v>
      </c>
      <c r="F140" s="21" t="str">
        <f>IFERROR(VLOOKUP($G140,'02_REFERENCE'!$A$2:$S$99,17,FALSE),"N/A")</f>
        <v>N/A</v>
      </c>
      <c r="G140" s="21" t="inlineStr"/>
      <c r="H140" s="21" t="inlineStr">
        <is>
          <t>False Positive</t>
        </is>
      </c>
      <c r="I140" s="21" t="inlineStr">
        <is>
          <t>FP</t>
        </is>
      </c>
      <c r="J140" s="21" t="inlineStr">
        <is>
          <t>M</t>
        </is>
      </c>
      <c r="K140" s="21" t="inlineStr">
        <is>
          <t>N</t>
        </is>
      </c>
      <c r="L140" s="21" t="inlineStr">
        <is>
          <t>No</t>
        </is>
      </c>
      <c r="M140" s="21" t="inlineStr"/>
      <c r="N140" s="22" t="inlineStr">
        <is>
          <t>No reference threat corresponds to this finding's mechanism (scoring found no class with sufficient evidence).</t>
        </is>
      </c>
      <c r="O140" s="5" t="inlineStr"/>
      <c r="P140" s="16" t="inlineStr">
        <is>
          <t>Account Identity Spoofing</t>
        </is>
      </c>
      <c r="Q140" s="16" t="inlineStr">
        <is>
          <t>EE1 → P1 → P2 → DS1</t>
        </is>
      </c>
      <c r="R140" s="16" t="inlineStr"/>
      <c r="S140" s="5" t="inlineStr">
        <is>
          <t>Confirmed</t>
        </is>
      </c>
    </row>
    <row r="141" ht="16" customHeight="1">
      <c r="A141" s="5" t="inlineStr">
        <is>
          <t>CHATGPT-S1-F007</t>
        </is>
      </c>
      <c r="B141" s="5" t="inlineStr">
        <is>
          <t>CHATGPT</t>
        </is>
      </c>
      <c r="C141" s="5" t="inlineStr">
        <is>
          <t>S1</t>
        </is>
      </c>
      <c r="D141" s="21" t="str">
        <f>IFERROR(VLOOKUP($G141,'02_REFERENCE'!$A$2:$S$99,4,FALSE),"N/A")</f>
        <v>Information Disclosure</v>
      </c>
      <c r="E141" s="21" t="str">
        <f>IFERROR(VLOOKUP($G141,'02_REFERENCE'!$A$2:$S$99,15,FALSE),"N/A")</f>
        <v>Critical</v>
      </c>
      <c r="F141" s="21" t="str">
        <f>IFERROR(VLOOKUP($G141,'02_REFERENCE'!$A$2:$S$99,17,FALSE),"N/A")</f>
        <v>No</v>
      </c>
      <c r="G141" s="21" t="inlineStr">
        <is>
          <t>S1-RT-018</t>
        </is>
      </c>
      <c r="H141" s="21" t="inlineStr">
        <is>
          <t>Primary TP</t>
        </is>
      </c>
      <c r="I141" s="21" t="inlineStr">
        <is>
          <t>TP</t>
        </is>
      </c>
      <c r="J141" s="21" t="inlineStr">
        <is>
          <t>M</t>
        </is>
      </c>
      <c r="K141" s="21" t="inlineStr">
        <is>
          <t>Y</t>
        </is>
      </c>
      <c r="L141" s="21" t="inlineStr">
        <is>
          <t>No</t>
        </is>
      </c>
      <c r="M141" s="21" t="inlineStr"/>
      <c r="N141" s="22" t="inlineStr">
        <is>
          <t>Mechanism class mass_disclosure; evidence: Disclosure of Authentication Records</t>
        </is>
      </c>
      <c r="O141" s="5" t="inlineStr">
        <is>
          <t>mass_disclosure</t>
        </is>
      </c>
      <c r="P141" s="16" t="inlineStr">
        <is>
          <t>Unauthorized Disclosure of Authentication Records</t>
        </is>
      </c>
      <c r="Q141" s="16" t="inlineStr">
        <is>
          <t>P2 ↔ DS1</t>
        </is>
      </c>
      <c r="R141" s="16" t="inlineStr"/>
      <c r="S141" s="5" t="inlineStr">
        <is>
          <t>Confirmed</t>
        </is>
      </c>
    </row>
    <row r="142" ht="16" customHeight="1">
      <c r="A142" s="5" t="inlineStr">
        <is>
          <t>CHATGPT-S1-F008</t>
        </is>
      </c>
      <c r="B142" s="5" t="inlineStr">
        <is>
          <t>CHATGPT</t>
        </is>
      </c>
      <c r="C142" s="5" t="inlineStr">
        <is>
          <t>S1</t>
        </is>
      </c>
      <c r="D142" s="21" t="str">
        <f>IFERROR(VLOOKUP($G142,'02_REFERENCE'!$A$2:$S$99,4,FALSE),"N/A")</f>
        <v>Information Disclosure</v>
      </c>
      <c r="E142" s="21" t="str">
        <f>IFERROR(VLOOKUP($G142,'02_REFERENCE'!$A$2:$S$99,15,FALSE),"N/A")</f>
        <v>Medium</v>
      </c>
      <c r="F142" s="21" t="str">
        <f>IFERROR(VLOOKUP($G142,'02_REFERENCE'!$A$2:$S$99,17,FALSE),"N/A")</f>
        <v>Yes</v>
      </c>
      <c r="G142" s="21" t="inlineStr">
        <is>
          <t>S1-RT-025</t>
        </is>
      </c>
      <c r="H142" s="21" t="inlineStr">
        <is>
          <t>Duplicate</t>
        </is>
      </c>
      <c r="I142" s="21" t="inlineStr">
        <is>
          <t>TP</t>
        </is>
      </c>
      <c r="J142" s="21" t="inlineStr">
        <is>
          <t>M</t>
        </is>
      </c>
      <c r="K142" s="21" t="inlineStr">
        <is>
          <t>N</t>
        </is>
      </c>
      <c r="L142" s="21" t="inlineStr">
        <is>
          <t>Yes</t>
        </is>
      </c>
      <c r="M142" s="21" t="inlineStr">
        <is>
          <t>CHATGPT-S1-F019</t>
        </is>
      </c>
      <c r="N142" s="22" t="inlineStr">
        <is>
          <t>Mechanism class system_prompt_extract; evidence: extract them using prompt [Equivalence: restates CHATGPT-S1-F019 — one-to-one rule applied.]</t>
        </is>
      </c>
      <c r="O142" s="5" t="inlineStr">
        <is>
          <t>system_prompt_extract</t>
        </is>
      </c>
      <c r="P142" s="16" t="inlineStr">
        <is>
          <t>Credential Material Leakage into LLM</t>
        </is>
      </c>
      <c r="Q142" s="16" t="inlineStr">
        <is>
          <t>DS1 → P2 → P4/P5 → EE2</t>
        </is>
      </c>
      <c r="R142" s="16" t="inlineStr"/>
      <c r="S142" s="5" t="inlineStr">
        <is>
          <t>Confirmed</t>
        </is>
      </c>
    </row>
    <row r="143" ht="16" customHeight="1">
      <c r="A143" s="5" t="inlineStr">
        <is>
          <t>CHATGPT-S1-F009</t>
        </is>
      </c>
      <c r="B143" s="5" t="inlineStr">
        <is>
          <t>CHATGPT</t>
        </is>
      </c>
      <c r="C143" s="5" t="inlineStr">
        <is>
          <t>S1</t>
        </is>
      </c>
      <c r="D143" s="21" t="str">
        <f>IFERROR(VLOOKUP($G143,'02_REFERENCE'!$A$2:$S$99,4,FALSE),"N/A")</f>
        <v>Tampering</v>
      </c>
      <c r="E143" s="21" t="str">
        <f>IFERROR(VLOOKUP($G143,'02_REFERENCE'!$A$2:$S$99,15,FALSE),"N/A")</f>
        <v>High</v>
      </c>
      <c r="F143" s="21" t="str">
        <f>IFERROR(VLOOKUP($G143,'02_REFERENCE'!$A$2:$S$99,17,FALSE),"N/A")</f>
        <v>Yes</v>
      </c>
      <c r="G143" s="21" t="inlineStr">
        <is>
          <t>S1-RT-023</t>
        </is>
      </c>
      <c r="H143" s="21" t="inlineStr">
        <is>
          <t>Duplicate</t>
        </is>
      </c>
      <c r="I143" s="21" t="inlineStr">
        <is>
          <t>TP</t>
        </is>
      </c>
      <c r="J143" s="21" t="inlineStr">
        <is>
          <t>M</t>
        </is>
      </c>
      <c r="K143" s="21" t="inlineStr">
        <is>
          <t>N</t>
        </is>
      </c>
      <c r="L143" s="21" t="inlineStr">
        <is>
          <t>Yes</t>
        </is>
      </c>
      <c r="M143" s="21" t="inlineStr">
        <is>
          <t>CHATGPT-S1-F039</t>
        </is>
      </c>
      <c r="N143" s="22" t="inlineStr">
        <is>
          <t>Mechanism class prompt_injection_indirect; evidence: Knowledge Base is modified to contain malicious [Equivalence: restates CHATGPT-S1-F039 — one-to-one rule applied.]</t>
        </is>
      </c>
      <c r="O143" s="5" t="inlineStr">
        <is>
          <t>prompt_injection_indirect</t>
        </is>
      </c>
      <c r="P143" s="16" t="inlineStr">
        <is>
          <t>Malicious Modification of Approved Guidance</t>
        </is>
      </c>
      <c r="Q143" s="16" t="inlineStr">
        <is>
          <t>DS3 → P4/P5</t>
        </is>
      </c>
      <c r="R143" s="16" t="inlineStr"/>
      <c r="S143" s="5" t="inlineStr">
        <is>
          <t>Confirmed</t>
        </is>
      </c>
    </row>
    <row r="144" ht="16" customHeight="1">
      <c r="A144" s="5" t="inlineStr">
        <is>
          <t>CHATGPT-S1-F010</t>
        </is>
      </c>
      <c r="B144" s="5" t="inlineStr">
        <is>
          <t>CHATGPT</t>
        </is>
      </c>
      <c r="C144" s="5" t="inlineStr">
        <is>
          <t>S1</t>
        </is>
      </c>
      <c r="D144" s="21" t="str">
        <f>IFERROR(VLOOKUP($G144,'02_REFERENCE'!$A$2:$S$99,4,FALSE),"N/A")</f>
        <v>N/A</v>
      </c>
      <c r="E144" s="21" t="str">
        <f>IFERROR(VLOOKUP($G144,'02_REFERENCE'!$A$2:$S$99,15,FALSE),"N/A")</f>
        <v>N/A</v>
      </c>
      <c r="F144" s="21" t="str">
        <f>IFERROR(VLOOKUP($G144,'02_REFERENCE'!$A$2:$S$99,17,FALSE),"N/A")</f>
        <v>N/A</v>
      </c>
      <c r="G144" s="21" t="inlineStr"/>
      <c r="H144" s="21" t="inlineStr">
        <is>
          <t>False Positive</t>
        </is>
      </c>
      <c r="I144" s="21" t="inlineStr">
        <is>
          <t>FP</t>
        </is>
      </c>
      <c r="J144" s="21" t="inlineStr">
        <is>
          <t>M</t>
        </is>
      </c>
      <c r="K144" s="21" t="inlineStr">
        <is>
          <t>N</t>
        </is>
      </c>
      <c r="L144" s="21" t="inlineStr">
        <is>
          <t>No</t>
        </is>
      </c>
      <c r="M144" s="21" t="inlineStr"/>
      <c r="N144" s="22" t="inlineStr">
        <is>
          <t>Template-class malicious_upload (no reference threat): malicious markup or other content</t>
        </is>
      </c>
      <c r="O144" s="5" t="inlineStr">
        <is>
          <t>malicious_upload</t>
        </is>
      </c>
      <c r="P144" s="16" t="inlineStr">
        <is>
          <t>Improper Handling of Generated Output</t>
        </is>
      </c>
      <c r="Q144" s="16" t="inlineStr">
        <is>
          <t>EE2 → P5 → P1 → EE1</t>
        </is>
      </c>
      <c r="R144" s="16" t="inlineStr"/>
      <c r="S144" s="5" t="inlineStr">
        <is>
          <t>Confirmed</t>
        </is>
      </c>
    </row>
    <row r="145" ht="16" customHeight="1">
      <c r="A145" s="5" t="inlineStr">
        <is>
          <t>CHATGPT-S1-F011</t>
        </is>
      </c>
      <c r="B145" s="5" t="inlineStr">
        <is>
          <t>CHATGPT</t>
        </is>
      </c>
      <c r="C145" s="5" t="inlineStr">
        <is>
          <t>S1</t>
        </is>
      </c>
      <c r="D145" s="21" t="str">
        <f>IFERROR(VLOOKUP($G145,'02_REFERENCE'!$A$2:$S$99,4,FALSE),"N/A")</f>
        <v>N/A</v>
      </c>
      <c r="E145" s="21" t="str">
        <f>IFERROR(VLOOKUP($G145,'02_REFERENCE'!$A$2:$S$99,15,FALSE),"N/A")</f>
        <v>N/A</v>
      </c>
      <c r="F145" s="21" t="str">
        <f>IFERROR(VLOOKUP($G145,'02_REFERENCE'!$A$2:$S$99,17,FALSE),"N/A")</f>
        <v>N/A</v>
      </c>
      <c r="G145" s="21" t="inlineStr"/>
      <c r="H145" s="21" t="inlineStr">
        <is>
          <t>False Positive</t>
        </is>
      </c>
      <c r="I145" s="21" t="inlineStr">
        <is>
          <t>FP</t>
        </is>
      </c>
      <c r="J145" s="21" t="inlineStr">
        <is>
          <t>M</t>
        </is>
      </c>
      <c r="K145" s="21" t="inlineStr">
        <is>
          <t>N</t>
        </is>
      </c>
      <c r="L145" s="21" t="inlineStr">
        <is>
          <t>No</t>
        </is>
      </c>
      <c r="M145" s="21" t="inlineStr"/>
      <c r="N145" s="22" t="inlineStr">
        <is>
          <t>Template-class malicious_upload (no reference threat): malicious, or manipulated content; returns incorrect, malicious, or manipulated content</t>
        </is>
      </c>
      <c r="O145" s="5" t="inlineStr">
        <is>
          <t>malicious_upload</t>
        </is>
      </c>
      <c r="P145" s="16" t="inlineStr">
        <is>
          <t>External LLM Output Manipulation</t>
        </is>
      </c>
      <c r="Q145" s="16" t="inlineStr">
        <is>
          <t>EE2 → P5</t>
        </is>
      </c>
      <c r="R145" s="16" t="inlineStr"/>
      <c r="S145" s="5" t="inlineStr">
        <is>
          <t>Confirmed</t>
        </is>
      </c>
    </row>
    <row r="146" ht="16" customHeight="1">
      <c r="A146" s="5" t="inlineStr">
        <is>
          <t>CHATGPT-S1-F012</t>
        </is>
      </c>
      <c r="B146" s="5" t="inlineStr">
        <is>
          <t>CHATGPT</t>
        </is>
      </c>
      <c r="C146" s="5" t="inlineStr">
        <is>
          <t>S1</t>
        </is>
      </c>
      <c r="D146" s="21" t="str">
        <f>IFERROR(VLOOKUP($G146,'02_REFERENCE'!$A$2:$S$99,4,FALSE),"N/A")</f>
        <v>N/A</v>
      </c>
      <c r="E146" s="21" t="str">
        <f>IFERROR(VLOOKUP($G146,'02_REFERENCE'!$A$2:$S$99,15,FALSE),"N/A")</f>
        <v>N/A</v>
      </c>
      <c r="F146" s="21" t="str">
        <f>IFERROR(VLOOKUP($G146,'02_REFERENCE'!$A$2:$S$99,17,FALSE),"N/A")</f>
        <v>N/A</v>
      </c>
      <c r="G146" s="21" t="inlineStr"/>
      <c r="H146" s="21" t="inlineStr">
        <is>
          <t>False Positive</t>
        </is>
      </c>
      <c r="I146" s="21" t="inlineStr">
        <is>
          <t>FP</t>
        </is>
      </c>
      <c r="J146" s="21" t="inlineStr">
        <is>
          <t>M</t>
        </is>
      </c>
      <c r="K146" s="21" t="inlineStr">
        <is>
          <t>N</t>
        </is>
      </c>
      <c r="L146" s="21" t="inlineStr">
        <is>
          <t>No</t>
        </is>
      </c>
      <c r="M146" s="21" t="inlineStr"/>
      <c r="N146" s="22" t="inlineStr">
        <is>
          <t>No reference threat corresponds to this finding's mechanism (scoring found no class with sufficient evidence).</t>
        </is>
      </c>
      <c r="O146" s="5" t="inlineStr"/>
      <c r="P146" s="16" t="inlineStr">
        <is>
          <t>Ambiguous Authentication State</t>
        </is>
      </c>
      <c r="Q146" s="16" t="inlineStr">
        <is>
          <t>P2 → P3 → P1</t>
        </is>
      </c>
      <c r="R146" s="16" t="inlineStr"/>
      <c r="S146" s="5" t="inlineStr">
        <is>
          <t>Confirmed</t>
        </is>
      </c>
    </row>
    <row r="147" ht="16" customHeight="1">
      <c r="A147" s="5" t="inlineStr">
        <is>
          <t>CHATGPT-S1-F013</t>
        </is>
      </c>
      <c r="B147" s="5" t="inlineStr">
        <is>
          <t>CHATGPT</t>
        </is>
      </c>
      <c r="C147" s="5" t="inlineStr">
        <is>
          <t>S1</t>
        </is>
      </c>
      <c r="D147" s="21" t="str">
        <f>IFERROR(VLOOKUP($G147,'02_REFERENCE'!$A$2:$S$99,4,FALSE),"N/A")</f>
        <v>Denial of Service</v>
      </c>
      <c r="E147" s="21" t="str">
        <f>IFERROR(VLOOKUP($G147,'02_REFERENCE'!$A$2:$S$99,15,FALSE),"N/A")</f>
        <v>Medium</v>
      </c>
      <c r="F147" s="21" t="str">
        <f>IFERROR(VLOOKUP($G147,'02_REFERENCE'!$A$2:$S$99,17,FALSE),"N/A")</f>
        <v>No</v>
      </c>
      <c r="G147" s="21" t="inlineStr">
        <is>
          <t>S1-RT-028</t>
        </is>
      </c>
      <c r="H147" s="21" t="inlineStr">
        <is>
          <t>Duplicate</t>
        </is>
      </c>
      <c r="I147" s="21" t="inlineStr">
        <is>
          <t>TP</t>
        </is>
      </c>
      <c r="J147" s="21" t="inlineStr">
        <is>
          <t>M</t>
        </is>
      </c>
      <c r="K147" s="21" t="inlineStr">
        <is>
          <t>N</t>
        </is>
      </c>
      <c r="L147" s="21" t="inlineStr">
        <is>
          <t>Yes</t>
        </is>
      </c>
      <c r="M147" s="21" t="inlineStr">
        <is>
          <t>CHATGPT-S1-F056</t>
        </is>
      </c>
      <c r="N147" s="22" t="inlineStr">
        <is>
          <t>Mechanism class dos_service (victim-based DoS routing); evidence: Flood [Equivalence: restates CHATGPT-S1-F056 — one-to-one rule applied.]</t>
        </is>
      </c>
      <c r="O147" s="5" t="inlineStr">
        <is>
          <t>dos_service</t>
        </is>
      </c>
      <c r="P147" s="16" t="inlineStr">
        <is>
          <t>Authentication Request Flooding</t>
        </is>
      </c>
      <c r="Q147" s="16" t="inlineStr">
        <is>
          <t>EE1 → P1 → P2 → DS1</t>
        </is>
      </c>
      <c r="R147" s="16" t="inlineStr"/>
      <c r="S147" s="5" t="inlineStr">
        <is>
          <t>Confirmed</t>
        </is>
      </c>
    </row>
    <row r="148" ht="16" customHeight="1">
      <c r="A148" s="5" t="inlineStr">
        <is>
          <t>CHATGPT-S1-F014</t>
        </is>
      </c>
      <c r="B148" s="5" t="inlineStr">
        <is>
          <t>CHATGPT</t>
        </is>
      </c>
      <c r="C148" s="5" t="inlineStr">
        <is>
          <t>S1</t>
        </is>
      </c>
      <c r="D148" s="21" t="str">
        <f>IFERROR(VLOOKUP($G148,'02_REFERENCE'!$A$2:$S$99,4,FALSE),"N/A")</f>
        <v>Denial of Service</v>
      </c>
      <c r="E148" s="21" t="str">
        <f>IFERROR(VLOOKUP($G148,'02_REFERENCE'!$A$2:$S$99,15,FALSE),"N/A")</f>
        <v>Medium</v>
      </c>
      <c r="F148" s="21" t="str">
        <f>IFERROR(VLOOKUP($G148,'02_REFERENCE'!$A$2:$S$99,17,FALSE),"N/A")</f>
        <v>No</v>
      </c>
      <c r="G148" s="21" t="inlineStr">
        <is>
          <t>S1-RT-028</t>
        </is>
      </c>
      <c r="H148" s="21" t="inlineStr">
        <is>
          <t>Duplicate</t>
        </is>
      </c>
      <c r="I148" s="21" t="inlineStr">
        <is>
          <t>TP</t>
        </is>
      </c>
      <c r="J148" s="21" t="inlineStr">
        <is>
          <t>M</t>
        </is>
      </c>
      <c r="K148" s="21" t="inlineStr">
        <is>
          <t>N</t>
        </is>
      </c>
      <c r="L148" s="21" t="inlineStr">
        <is>
          <t>Yes</t>
        </is>
      </c>
      <c r="M148" s="21" t="inlineStr">
        <is>
          <t>CHATGPT-S1-F056</t>
        </is>
      </c>
      <c r="N148" s="22" t="inlineStr">
        <is>
          <t>Mechanism class dos_service (victim-based DoS routing); evidence: Exhaust [Equivalence: restates CHATGPT-S1-F056 — one-to-one rule applied.]</t>
        </is>
      </c>
      <c r="O148" s="5" t="inlineStr">
        <is>
          <t>dos_service</t>
        </is>
      </c>
      <c r="P148" s="16" t="inlineStr">
        <is>
          <t>Session Validation Exhaustion</t>
        </is>
      </c>
      <c r="Q148" s="16" t="inlineStr">
        <is>
          <t>P3 ↔ DS2</t>
        </is>
      </c>
      <c r="R148" s="16" t="inlineStr"/>
      <c r="S148" s="5" t="inlineStr">
        <is>
          <t>Confirmed</t>
        </is>
      </c>
    </row>
    <row r="149" ht="16" customHeight="1">
      <c r="A149" s="5" t="inlineStr">
        <is>
          <t>CHATGPT-S1-F015</t>
        </is>
      </c>
      <c r="B149" s="5" t="inlineStr">
        <is>
          <t>CHATGPT</t>
        </is>
      </c>
      <c r="C149" s="5" t="inlineStr">
        <is>
          <t>S1</t>
        </is>
      </c>
      <c r="D149" s="21" t="str">
        <f>IFERROR(VLOOKUP($G149,'02_REFERENCE'!$A$2:$S$99,4,FALSE),"N/A")</f>
        <v>Denial of Service</v>
      </c>
      <c r="E149" s="21" t="str">
        <f>IFERROR(VLOOKUP($G149,'02_REFERENCE'!$A$2:$S$99,15,FALSE),"N/A")</f>
        <v>Medium</v>
      </c>
      <c r="F149" s="21" t="str">
        <f>IFERROR(VLOOKUP($G149,'02_REFERENCE'!$A$2:$S$99,17,FALSE),"N/A")</f>
        <v>Yes</v>
      </c>
      <c r="G149" s="21" t="inlineStr">
        <is>
          <t>S1-RT-029</t>
        </is>
      </c>
      <c r="H149" s="21" t="inlineStr">
        <is>
          <t>Primary TP</t>
        </is>
      </c>
      <c r="I149" s="21" t="inlineStr">
        <is>
          <t>TP</t>
        </is>
      </c>
      <c r="J149" s="21" t="inlineStr">
        <is>
          <t>L</t>
        </is>
      </c>
      <c r="K149" s="21" t="inlineStr">
        <is>
          <t>Y</t>
        </is>
      </c>
      <c r="L149" s="21" t="inlineStr">
        <is>
          <t>No</t>
        </is>
      </c>
      <c r="M149" s="21" t="inlineStr"/>
      <c r="N149" s="22" t="inlineStr">
        <is>
          <t>Mechanism class llm_unavailable; evidence: LLM A user tells the chatbot to change</t>
        </is>
      </c>
      <c r="O149" s="5" t="inlineStr">
        <is>
          <t>llm_unavailable</t>
        </is>
      </c>
      <c r="P149" s="16" t="inlineStr">
        <is>
          <t>Unauthorized Account Modification Through LLM</t>
        </is>
      </c>
      <c r="Q149" s="16" t="inlineStr">
        <is>
          <t>EE1 → P4/P5</t>
        </is>
      </c>
      <c r="R149" s="16" t="inlineStr"/>
      <c r="S149" s="5" t="inlineStr">
        <is>
          <t>Manual review</t>
        </is>
      </c>
    </row>
    <row r="150" ht="16" customHeight="1">
      <c r="A150" s="5" t="inlineStr">
        <is>
          <t>CHATGPT-S1-F016</t>
        </is>
      </c>
      <c r="B150" s="5" t="inlineStr">
        <is>
          <t>CHATGPT</t>
        </is>
      </c>
      <c r="C150" s="5" t="inlineStr">
        <is>
          <t>S1</t>
        </is>
      </c>
      <c r="D150" s="21" t="str">
        <f>IFERROR(VLOOKUP($G150,'02_REFERENCE'!$A$2:$S$99,4,FALSE),"N/A")</f>
        <v>Tampering</v>
      </c>
      <c r="E150" s="21" t="str">
        <f>IFERROR(VLOOKUP($G150,'02_REFERENCE'!$A$2:$S$99,15,FALSE),"N/A")</f>
        <v>High</v>
      </c>
      <c r="F150" s="21" t="str">
        <f>IFERROR(VLOOKUP($G150,'02_REFERENCE'!$A$2:$S$99,17,FALSE),"N/A")</f>
        <v>Yes</v>
      </c>
      <c r="G150" s="21" t="inlineStr">
        <is>
          <t>S1-RT-022</t>
        </is>
      </c>
      <c r="H150" s="21" t="inlineStr">
        <is>
          <t>Primary TP</t>
        </is>
      </c>
      <c r="I150" s="21" t="inlineStr">
        <is>
          <t>TP</t>
        </is>
      </c>
      <c r="J150" s="21" t="inlineStr">
        <is>
          <t>H</t>
        </is>
      </c>
      <c r="K150" s="21" t="inlineStr">
        <is>
          <t>Y</t>
        </is>
      </c>
      <c r="L150" s="21" t="inlineStr">
        <is>
          <t>No</t>
        </is>
      </c>
      <c r="M150" s="21" t="inlineStr"/>
      <c r="N150" s="22" t="inlineStr">
        <is>
          <t>Mechanism class prompt_injection_direct; evidence: Direct Prompt Injection; Prompt Inject; Prompt Inject</t>
        </is>
      </c>
      <c r="O150" s="5" t="inlineStr">
        <is>
          <t>prompt_injection_direct</t>
        </is>
      </c>
      <c r="P150" s="16" t="inlineStr">
        <is>
          <t>Direct Prompt Injection Against Authentication Assistant</t>
        </is>
      </c>
      <c r="Q150" s="16" t="inlineStr">
        <is>
          <t>EE1 → P4/P5 → EE2</t>
        </is>
      </c>
      <c r="R150" s="16" t="inlineStr"/>
      <c r="S150" s="5" t="inlineStr">
        <is>
          <t>Confirmed</t>
        </is>
      </c>
    </row>
    <row r="151" ht="16" customHeight="1">
      <c r="A151" s="5" t="inlineStr">
        <is>
          <t>CHATGPT-S1-F017</t>
        </is>
      </c>
      <c r="B151" s="5" t="inlineStr">
        <is>
          <t>CHATGPT</t>
        </is>
      </c>
      <c r="C151" s="5" t="inlineStr">
        <is>
          <t>S1</t>
        </is>
      </c>
      <c r="D151" s="21" t="str">
        <f>IFERROR(VLOOKUP($G151,'02_REFERENCE'!$A$2:$S$99,4,FALSE),"N/A")</f>
        <v>Tampering</v>
      </c>
      <c r="E151" s="21" t="str">
        <f>IFERROR(VLOOKUP($G151,'02_REFERENCE'!$A$2:$S$99,15,FALSE),"N/A")</f>
        <v>High</v>
      </c>
      <c r="F151" s="21" t="str">
        <f>IFERROR(VLOOKUP($G151,'02_REFERENCE'!$A$2:$S$99,17,FALSE),"N/A")</f>
        <v>Yes</v>
      </c>
      <c r="G151" s="21" t="inlineStr">
        <is>
          <t>S1-RT-023</t>
        </is>
      </c>
      <c r="H151" s="21" t="inlineStr">
        <is>
          <t>Duplicate</t>
        </is>
      </c>
      <c r="I151" s="21" t="inlineStr">
        <is>
          <t>TP</t>
        </is>
      </c>
      <c r="J151" s="21" t="inlineStr">
        <is>
          <t>M</t>
        </is>
      </c>
      <c r="K151" s="21" t="inlineStr">
        <is>
          <t>N</t>
        </is>
      </c>
      <c r="L151" s="21" t="inlineStr">
        <is>
          <t>Yes</t>
        </is>
      </c>
      <c r="M151" s="21" t="inlineStr">
        <is>
          <t>CHATGPT-S1-F039</t>
        </is>
      </c>
      <c r="N151" s="22" t="inlineStr">
        <is>
          <t>Mechanism class prompt_injection_indirect; evidence: Context A document in DS3 contains malicious instruct [Equivalence: restates CHATGPT-S1-F039 — one-to-one rule applied.]</t>
        </is>
      </c>
      <c r="O151" s="5" t="inlineStr">
        <is>
          <t>prompt_injection_indirect</t>
        </is>
      </c>
      <c r="P151" s="16" t="inlineStr">
        <is>
          <t>Malicious Instructions in Retrieved Context</t>
        </is>
      </c>
      <c r="Q151" s="16" t="inlineStr">
        <is>
          <t>DS3 → P4/P5 → EE2</t>
        </is>
      </c>
      <c r="R151" s="16" t="inlineStr"/>
      <c r="S151" s="5" t="inlineStr">
        <is>
          <t>Confirmed</t>
        </is>
      </c>
    </row>
    <row r="152" ht="16" customHeight="1">
      <c r="A152" s="5" t="inlineStr">
        <is>
          <t>CHATGPT-S1-F018</t>
        </is>
      </c>
      <c r="B152" s="5" t="inlineStr">
        <is>
          <t>CHATGPT</t>
        </is>
      </c>
      <c r="C152" s="5" t="inlineStr">
        <is>
          <t>S1</t>
        </is>
      </c>
      <c r="D152" s="21" t="str">
        <f>IFERROR(VLOOKUP($G152,'02_REFERENCE'!$A$2:$S$99,4,FALSE),"N/A")</f>
        <v>Information Disclosure</v>
      </c>
      <c r="E152" s="21" t="str">
        <f>IFERROR(VLOOKUP($G152,'02_REFERENCE'!$A$2:$S$99,15,FALSE),"N/A")</f>
        <v>High</v>
      </c>
      <c r="F152" s="21" t="str">
        <f>IFERROR(VLOOKUP($G152,'02_REFERENCE'!$A$2:$S$99,17,FALSE),"N/A")</f>
        <v>Yes</v>
      </c>
      <c r="G152" s="21" t="inlineStr">
        <is>
          <t>S1-RT-024</t>
        </is>
      </c>
      <c r="H152" s="21" t="inlineStr">
        <is>
          <t>Duplicate</t>
        </is>
      </c>
      <c r="I152" s="21" t="inlineStr">
        <is>
          <t>TP</t>
        </is>
      </c>
      <c r="J152" s="21" t="inlineStr">
        <is>
          <t>M</t>
        </is>
      </c>
      <c r="K152" s="21" t="inlineStr">
        <is>
          <t>N</t>
        </is>
      </c>
      <c r="L152" s="21" t="inlineStr">
        <is>
          <t>Yes</t>
        </is>
      </c>
      <c r="M152" s="21" t="inlineStr">
        <is>
          <t>CHATGPT-S1-F040</t>
        </is>
      </c>
      <c r="N152" s="22" t="inlineStr">
        <is>
          <t>Mechanism class sensitive_to_llm; evidence: included in the model prompt [Equivalence: restates CHATGPT-S1-F040 — one-to-one rule applied.]</t>
        </is>
      </c>
      <c r="O152" s="5" t="inlineStr">
        <is>
          <t>sensitive_to_llm</t>
        </is>
      </c>
      <c r="P152" s="16" t="inlineStr">
        <is>
          <t>Confidential Context Extraction</t>
        </is>
      </c>
      <c r="Q152" s="16" t="inlineStr">
        <is>
          <t>P4/P5 → EE2 → P5 → P1 → EE1</t>
        </is>
      </c>
      <c r="R152" s="16" t="inlineStr"/>
      <c r="S152" s="5" t="inlineStr">
        <is>
          <t>Confirmed</t>
        </is>
      </c>
    </row>
    <row r="153" ht="16" customHeight="1">
      <c r="A153" s="5" t="inlineStr">
        <is>
          <t>CHATGPT-S1-F019</t>
        </is>
      </c>
      <c r="B153" s="5" t="inlineStr">
        <is>
          <t>CHATGPT</t>
        </is>
      </c>
      <c r="C153" s="5" t="inlineStr">
        <is>
          <t>S1</t>
        </is>
      </c>
      <c r="D153" s="21" t="str">
        <f>IFERROR(VLOOKUP($G153,'02_REFERENCE'!$A$2:$S$99,4,FALSE),"N/A")</f>
        <v>Information Disclosure</v>
      </c>
      <c r="E153" s="21" t="str">
        <f>IFERROR(VLOOKUP($G153,'02_REFERENCE'!$A$2:$S$99,15,FALSE),"N/A")</f>
        <v>Medium</v>
      </c>
      <c r="F153" s="21" t="str">
        <f>IFERROR(VLOOKUP($G153,'02_REFERENCE'!$A$2:$S$99,17,FALSE),"N/A")</f>
        <v>Yes</v>
      </c>
      <c r="G153" s="21" t="inlineStr">
        <is>
          <t>S1-RT-025</t>
        </is>
      </c>
      <c r="H153" s="21" t="inlineStr">
        <is>
          <t>Primary TP</t>
        </is>
      </c>
      <c r="I153" s="21" t="inlineStr">
        <is>
          <t>TP</t>
        </is>
      </c>
      <c r="J153" s="21" t="inlineStr">
        <is>
          <t>H</t>
        </is>
      </c>
      <c r="K153" s="21" t="inlineStr">
        <is>
          <t>Y</t>
        </is>
      </c>
      <c r="L153" s="21" t="inlineStr">
        <is>
          <t>No</t>
        </is>
      </c>
      <c r="M153" s="21" t="inlineStr"/>
      <c r="N153" s="22" t="inlineStr">
        <is>
          <t>Mechanism class system_prompt_extract; evidence: reveal internal system instruction; Instructions A user attempts to make the LLM reveal</t>
        </is>
      </c>
      <c r="O153" s="5" t="inlineStr">
        <is>
          <t>system_prompt_extract</t>
        </is>
      </c>
      <c r="P153" s="16" t="inlineStr">
        <is>
          <t>Disclosure of Internal LLM Instructions</t>
        </is>
      </c>
      <c r="Q153" s="16" t="inlineStr">
        <is>
          <t>EE1 → P4/P5 → EE2 → EE1</t>
        </is>
      </c>
      <c r="R153" s="16" t="inlineStr"/>
      <c r="S153" s="5" t="inlineStr">
        <is>
          <t>Confirmed</t>
        </is>
      </c>
    </row>
    <row r="154" ht="16" customHeight="1">
      <c r="A154" s="5" t="inlineStr">
        <is>
          <t>CHATGPT-S1-F020</t>
        </is>
      </c>
      <c r="B154" s="5" t="inlineStr">
        <is>
          <t>CHATGPT</t>
        </is>
      </c>
      <c r="C154" s="5" t="inlineStr">
        <is>
          <t>S1</t>
        </is>
      </c>
      <c r="D154" s="21" t="str">
        <f>IFERROR(VLOOKUP($G154,'02_REFERENCE'!$A$2:$S$99,4,FALSE),"N/A")</f>
        <v>Tampering</v>
      </c>
      <c r="E154" s="21" t="str">
        <f>IFERROR(VLOOKUP($G154,'02_REFERENCE'!$A$2:$S$99,15,FALSE),"N/A")</f>
        <v>Medium</v>
      </c>
      <c r="F154" s="21" t="str">
        <f>IFERROR(VLOOKUP($G154,'02_REFERENCE'!$A$2:$S$99,17,FALSE),"N/A")</f>
        <v>Yes</v>
      </c>
      <c r="G154" s="21" t="inlineStr">
        <is>
          <t>S1-RT-032</t>
        </is>
      </c>
      <c r="H154" s="21" t="inlineStr">
        <is>
          <t>Primary TP</t>
        </is>
      </c>
      <c r="I154" s="21" t="inlineStr">
        <is>
          <t>TP</t>
        </is>
      </c>
      <c r="J154" s="21" t="inlineStr">
        <is>
          <t>L</t>
        </is>
      </c>
      <c r="K154" s="21" t="inlineStr">
        <is>
          <t>Y</t>
        </is>
      </c>
      <c r="L154" s="21" t="inlineStr">
        <is>
          <t>No</t>
        </is>
      </c>
      <c r="M154" s="21" t="inlineStr"/>
      <c r="N154" s="22" t="inlineStr">
        <is>
          <t>Mechanism class hallucination; evidence: incorrect information</t>
        </is>
      </c>
      <c r="O154" s="5" t="inlineStr">
        <is>
          <t>hallucination</t>
        </is>
      </c>
      <c r="P154" s="16" t="inlineStr">
        <is>
          <t>Incorrect Authentication Guidance</t>
        </is>
      </c>
      <c r="Q154" s="16" t="inlineStr">
        <is>
          <t>DS3 → P4/P5 → EE2 → P1 → EE1</t>
        </is>
      </c>
      <c r="R154" s="16" t="inlineStr"/>
      <c r="S154" s="5" t="inlineStr">
        <is>
          <t>Manual review</t>
        </is>
      </c>
    </row>
    <row r="155" ht="16" customHeight="1">
      <c r="A155" s="5" t="inlineStr">
        <is>
          <t>CHATGPT-S1-F021</t>
        </is>
      </c>
      <c r="B155" s="5" t="inlineStr">
        <is>
          <t>CHATGPT</t>
        </is>
      </c>
      <c r="C155" s="5" t="inlineStr">
        <is>
          <t>S1</t>
        </is>
      </c>
      <c r="D155" s="21" t="str">
        <f>IFERROR(VLOOKUP($G155,'02_REFERENCE'!$A$2:$S$99,4,FALSE),"N/A")</f>
        <v>Denial of Service</v>
      </c>
      <c r="E155" s="21" t="str">
        <f>IFERROR(VLOOKUP($G155,'02_REFERENCE'!$A$2:$S$99,15,FALSE),"N/A")</f>
        <v>Medium</v>
      </c>
      <c r="F155" s="21" t="str">
        <f>IFERROR(VLOOKUP($G155,'02_REFERENCE'!$A$2:$S$99,17,FALSE),"N/A")</f>
        <v>Yes</v>
      </c>
      <c r="G155" s="21" t="inlineStr">
        <is>
          <t>S1-RT-030</t>
        </is>
      </c>
      <c r="H155" s="21" t="inlineStr">
        <is>
          <t>Primary TP</t>
        </is>
      </c>
      <c r="I155" s="21" t="inlineStr">
        <is>
          <t>TP</t>
        </is>
      </c>
      <c r="J155" s="21" t="inlineStr">
        <is>
          <t>H</t>
        </is>
      </c>
      <c r="K155" s="21" t="inlineStr">
        <is>
          <t>Y</t>
        </is>
      </c>
      <c r="L155" s="21" t="inlineStr">
        <is>
          <t>No</t>
        </is>
      </c>
      <c r="M155" s="21" t="inlineStr"/>
      <c r="N155" s="22" t="inlineStr">
        <is>
          <t>Mechanism class dos_service (victim-based DoS routing); evidence: Resource Exhaustion; Resource Exhaustion</t>
        </is>
      </c>
      <c r="O155" s="5" t="inlineStr">
        <is>
          <t>dos_service</t>
        </is>
      </c>
      <c r="P155" s="16" t="inlineStr">
        <is>
          <t>Chatbot Resource Exhaustion</t>
        </is>
      </c>
      <c r="Q155" s="16" t="inlineStr">
        <is>
          <t>EE1 → P1 → P4/P5 → EE2</t>
        </is>
      </c>
      <c r="R155" s="16" t="inlineStr"/>
      <c r="S155" s="5" t="inlineStr">
        <is>
          <t>Confirmed</t>
        </is>
      </c>
    </row>
    <row r="156" ht="16" customHeight="1">
      <c r="A156" s="5" t="inlineStr">
        <is>
          <t>CHATGPT-S1-F022</t>
        </is>
      </c>
      <c r="B156" s="5" t="inlineStr">
        <is>
          <t>CHATGPT</t>
        </is>
      </c>
      <c r="C156" s="5" t="inlineStr">
        <is>
          <t>S1</t>
        </is>
      </c>
      <c r="D156" s="21" t="str">
        <f>IFERROR(VLOOKUP($G156,'02_REFERENCE'!$A$2:$S$99,4,FALSE),"N/A")</f>
        <v>Tampering</v>
      </c>
      <c r="E156" s="21" t="str">
        <f>IFERROR(VLOOKUP($G156,'02_REFERENCE'!$A$2:$S$99,15,FALSE),"N/A")</f>
        <v>High</v>
      </c>
      <c r="F156" s="21" t="str">
        <f>IFERROR(VLOOKUP($G156,'02_REFERENCE'!$A$2:$S$99,17,FALSE),"N/A")</f>
        <v>Yes</v>
      </c>
      <c r="G156" s="21" t="inlineStr">
        <is>
          <t>S1-RT-022</t>
        </is>
      </c>
      <c r="H156" s="21" t="inlineStr">
        <is>
          <t>Duplicate</t>
        </is>
      </c>
      <c r="I156" s="21" t="inlineStr">
        <is>
          <t>TP</t>
        </is>
      </c>
      <c r="J156" s="21" t="inlineStr">
        <is>
          <t>H</t>
        </is>
      </c>
      <c r="K156" s="21" t="inlineStr">
        <is>
          <t>N</t>
        </is>
      </c>
      <c r="L156" s="21" t="inlineStr">
        <is>
          <t>Yes</t>
        </is>
      </c>
      <c r="M156" s="21" t="inlineStr">
        <is>
          <t>CHATGPT-S1-F016</t>
        </is>
      </c>
      <c r="N156" s="22" t="inlineStr">
        <is>
          <t>Mechanism class prompt_injection_direct; evidence: prompt injection; prompt inject; prompt inject [Equivalence: restates CHATGPT-S1-F016 — one-to-one rule applied.]</t>
        </is>
      </c>
      <c r="O156" s="5" t="inlineStr">
        <is>
          <t>prompt_injection_direct</t>
        </is>
      </c>
      <c r="P156" s="16" t="inlineStr">
        <is>
          <t>Trust-Boundary Input Injection</t>
        </is>
      </c>
      <c r="Q156" s="16" t="inlineStr">
        <is>
          <t>EE1 → P1</t>
        </is>
      </c>
      <c r="R156" s="16" t="inlineStr"/>
      <c r="S156" s="5" t="inlineStr">
        <is>
          <t>Confirmed</t>
        </is>
      </c>
    </row>
    <row r="157" ht="16" customHeight="1">
      <c r="A157" s="5" t="inlineStr">
        <is>
          <t>CHATGPT-S1-F023</t>
        </is>
      </c>
      <c r="B157" s="5" t="inlineStr">
        <is>
          <t>CHATGPT</t>
        </is>
      </c>
      <c r="C157" s="5" t="inlineStr">
        <is>
          <t>S1</t>
        </is>
      </c>
      <c r="D157" s="21" t="str">
        <f>IFERROR(VLOOKUP($G157,'02_REFERENCE'!$A$2:$S$99,4,FALSE),"N/A")</f>
        <v>Information Disclosure</v>
      </c>
      <c r="E157" s="21" t="str">
        <f>IFERROR(VLOOKUP($G157,'02_REFERENCE'!$A$2:$S$99,15,FALSE),"N/A")</f>
        <v>High</v>
      </c>
      <c r="F157" s="21" t="str">
        <f>IFERROR(VLOOKUP($G157,'02_REFERENCE'!$A$2:$S$99,17,FALSE),"N/A")</f>
        <v>Yes</v>
      </c>
      <c r="G157" s="21" t="inlineStr">
        <is>
          <t>S1-RT-024</t>
        </is>
      </c>
      <c r="H157" s="21" t="inlineStr">
        <is>
          <t>Duplicate</t>
        </is>
      </c>
      <c r="I157" s="21" t="inlineStr">
        <is>
          <t>TP</t>
        </is>
      </c>
      <c r="J157" s="21" t="inlineStr">
        <is>
          <t>M</t>
        </is>
      </c>
      <c r="K157" s="21" t="inlineStr">
        <is>
          <t>N</t>
        </is>
      </c>
      <c r="L157" s="21" t="inlineStr">
        <is>
          <t>Yes</t>
        </is>
      </c>
      <c r="M157" s="21" t="inlineStr">
        <is>
          <t>CHATGPT-S1-F040</t>
        </is>
      </c>
      <c r="N157" s="22" t="inlineStr">
        <is>
          <t>Mechanism class sensitive_to_llm; evidence: includes internal application information in a prompt [Equivalence: restates CHATGPT-S1-F040 — one-to-one rule applied.]</t>
        </is>
      </c>
      <c r="O157" s="5" t="inlineStr">
        <is>
          <t>sensitive_to_llm</t>
        </is>
      </c>
      <c r="P157" s="16" t="inlineStr">
        <is>
          <t>External LLM Data Boundary Leakage</t>
        </is>
      </c>
      <c r="Q157" s="16" t="inlineStr">
        <is>
          <t>P5 → EE2</t>
        </is>
      </c>
      <c r="R157" s="16" t="inlineStr"/>
      <c r="S157" s="5" t="inlineStr">
        <is>
          <t>Confirmed</t>
        </is>
      </c>
    </row>
    <row r="158" ht="16" customHeight="1">
      <c r="A158" s="5" t="inlineStr">
        <is>
          <t>CHATGPT-S1-F024</t>
        </is>
      </c>
      <c r="B158" s="5" t="inlineStr">
        <is>
          <t>CHATGPT</t>
        </is>
      </c>
      <c r="C158" s="5" t="inlineStr">
        <is>
          <t>S1</t>
        </is>
      </c>
      <c r="D158" s="21" t="str">
        <f>IFERROR(VLOOKUP($G158,'02_REFERENCE'!$A$2:$S$99,4,FALSE),"N/A")</f>
        <v>N/A</v>
      </c>
      <c r="E158" s="21" t="str">
        <f>IFERROR(VLOOKUP($G158,'02_REFERENCE'!$A$2:$S$99,15,FALSE),"N/A")</f>
        <v>N/A</v>
      </c>
      <c r="F158" s="21" t="str">
        <f>IFERROR(VLOOKUP($G158,'02_REFERENCE'!$A$2:$S$99,17,FALSE),"N/A")</f>
        <v>N/A</v>
      </c>
      <c r="G158" s="21" t="inlineStr"/>
      <c r="H158" s="21" t="inlineStr">
        <is>
          <t>False Positive</t>
        </is>
      </c>
      <c r="I158" s="21" t="inlineStr">
        <is>
          <t>FP</t>
        </is>
      </c>
      <c r="J158" s="21" t="inlineStr">
        <is>
          <t>M</t>
        </is>
      </c>
      <c r="K158" s="21" t="inlineStr">
        <is>
          <t>N</t>
        </is>
      </c>
      <c r="L158" s="21" t="inlineStr">
        <is>
          <t>No</t>
        </is>
      </c>
      <c r="M158" s="21" t="inlineStr"/>
      <c r="N158" s="22" t="inlineStr">
        <is>
          <t>No reference threat corresponds to this finding's mechanism (scoring found no class with sufficient evidence).</t>
        </is>
      </c>
      <c r="O158" s="5" t="inlineStr"/>
      <c r="P158" s="16" t="inlineStr">
        <is>
          <t>Untrusted Output Re-entry</t>
        </is>
      </c>
      <c r="Q158" s="16" t="inlineStr">
        <is>
          <t>EE2 → P5 → P1</t>
        </is>
      </c>
      <c r="R158" s="16" t="inlineStr"/>
      <c r="S158" s="5" t="inlineStr">
        <is>
          <t>Confirmed</t>
        </is>
      </c>
    </row>
    <row r="159" ht="16" customHeight="1">
      <c r="A159" s="5" t="inlineStr">
        <is>
          <t>CHATGPT-S1-F025</t>
        </is>
      </c>
      <c r="B159" s="5" t="inlineStr">
        <is>
          <t>CHATGPT</t>
        </is>
      </c>
      <c r="C159" s="5" t="inlineStr">
        <is>
          <t>S1</t>
        </is>
      </c>
      <c r="D159" s="21" t="str">
        <f>IFERROR(VLOOKUP($G159,'02_REFERENCE'!$A$2:$S$99,4,FALSE),"N/A")</f>
        <v>N/A</v>
      </c>
      <c r="E159" s="21" t="str">
        <f>IFERROR(VLOOKUP($G159,'02_REFERENCE'!$A$2:$S$99,15,FALSE),"N/A")</f>
        <v>N/A</v>
      </c>
      <c r="F159" s="21" t="str">
        <f>IFERROR(VLOOKUP($G159,'02_REFERENCE'!$A$2:$S$99,17,FALSE),"N/A")</f>
        <v>N/A</v>
      </c>
      <c r="G159" s="21" t="inlineStr"/>
      <c r="H159" s="21" t="inlineStr">
        <is>
          <t>False Positive</t>
        </is>
      </c>
      <c r="I159" s="21" t="inlineStr">
        <is>
          <t>FP</t>
        </is>
      </c>
      <c r="J159" s="21" t="inlineStr">
        <is>
          <t>M</t>
        </is>
      </c>
      <c r="K159" s="21" t="inlineStr">
        <is>
          <t>N</t>
        </is>
      </c>
      <c r="L159" s="21" t="inlineStr">
        <is>
          <t>No</t>
        </is>
      </c>
      <c r="M159" s="21" t="inlineStr"/>
      <c r="N159" s="22" t="inlineStr">
        <is>
          <t>No reference threat corresponds to this finding's mechanism (scoring found no class with sufficient evidence).</t>
        </is>
      </c>
      <c r="O159" s="5" t="inlineStr"/>
      <c r="P159" s="16" t="inlineStr">
        <is>
          <t>Automated Credential Abuse</t>
        </is>
      </c>
      <c r="Q159" s="16" t="inlineStr">
        <is>
          <t>EE1 → P1 → P2 → DS1</t>
        </is>
      </c>
      <c r="R159" s="16" t="inlineStr"/>
      <c r="S159" s="5" t="inlineStr">
        <is>
          <t>Confirmed</t>
        </is>
      </c>
    </row>
    <row r="160" ht="16" customHeight="1">
      <c r="A160" s="5" t="inlineStr">
        <is>
          <t>CHATGPT-S1-F026</t>
        </is>
      </c>
      <c r="B160" s="5" t="inlineStr">
        <is>
          <t>CHATGPT</t>
        </is>
      </c>
      <c r="C160" s="5" t="inlineStr">
        <is>
          <t>S1</t>
        </is>
      </c>
      <c r="D160" s="21" t="str">
        <f>IFERROR(VLOOKUP($G160,'02_REFERENCE'!$A$2:$S$99,4,FALSE),"N/A")</f>
        <v>Information Disclosure</v>
      </c>
      <c r="E160" s="21" t="str">
        <f>IFERROR(VLOOKUP($G160,'02_REFERENCE'!$A$2:$S$99,15,FALSE),"N/A")</f>
        <v>Medium</v>
      </c>
      <c r="F160" s="21" t="str">
        <f>IFERROR(VLOOKUP($G160,'02_REFERENCE'!$A$2:$S$99,17,FALSE),"N/A")</f>
        <v>No</v>
      </c>
      <c r="G160" s="21" t="inlineStr">
        <is>
          <t>S1-RT-003</t>
        </is>
      </c>
      <c r="H160" s="21" t="inlineStr">
        <is>
          <t>Primary TP</t>
        </is>
      </c>
      <c r="I160" s="21" t="inlineStr">
        <is>
          <t>TP</t>
        </is>
      </c>
      <c r="J160" s="21" t="inlineStr">
        <is>
          <t>H</t>
        </is>
      </c>
      <c r="K160" s="21" t="inlineStr">
        <is>
          <t>Y</t>
        </is>
      </c>
      <c r="L160" s="21" t="inlineStr">
        <is>
          <t>No</t>
        </is>
      </c>
      <c r="M160" s="21" t="inlineStr"/>
      <c r="N160" s="22" t="inlineStr">
        <is>
          <t>Mechanism class enumeration; evidence: Enumeration; reveal whether a username exists; reveal whether a username exists</t>
        </is>
      </c>
      <c r="O160" s="5" t="inlineStr">
        <is>
          <t>enumeration</t>
        </is>
      </c>
      <c r="P160" s="16" t="inlineStr">
        <is>
          <t>Username/Account Enumeration</t>
        </is>
      </c>
      <c r="Q160" s="16" t="inlineStr">
        <is>
          <t>P2 → P1 → EE1</t>
        </is>
      </c>
      <c r="R160" s="16" t="inlineStr"/>
      <c r="S160" s="5" t="inlineStr">
        <is>
          <t>Confirmed</t>
        </is>
      </c>
    </row>
    <row r="161" ht="16" customHeight="1">
      <c r="A161" s="5" t="inlineStr">
        <is>
          <t>CHATGPT-S1-F027</t>
        </is>
      </c>
      <c r="B161" s="5" t="inlineStr">
        <is>
          <t>CHATGPT</t>
        </is>
      </c>
      <c r="C161" s="5" t="inlineStr">
        <is>
          <t>S1</t>
        </is>
      </c>
      <c r="D161" s="21" t="str">
        <f>IFERROR(VLOOKUP($G161,'02_REFERENCE'!$A$2:$S$99,4,FALSE),"N/A")</f>
        <v>Information Disclosure</v>
      </c>
      <c r="E161" s="21" t="str">
        <f>IFERROR(VLOOKUP($G161,'02_REFERENCE'!$A$2:$S$99,15,FALSE),"N/A")</f>
        <v>Medium</v>
      </c>
      <c r="F161" s="21" t="str">
        <f>IFERROR(VLOOKUP($G161,'02_REFERENCE'!$A$2:$S$99,17,FALSE),"N/A")</f>
        <v>Yes</v>
      </c>
      <c r="G161" s="21" t="inlineStr">
        <is>
          <t>S1-RT-025</t>
        </is>
      </c>
      <c r="H161" s="21" t="inlineStr">
        <is>
          <t>Duplicate</t>
        </is>
      </c>
      <c r="I161" s="21" t="inlineStr">
        <is>
          <t>TP</t>
        </is>
      </c>
      <c r="J161" s="21" t="inlineStr">
        <is>
          <t>L</t>
        </is>
      </c>
      <c r="K161" s="21" t="inlineStr">
        <is>
          <t>N</t>
        </is>
      </c>
      <c r="L161" s="21" t="inlineStr">
        <is>
          <t>Yes</t>
        </is>
      </c>
      <c r="M161" s="21" t="inlineStr">
        <is>
          <t>CHATGPT-S1-F019</t>
        </is>
      </c>
      <c r="N161" s="22" t="inlineStr">
        <is>
          <t>Mechanism class system_prompt_extract; evidence: instructions that persuade a user to reveal [Equivalence: restates CHATGPT-S1-F019 — one-to-one rule applied.]</t>
        </is>
      </c>
      <c r="O161" s="5" t="inlineStr">
        <is>
          <t>system_prompt_extract</t>
        </is>
      </c>
      <c r="P161" s="16" t="inlineStr">
        <is>
          <t>Malicious Authentication Guidance</t>
        </is>
      </c>
      <c r="Q161" s="16" t="inlineStr">
        <is>
          <t>EE1 → P4/P5 → EE2 → P1 → EE1</t>
        </is>
      </c>
      <c r="R161" s="16" t="inlineStr"/>
      <c r="S161" s="5" t="inlineStr">
        <is>
          <t>Manual review</t>
        </is>
      </c>
    </row>
    <row r="162" ht="16" customHeight="1">
      <c r="A162" s="5" t="inlineStr">
        <is>
          <t>CHATGPT-S1-F028</t>
        </is>
      </c>
      <c r="B162" s="5" t="inlineStr">
        <is>
          <t>CHATGPT</t>
        </is>
      </c>
      <c r="C162" s="5" t="inlineStr">
        <is>
          <t>S1</t>
        </is>
      </c>
      <c r="D162" s="21" t="str">
        <f>IFERROR(VLOOKUP($G162,'02_REFERENCE'!$A$2:$S$99,4,FALSE),"N/A")</f>
        <v>Information Disclosure</v>
      </c>
      <c r="E162" s="21" t="str">
        <f>IFERROR(VLOOKUP($G162,'02_REFERENCE'!$A$2:$S$99,15,FALSE),"N/A")</f>
        <v>High</v>
      </c>
      <c r="F162" s="21" t="str">
        <f>IFERROR(VLOOKUP($G162,'02_REFERENCE'!$A$2:$S$99,17,FALSE),"N/A")</f>
        <v>No</v>
      </c>
      <c r="G162" s="21" t="inlineStr">
        <is>
          <t>S1-RT-020</t>
        </is>
      </c>
      <c r="H162" s="21" t="inlineStr">
        <is>
          <t>Duplicate</t>
        </is>
      </c>
      <c r="I162" s="21" t="inlineStr">
        <is>
          <t>TP</t>
        </is>
      </c>
      <c r="J162" s="21" t="inlineStr">
        <is>
          <t>L</t>
        </is>
      </c>
      <c r="K162" s="21" t="inlineStr">
        <is>
          <t>N</t>
        </is>
      </c>
      <c r="L162" s="21" t="inlineStr">
        <is>
          <t>Yes</t>
        </is>
      </c>
      <c r="M162" s="21" t="inlineStr">
        <is>
          <t>CHATGPT-S1-F066</t>
        </is>
      </c>
      <c r="N162" s="22" t="inlineStr">
        <is>
          <t>Mechanism class api_key; evidence: Credential-related information leak [Equivalence: restates CHATGPT-S1-F066 — one-to-one rule applied.]</t>
        </is>
      </c>
      <c r="O162" s="5" t="inlineStr">
        <is>
          <t>api_key</t>
        </is>
      </c>
      <c r="P162" s="16" t="inlineStr">
        <is>
          <t>Authentication Data Entering Chatbot Context</t>
        </is>
      </c>
      <c r="Q162" s="16" t="inlineStr">
        <is>
          <t>DS1 → P4/P5 → EE2</t>
        </is>
      </c>
      <c r="R162" s="16" t="inlineStr"/>
      <c r="S162" s="5" t="inlineStr">
        <is>
          <t>Manual review</t>
        </is>
      </c>
    </row>
    <row r="163" ht="16" customHeight="1">
      <c r="A163" s="5" t="inlineStr">
        <is>
          <t>CHATGPT-S1-F029</t>
        </is>
      </c>
      <c r="B163" s="5" t="inlineStr">
        <is>
          <t>CHATGPT</t>
        </is>
      </c>
      <c r="C163" s="5" t="inlineStr">
        <is>
          <t>S1</t>
        </is>
      </c>
      <c r="D163" s="21" t="str">
        <f>IFERROR(VLOOKUP($G163,'02_REFERENCE'!$A$2:$S$99,4,FALSE),"N/A")</f>
        <v>Information Disclosure</v>
      </c>
      <c r="E163" s="21" t="str">
        <f>IFERROR(VLOOKUP($G163,'02_REFERENCE'!$A$2:$S$99,15,FALSE),"N/A")</f>
        <v>High</v>
      </c>
      <c r="F163" s="21" t="str">
        <f>IFERROR(VLOOKUP($G163,'02_REFERENCE'!$A$2:$S$99,17,FALSE),"N/A")</f>
        <v>Yes</v>
      </c>
      <c r="G163" s="21" t="inlineStr">
        <is>
          <t>S1-RT-024</t>
        </is>
      </c>
      <c r="H163" s="21" t="inlineStr">
        <is>
          <t>Duplicate</t>
        </is>
      </c>
      <c r="I163" s="21" t="inlineStr">
        <is>
          <t>TP</t>
        </is>
      </c>
      <c r="J163" s="21" t="inlineStr">
        <is>
          <t>M</t>
        </is>
      </c>
      <c r="K163" s="21" t="inlineStr">
        <is>
          <t>N</t>
        </is>
      </c>
      <c r="L163" s="21" t="inlineStr">
        <is>
          <t>Yes</t>
        </is>
      </c>
      <c r="M163" s="21" t="inlineStr">
        <is>
          <t>CHATGPT-S1-F040</t>
        </is>
      </c>
      <c r="N163" s="22" t="inlineStr">
        <is>
          <t>Mechanism class sensitive_to_llm; evidence: token-related information is unintentional [Equivalence: restates CHATGPT-S1-F040 — one-to-one rule applied.]</t>
        </is>
      </c>
      <c r="O163" s="5" t="inlineStr">
        <is>
          <t>sensitive_to_llm</t>
        </is>
      </c>
      <c r="P163" s="16" t="inlineStr">
        <is>
          <t>Session Information Disclosure</t>
        </is>
      </c>
      <c r="Q163" s="16" t="inlineStr">
        <is>
          <t>DS2/P3 → P1/P4/P5</t>
        </is>
      </c>
      <c r="R163" s="16" t="inlineStr"/>
      <c r="S163" s="5" t="inlineStr">
        <is>
          <t>Confirmed</t>
        </is>
      </c>
    </row>
    <row r="164" ht="16" customHeight="1">
      <c r="A164" s="5" t="inlineStr">
        <is>
          <t>CHATGPT-S1-F030</t>
        </is>
      </c>
      <c r="B164" s="5" t="inlineStr">
        <is>
          <t>CHATGPT</t>
        </is>
      </c>
      <c r="C164" s="5" t="inlineStr">
        <is>
          <t>S1</t>
        </is>
      </c>
      <c r="D164" s="21" t="str">
        <f>IFERROR(VLOOKUP($G164,'02_REFERENCE'!$A$2:$S$99,4,FALSE),"N/A")</f>
        <v>N/A</v>
      </c>
      <c r="E164" s="21" t="str">
        <f>IFERROR(VLOOKUP($G164,'02_REFERENCE'!$A$2:$S$99,15,FALSE),"N/A")</f>
        <v>N/A</v>
      </c>
      <c r="F164" s="21" t="str">
        <f>IFERROR(VLOOKUP($G164,'02_REFERENCE'!$A$2:$S$99,17,FALSE),"N/A")</f>
        <v>N/A</v>
      </c>
      <c r="G164" s="21" t="inlineStr"/>
      <c r="H164" s="21" t="inlineStr">
        <is>
          <t>False Positive</t>
        </is>
      </c>
      <c r="I164" s="21" t="inlineStr">
        <is>
          <t>FP</t>
        </is>
      </c>
      <c r="J164" s="21" t="inlineStr">
        <is>
          <t>M</t>
        </is>
      </c>
      <c r="K164" s="21" t="inlineStr">
        <is>
          <t>N</t>
        </is>
      </c>
      <c r="L164" s="21" t="inlineStr">
        <is>
          <t>No</t>
        </is>
      </c>
      <c r="M164" s="21" t="inlineStr"/>
      <c r="N164" s="22" t="inlineStr">
        <is>
          <t>No reference threat corresponds to this finding's mechanism (scoring found no class with sufficient evidence).</t>
        </is>
      </c>
      <c r="O164" s="5" t="inlineStr"/>
      <c r="P164" s="16" t="inlineStr">
        <is>
          <t>External Provider Data Exposure</t>
        </is>
      </c>
      <c r="Q164" s="16" t="inlineStr">
        <is>
          <t>P5 → EE2</t>
        </is>
      </c>
      <c r="R164" s="16" t="inlineStr"/>
      <c r="S164" s="5" t="inlineStr">
        <is>
          <t>Confirmed</t>
        </is>
      </c>
    </row>
    <row r="165" ht="16" customHeight="1">
      <c r="A165" s="5" t="inlineStr">
        <is>
          <t>CHATGPT-S1-F031</t>
        </is>
      </c>
      <c r="B165" s="5" t="inlineStr">
        <is>
          <t>CHATGPT</t>
        </is>
      </c>
      <c r="C165" s="5" t="inlineStr">
        <is>
          <t>S1</t>
        </is>
      </c>
      <c r="D165" s="21" t="str">
        <f>IFERROR(VLOOKUP($G165,'02_REFERENCE'!$A$2:$S$99,4,FALSE),"N/A")</f>
        <v>Spoofing</v>
      </c>
      <c r="E165" s="21" t="str">
        <f>IFERROR(VLOOKUP($G165,'02_REFERENCE'!$A$2:$S$99,15,FALSE),"N/A")</f>
        <v>Critical</v>
      </c>
      <c r="F165" s="21" t="str">
        <f>IFERROR(VLOOKUP($G165,'02_REFERENCE'!$A$2:$S$99,17,FALSE),"N/A")</f>
        <v>No</v>
      </c>
      <c r="G165" s="21" t="inlineStr">
        <is>
          <t>S1-RT-004</t>
        </is>
      </c>
      <c r="H165" s="21" t="inlineStr">
        <is>
          <t>Duplicate</t>
        </is>
      </c>
      <c r="I165" s="21" t="inlineStr">
        <is>
          <t>TP</t>
        </is>
      </c>
      <c r="J165" s="21" t="inlineStr">
        <is>
          <t>L</t>
        </is>
      </c>
      <c r="K165" s="21" t="inlineStr">
        <is>
          <t>N</t>
        </is>
      </c>
      <c r="L165" s="21" t="inlineStr">
        <is>
          <t>Yes</t>
        </is>
      </c>
      <c r="M165" s="21" t="inlineStr">
        <is>
          <t>CHATGPT-S1-F002</t>
        </is>
      </c>
      <c r="N165" s="22" t="inlineStr">
        <is>
          <t>Mechanism class auth_bypass_logic; evidence: Authentication bypass [Equivalence: restates CHATGPT-S1-F002 — one-to-one rule applied.]</t>
        </is>
      </c>
      <c r="O165" s="5" t="inlineStr">
        <is>
          <t>auth_bypass_logic</t>
        </is>
      </c>
      <c r="P165" s="16" t="inlineStr">
        <is>
          <t>LLM-to-Authentication Control-Flow Injection</t>
        </is>
      </c>
      <c r="Q165" s="16" t="inlineStr">
        <is>
          <t>EE2 → P5 → P2/P3</t>
        </is>
      </c>
      <c r="R165" s="16" t="inlineStr"/>
      <c r="S165" s="5" t="inlineStr">
        <is>
          <t>Manual review</t>
        </is>
      </c>
    </row>
    <row r="166" ht="16" customHeight="1">
      <c r="A166" s="5" t="inlineStr">
        <is>
          <t>CHATGPT-S1-F032</t>
        </is>
      </c>
      <c r="B166" s="5" t="inlineStr">
        <is>
          <t>CHATGPT</t>
        </is>
      </c>
      <c r="C166" s="5" t="inlineStr">
        <is>
          <t>S1</t>
        </is>
      </c>
      <c r="D166" s="21" t="str">
        <f>IFERROR(VLOOKUP($G166,'02_REFERENCE'!$A$2:$S$99,4,FALSE),"N/A")</f>
        <v>Denial of Service</v>
      </c>
      <c r="E166" s="21" t="str">
        <f>IFERROR(VLOOKUP($G166,'02_REFERENCE'!$A$2:$S$99,15,FALSE),"N/A")</f>
        <v>Medium</v>
      </c>
      <c r="F166" s="21" t="str">
        <f>IFERROR(VLOOKUP($G166,'02_REFERENCE'!$A$2:$S$99,17,FALSE),"N/A")</f>
        <v>Yes</v>
      </c>
      <c r="G166" s="21" t="inlineStr">
        <is>
          <t>S1-RT-029</t>
        </is>
      </c>
      <c r="H166" s="21" t="inlineStr">
        <is>
          <t>Duplicate</t>
        </is>
      </c>
      <c r="I166" s="21" t="inlineStr">
        <is>
          <t>TP</t>
        </is>
      </c>
      <c r="J166" s="21" t="inlineStr">
        <is>
          <t>L</t>
        </is>
      </c>
      <c r="K166" s="21" t="inlineStr">
        <is>
          <t>N</t>
        </is>
      </c>
      <c r="L166" s="21" t="inlineStr">
        <is>
          <t>Yes</t>
        </is>
      </c>
      <c r="M166" s="21" t="inlineStr">
        <is>
          <t>CHATGPT-S1-F015</t>
        </is>
      </c>
      <c r="N166" s="22" t="inlineStr">
        <is>
          <t>Mechanism class llm_unavailable; evidence: hange account information. If LLM [Equivalence: restates CHATGPT-S1-F015 — one-to-one rule applied.]</t>
        </is>
      </c>
      <c r="O166" s="5" t="inlineStr">
        <is>
          <t>llm_unavailable</t>
        </is>
      </c>
      <c r="P166" s="16" t="inlineStr">
        <is>
          <t>LLM-Initiated Account Action</t>
        </is>
      </c>
      <c r="Q166" s="16" t="inlineStr">
        <is>
          <t>EE1 → P4/P5 → application behavior</t>
        </is>
      </c>
      <c r="R166" s="16" t="inlineStr"/>
      <c r="S166" s="5" t="inlineStr">
        <is>
          <t>Manual review</t>
        </is>
      </c>
    </row>
    <row r="167" ht="16" customHeight="1">
      <c r="A167" s="5" t="inlineStr">
        <is>
          <t>CHATGPT-S1-F033</t>
        </is>
      </c>
      <c r="B167" s="5" t="inlineStr">
        <is>
          <t>CHATGPT</t>
        </is>
      </c>
      <c r="C167" s="5" t="inlineStr">
        <is>
          <t>S1</t>
        </is>
      </c>
      <c r="D167" s="21" t="str">
        <f>IFERROR(VLOOKUP($G167,'02_REFERENCE'!$A$2:$S$99,4,FALSE),"N/A")</f>
        <v>Spoofing</v>
      </c>
      <c r="E167" s="21" t="str">
        <f>IFERROR(VLOOKUP($G167,'02_REFERENCE'!$A$2:$S$99,15,FALSE),"N/A")</f>
        <v>High</v>
      </c>
      <c r="F167" s="21" t="str">
        <f>IFERROR(VLOOKUP($G167,'02_REFERENCE'!$A$2:$S$99,17,FALSE),"N/A")</f>
        <v>No</v>
      </c>
      <c r="G167" s="21" t="inlineStr">
        <is>
          <t>S1-RT-001</t>
        </is>
      </c>
      <c r="H167" s="21" t="inlineStr">
        <is>
          <t>Duplicate</t>
        </is>
      </c>
      <c r="I167" s="21" t="inlineStr">
        <is>
          <t>TP</t>
        </is>
      </c>
      <c r="J167" s="21" t="inlineStr">
        <is>
          <t>M</t>
        </is>
      </c>
      <c r="K167" s="21" t="inlineStr">
        <is>
          <t>N</t>
        </is>
      </c>
      <c r="L167" s="21" t="inlineStr">
        <is>
          <t>Yes</t>
        </is>
      </c>
      <c r="M167" s="21" t="inlineStr">
        <is>
          <t>CHATGPT-S1-F051</t>
        </is>
      </c>
      <c r="N167" s="22" t="inlineStr">
        <is>
          <t>Mechanism class brute_force; evidence: guessed, stolen, or manipulated credential [Equivalence: restates CHATGPT-S1-F051 — one-to-one rule applied.]</t>
        </is>
      </c>
      <c r="O167" s="5" t="inlineStr">
        <is>
          <t>brute_force</t>
        </is>
      </c>
      <c r="P167" s="16" t="inlineStr">
        <is>
          <t>Credential Spoofing / Authentication Request Manipulation</t>
        </is>
      </c>
      <c r="Q167" s="16" t="inlineStr">
        <is>
          <t>EE1 → P1 → P2 → DS1</t>
        </is>
      </c>
      <c r="R167" s="16" t="inlineStr"/>
      <c r="S167" s="5" t="inlineStr">
        <is>
          <t>Confirmed</t>
        </is>
      </c>
    </row>
    <row r="168" ht="16" customHeight="1">
      <c r="A168" s="5" t="inlineStr">
        <is>
          <t>CHATGPT-S1-F034</t>
        </is>
      </c>
      <c r="B168" s="5" t="inlineStr">
        <is>
          <t>CHATGPT</t>
        </is>
      </c>
      <c r="C168" s="5" t="inlineStr">
        <is>
          <t>S1</t>
        </is>
      </c>
      <c r="D168" s="21" t="str">
        <f>IFERROR(VLOOKUP($G168,'02_REFERENCE'!$A$2:$S$99,4,FALSE),"N/A")</f>
        <v>N/A</v>
      </c>
      <c r="E168" s="21" t="str">
        <f>IFERROR(VLOOKUP($G168,'02_REFERENCE'!$A$2:$S$99,15,FALSE),"N/A")</f>
        <v>N/A</v>
      </c>
      <c r="F168" s="21" t="str">
        <f>IFERROR(VLOOKUP($G168,'02_REFERENCE'!$A$2:$S$99,17,FALSE),"N/A")</f>
        <v>N/A</v>
      </c>
      <c r="G168" s="21" t="inlineStr"/>
      <c r="H168" s="21" t="inlineStr">
        <is>
          <t>False Positive</t>
        </is>
      </c>
      <c r="I168" s="21" t="inlineStr">
        <is>
          <t>FP</t>
        </is>
      </c>
      <c r="J168" s="21" t="inlineStr">
        <is>
          <t>M</t>
        </is>
      </c>
      <c r="K168" s="21" t="inlineStr">
        <is>
          <t>N</t>
        </is>
      </c>
      <c r="L168" s="21" t="inlineStr">
        <is>
          <t>No</t>
        </is>
      </c>
      <c r="M168" s="21" t="inlineStr"/>
      <c r="N168" s="22" t="inlineStr">
        <is>
          <t>No reference threat corresponds to this finding's mechanism (scoring found no class with sufficient evidence).</t>
        </is>
      </c>
      <c r="O168" s="5" t="inlineStr"/>
      <c r="P168" s="16" t="inlineStr">
        <is>
          <t>Malicious Account Registration</t>
        </is>
      </c>
      <c r="Q168" s="16" t="inlineStr">
        <is>
          <t>EE1 → P1 → P2 → DS1</t>
        </is>
      </c>
      <c r="R168" s="16" t="inlineStr"/>
      <c r="S168" s="5" t="inlineStr">
        <is>
          <t>Confirmed</t>
        </is>
      </c>
    </row>
    <row r="169" ht="16" customHeight="1">
      <c r="A169" s="5" t="inlineStr">
        <is>
          <t>CHATGPT-S1-F035</t>
        </is>
      </c>
      <c r="B169" s="5" t="inlineStr">
        <is>
          <t>CHATGPT</t>
        </is>
      </c>
      <c r="C169" s="5" t="inlineStr">
        <is>
          <t>S1</t>
        </is>
      </c>
      <c r="D169" s="21" t="str">
        <f>IFERROR(VLOOKUP($G169,'02_REFERENCE'!$A$2:$S$99,4,FALSE),"N/A")</f>
        <v>N/A</v>
      </c>
      <c r="E169" s="21" t="str">
        <f>IFERROR(VLOOKUP($G169,'02_REFERENCE'!$A$2:$S$99,15,FALSE),"N/A")</f>
        <v>N/A</v>
      </c>
      <c r="F169" s="21" t="str">
        <f>IFERROR(VLOOKUP($G169,'02_REFERENCE'!$A$2:$S$99,17,FALSE),"N/A")</f>
        <v>N/A</v>
      </c>
      <c r="G169" s="21" t="inlineStr"/>
      <c r="H169" s="21" t="inlineStr">
        <is>
          <t>False Positive</t>
        </is>
      </c>
      <c r="I169" s="21" t="inlineStr">
        <is>
          <t>FP</t>
        </is>
      </c>
      <c r="J169" s="21" t="inlineStr">
        <is>
          <t>M</t>
        </is>
      </c>
      <c r="K169" s="21" t="inlineStr">
        <is>
          <t>N</t>
        </is>
      </c>
      <c r="L169" s="21" t="inlineStr">
        <is>
          <t>No</t>
        </is>
      </c>
      <c r="M169" s="21" t="inlineStr"/>
      <c r="N169" s="22" t="inlineStr">
        <is>
          <t>No reference threat corresponds to this finding's mechanism (scoring found no class with sufficient evidence).</t>
        </is>
      </c>
      <c r="O169" s="5" t="inlineStr"/>
      <c r="P169" s="16" t="inlineStr">
        <is>
          <t>Authentication Request Tampering</t>
        </is>
      </c>
      <c r="Q169" s="16" t="inlineStr">
        <is>
          <t>EE1 → P1 → P2</t>
        </is>
      </c>
      <c r="R169" s="16" t="inlineStr"/>
      <c r="S169" s="5" t="inlineStr">
        <is>
          <t>Confirmed</t>
        </is>
      </c>
    </row>
    <row r="170" ht="16" customHeight="1">
      <c r="A170" s="5" t="inlineStr">
        <is>
          <t>CHATGPT-S1-F036</t>
        </is>
      </c>
      <c r="B170" s="5" t="inlineStr">
        <is>
          <t>CHATGPT</t>
        </is>
      </c>
      <c r="C170" s="5" t="inlineStr">
        <is>
          <t>S1</t>
        </is>
      </c>
      <c r="D170" s="21" t="str">
        <f>IFERROR(VLOOKUP($G170,'02_REFERENCE'!$A$2:$S$99,4,FALSE),"N/A")</f>
        <v>N/A</v>
      </c>
      <c r="E170" s="21" t="str">
        <f>IFERROR(VLOOKUP($G170,'02_REFERENCE'!$A$2:$S$99,15,FALSE),"N/A")</f>
        <v>N/A</v>
      </c>
      <c r="F170" s="21" t="str">
        <f>IFERROR(VLOOKUP($G170,'02_REFERENCE'!$A$2:$S$99,17,FALSE),"N/A")</f>
        <v>N/A</v>
      </c>
      <c r="G170" s="21" t="inlineStr"/>
      <c r="H170" s="21" t="inlineStr">
        <is>
          <t>False Positive</t>
        </is>
      </c>
      <c r="I170" s="21" t="inlineStr">
        <is>
          <t>FP</t>
        </is>
      </c>
      <c r="J170" s="21" t="inlineStr">
        <is>
          <t>M</t>
        </is>
      </c>
      <c r="K170" s="21" t="inlineStr">
        <is>
          <t>N</t>
        </is>
      </c>
      <c r="L170" s="21" t="inlineStr">
        <is>
          <t>No</t>
        </is>
      </c>
      <c r="M170" s="21" t="inlineStr"/>
      <c r="N170" s="22" t="inlineStr">
        <is>
          <t>No reference threat corresponds to this finding's mechanism (scoring found no class with sufficient evidence).</t>
        </is>
      </c>
      <c r="O170" s="5" t="inlineStr"/>
      <c r="P170" s="16" t="inlineStr">
        <is>
          <t>Unauthorized Access to Password Hashes</t>
        </is>
      </c>
      <c r="Q170" s="16" t="inlineStr">
        <is>
          <t>P2 ↔ DS1; P4/P5 must not access password hashes</t>
        </is>
      </c>
      <c r="R170" s="16" t="inlineStr"/>
      <c r="S170" s="5" t="inlineStr">
        <is>
          <t>Confirmed</t>
        </is>
      </c>
    </row>
    <row r="171" ht="16" customHeight="1">
      <c r="A171" s="5" t="inlineStr">
        <is>
          <t>CHATGPT-S1-F037</t>
        </is>
      </c>
      <c r="B171" s="5" t="inlineStr">
        <is>
          <t>CHATGPT</t>
        </is>
      </c>
      <c r="C171" s="5" t="inlineStr">
        <is>
          <t>S1</t>
        </is>
      </c>
      <c r="D171" s="21" t="str">
        <f>IFERROR(VLOOKUP($G171,'02_REFERENCE'!$A$2:$S$99,4,FALSE),"N/A")</f>
        <v>Spoofing</v>
      </c>
      <c r="E171" s="21" t="str">
        <f>IFERROR(VLOOKUP($G171,'02_REFERENCE'!$A$2:$S$99,15,FALSE),"N/A")</f>
        <v>Critical</v>
      </c>
      <c r="F171" s="21" t="str">
        <f>IFERROR(VLOOKUP($G171,'02_REFERENCE'!$A$2:$S$99,17,FALSE),"N/A")</f>
        <v>No</v>
      </c>
      <c r="G171" s="21" t="inlineStr">
        <is>
          <t>S1-RT-014</t>
        </is>
      </c>
      <c r="H171" s="21" t="inlineStr">
        <is>
          <t>Duplicate</t>
        </is>
      </c>
      <c r="I171" s="21" t="inlineStr">
        <is>
          <t>TP</t>
        </is>
      </c>
      <c r="J171" s="21" t="inlineStr">
        <is>
          <t>H</t>
        </is>
      </c>
      <c r="K171" s="21" t="inlineStr">
        <is>
          <t>N</t>
        </is>
      </c>
      <c r="L171" s="21" t="inlineStr">
        <is>
          <t>Yes</t>
        </is>
      </c>
      <c r="M171" s="21" t="inlineStr">
        <is>
          <t>CHATGPT-S1-F003</t>
        </is>
      </c>
      <c r="N171" s="22" t="inlineStr">
        <is>
          <t>Mechanism class transit_token; evidence: Token Expos; Exposure A session identifier or token; Session Token Expos; Session Token Exposure; Exposure A session identifier [Equivalence: restates CHATGPT-S1-F003 — one-to-one rule applied.]</t>
        </is>
      </c>
      <c r="O171" s="5" t="inlineStr">
        <is>
          <t>transit_token</t>
        </is>
      </c>
      <c r="P171" s="16" t="inlineStr">
        <is>
          <t>Session Token Exposure</t>
        </is>
      </c>
      <c r="Q171" s="16" t="inlineStr">
        <is>
          <t>P3 ↔ DS2; P3/P1/P4/P5 boundaries</t>
        </is>
      </c>
      <c r="R171" s="16" t="inlineStr"/>
      <c r="S171" s="5" t="inlineStr">
        <is>
          <t>Confirmed</t>
        </is>
      </c>
    </row>
    <row r="172" ht="16" customHeight="1">
      <c r="A172" s="5" t="inlineStr">
        <is>
          <t>CHATGPT-S1-F038</t>
        </is>
      </c>
      <c r="B172" s="5" t="inlineStr">
        <is>
          <t>CHATGPT</t>
        </is>
      </c>
      <c r="C172" s="5" t="inlineStr">
        <is>
          <t>S1</t>
        </is>
      </c>
      <c r="D172" s="21" t="str">
        <f>IFERROR(VLOOKUP($G172,'02_REFERENCE'!$A$2:$S$99,4,FALSE),"N/A")</f>
        <v>Tampering</v>
      </c>
      <c r="E172" s="21" t="str">
        <f>IFERROR(VLOOKUP($G172,'02_REFERENCE'!$A$2:$S$99,15,FALSE),"N/A")</f>
        <v>High</v>
      </c>
      <c r="F172" s="21" t="str">
        <f>IFERROR(VLOOKUP($G172,'02_REFERENCE'!$A$2:$S$99,17,FALSE),"N/A")</f>
        <v>Yes</v>
      </c>
      <c r="G172" s="21" t="inlineStr">
        <is>
          <t>S1-RT-022</t>
        </is>
      </c>
      <c r="H172" s="21" t="inlineStr">
        <is>
          <t>Duplicate</t>
        </is>
      </c>
      <c r="I172" s="21" t="inlineStr">
        <is>
          <t>TP</t>
        </is>
      </c>
      <c r="J172" s="21" t="inlineStr">
        <is>
          <t>H</t>
        </is>
      </c>
      <c r="K172" s="21" t="inlineStr">
        <is>
          <t>N</t>
        </is>
      </c>
      <c r="L172" s="21" t="inlineStr">
        <is>
          <t>Yes</t>
        </is>
      </c>
      <c r="M172" s="21" t="inlineStr">
        <is>
          <t>CHATGPT-S1-F016</t>
        </is>
      </c>
      <c r="N172" s="22" t="inlineStr">
        <is>
          <t>Mechanism class prompt_injection_direct; evidence: Direct Prompt Injection; Prompt Inject; Injection A user submits a chatbot prompt; Prompt Inject [Equivalence: restates CHATGPT-S1-F016 — one-to-one rule applied.]</t>
        </is>
      </c>
      <c r="O172" s="5" t="inlineStr">
        <is>
          <t>prompt_injection_direct</t>
        </is>
      </c>
      <c r="P172" s="16" t="inlineStr">
        <is>
          <t>Direct Prompt Injection</t>
        </is>
      </c>
      <c r="Q172" s="16" t="inlineStr">
        <is>
          <t>EE1 → P1 → P4 → P5 → EE2</t>
        </is>
      </c>
      <c r="R172" s="16" t="inlineStr"/>
      <c r="S172" s="5" t="inlineStr">
        <is>
          <t>Confirmed</t>
        </is>
      </c>
    </row>
    <row r="173" ht="16" customHeight="1">
      <c r="A173" s="5" t="inlineStr">
        <is>
          <t>CHATGPT-S1-F039</t>
        </is>
      </c>
      <c r="B173" s="5" t="inlineStr">
        <is>
          <t>CHATGPT</t>
        </is>
      </c>
      <c r="C173" s="5" t="inlineStr">
        <is>
          <t>S1</t>
        </is>
      </c>
      <c r="D173" s="21" t="str">
        <f>IFERROR(VLOOKUP($G173,'02_REFERENCE'!$A$2:$S$99,4,FALSE),"N/A")</f>
        <v>Tampering</v>
      </c>
      <c r="E173" s="21" t="str">
        <f>IFERROR(VLOOKUP($G173,'02_REFERENCE'!$A$2:$S$99,15,FALSE),"N/A")</f>
        <v>High</v>
      </c>
      <c r="F173" s="21" t="str">
        <f>IFERROR(VLOOKUP($G173,'02_REFERENCE'!$A$2:$S$99,17,FALSE),"N/A")</f>
        <v>Yes</v>
      </c>
      <c r="G173" s="21" t="inlineStr">
        <is>
          <t>S1-RT-023</t>
        </is>
      </c>
      <c r="H173" s="21" t="inlineStr">
        <is>
          <t>Primary TP</t>
        </is>
      </c>
      <c r="I173" s="21" t="inlineStr">
        <is>
          <t>TP</t>
        </is>
      </c>
      <c r="J173" s="21" t="inlineStr">
        <is>
          <t>H</t>
        </is>
      </c>
      <c r="K173" s="21" t="inlineStr">
        <is>
          <t>Y</t>
        </is>
      </c>
      <c r="L173" s="21" t="inlineStr">
        <is>
          <t>No</t>
        </is>
      </c>
      <c r="M173" s="21" t="inlineStr"/>
      <c r="N173" s="22" t="inlineStr">
        <is>
          <t>Mechanism class prompt_injection_indirect; evidence: Injection Through Context Content; embedded instructions</t>
        </is>
      </c>
      <c r="O173" s="5" t="inlineStr">
        <is>
          <t>prompt_injection_indirect</t>
        </is>
      </c>
      <c r="P173" s="16" t="inlineStr">
        <is>
          <t>Malicious Instruction Injection Through Context</t>
        </is>
      </c>
      <c r="Q173" s="16" t="inlineStr">
        <is>
          <t>DS3 → P4/P5 → EE2</t>
        </is>
      </c>
      <c r="R173" s="16" t="inlineStr"/>
      <c r="S173" s="5" t="inlineStr">
        <is>
          <t>Confirmed</t>
        </is>
      </c>
    </row>
    <row r="174" ht="16" customHeight="1">
      <c r="A174" s="5" t="inlineStr">
        <is>
          <t>CHATGPT-S1-F040</t>
        </is>
      </c>
      <c r="B174" s="5" t="inlineStr">
        <is>
          <t>CHATGPT</t>
        </is>
      </c>
      <c r="C174" s="5" t="inlineStr">
        <is>
          <t>S1</t>
        </is>
      </c>
      <c r="D174" s="21" t="str">
        <f>IFERROR(VLOOKUP($G174,'02_REFERENCE'!$A$2:$S$99,4,FALSE),"N/A")</f>
        <v>Information Disclosure</v>
      </c>
      <c r="E174" s="21" t="str">
        <f>IFERROR(VLOOKUP($G174,'02_REFERENCE'!$A$2:$S$99,15,FALSE),"N/A")</f>
        <v>High</v>
      </c>
      <c r="F174" s="21" t="str">
        <f>IFERROR(VLOOKUP($G174,'02_REFERENCE'!$A$2:$S$99,17,FALSE),"N/A")</f>
        <v>Yes</v>
      </c>
      <c r="G174" s="21" t="inlineStr">
        <is>
          <t>S1-RT-024</t>
        </is>
      </c>
      <c r="H174" s="21" t="inlineStr">
        <is>
          <t>Primary TP</t>
        </is>
      </c>
      <c r="I174" s="21" t="inlineStr">
        <is>
          <t>TP</t>
        </is>
      </c>
      <c r="J174" s="21" t="inlineStr">
        <is>
          <t>H</t>
        </is>
      </c>
      <c r="K174" s="21" t="inlineStr">
        <is>
          <t>Y</t>
        </is>
      </c>
      <c r="L174" s="21" t="inlineStr">
        <is>
          <t>No</t>
        </is>
      </c>
      <c r="M174" s="21" t="inlineStr"/>
      <c r="N174" s="22" t="inlineStr">
        <is>
          <t>Mechanism class sensitive_to_llm; evidence: Sensitive Information Disclosure A malicious prompt; Disclosure A malicious prompt attempts to cause the LLM</t>
        </is>
      </c>
      <c r="O174" s="5" t="inlineStr">
        <is>
          <t>sensitive_to_llm</t>
        </is>
      </c>
      <c r="P174" s="16" t="inlineStr">
        <is>
          <t>LLM-Assisted Sensitive Information Disclosure</t>
        </is>
      </c>
      <c r="Q174" s="16" t="inlineStr">
        <is>
          <t>P5 → EE2 → P5 → P4 → P1 → EE1</t>
        </is>
      </c>
      <c r="R174" s="16" t="inlineStr"/>
      <c r="S174" s="5" t="inlineStr">
        <is>
          <t>Confirmed</t>
        </is>
      </c>
    </row>
    <row r="175" ht="16" customHeight="1">
      <c r="A175" s="5" t="inlineStr">
        <is>
          <t>CHATGPT-S1-F041</t>
        </is>
      </c>
      <c r="B175" s="5" t="inlineStr">
        <is>
          <t>CHATGPT</t>
        </is>
      </c>
      <c r="C175" s="5" t="inlineStr">
        <is>
          <t>S1</t>
        </is>
      </c>
      <c r="D175" s="21" t="str">
        <f>IFERROR(VLOOKUP($G175,'02_REFERENCE'!$A$2:$S$99,4,FALSE),"N/A")</f>
        <v>N/A</v>
      </c>
      <c r="E175" s="21" t="str">
        <f>IFERROR(VLOOKUP($G175,'02_REFERENCE'!$A$2:$S$99,15,FALSE),"N/A")</f>
        <v>N/A</v>
      </c>
      <c r="F175" s="21" t="str">
        <f>IFERROR(VLOOKUP($G175,'02_REFERENCE'!$A$2:$S$99,17,FALSE),"N/A")</f>
        <v>N/A</v>
      </c>
      <c r="G175" s="21" t="inlineStr"/>
      <c r="H175" s="21" t="inlineStr">
        <is>
          <t>False Positive</t>
        </is>
      </c>
      <c r="I175" s="21" t="inlineStr">
        <is>
          <t>FP</t>
        </is>
      </c>
      <c r="J175" s="21" t="inlineStr">
        <is>
          <t>M</t>
        </is>
      </c>
      <c r="K175" s="21" t="inlineStr">
        <is>
          <t>N</t>
        </is>
      </c>
      <c r="L175" s="21" t="inlineStr">
        <is>
          <t>No</t>
        </is>
      </c>
      <c r="M175" s="21" t="inlineStr"/>
      <c r="N175" s="22" t="inlineStr">
        <is>
          <t>No reference threat corresponds to this finding's mechanism (scoring found no class with sufficient evidence).</t>
        </is>
      </c>
      <c r="O175" s="5" t="inlineStr"/>
      <c r="P175" s="16" t="inlineStr">
        <is>
          <t>Unauthorized Data Inclusion in LLM Prompts</t>
        </is>
      </c>
      <c r="Q175" s="16" t="inlineStr">
        <is>
          <t>P5 → EE2</t>
        </is>
      </c>
      <c r="R175" s="16" t="inlineStr"/>
      <c r="S175" s="5" t="inlineStr">
        <is>
          <t>Confirmed</t>
        </is>
      </c>
    </row>
    <row r="176" ht="16" customHeight="1">
      <c r="A176" s="5" t="inlineStr">
        <is>
          <t>CHATGPT-S1-F042</t>
        </is>
      </c>
      <c r="B176" s="5" t="inlineStr">
        <is>
          <t>CHATGPT</t>
        </is>
      </c>
      <c r="C176" s="5" t="inlineStr">
        <is>
          <t>S1</t>
        </is>
      </c>
      <c r="D176" s="21" t="str">
        <f>IFERROR(VLOOKUP($G176,'02_REFERENCE'!$A$2:$S$99,4,FALSE),"N/A")</f>
        <v>N/A</v>
      </c>
      <c r="E176" s="21" t="str">
        <f>IFERROR(VLOOKUP($G176,'02_REFERENCE'!$A$2:$S$99,15,FALSE),"N/A")</f>
        <v>N/A</v>
      </c>
      <c r="F176" s="21" t="str">
        <f>IFERROR(VLOOKUP($G176,'02_REFERENCE'!$A$2:$S$99,17,FALSE),"N/A")</f>
        <v>N/A</v>
      </c>
      <c r="G176" s="21" t="inlineStr"/>
      <c r="H176" s="21" t="inlineStr">
        <is>
          <t>False Positive</t>
        </is>
      </c>
      <c r="I176" s="21" t="inlineStr">
        <is>
          <t>FP</t>
        </is>
      </c>
      <c r="J176" s="21" t="inlineStr">
        <is>
          <t>H</t>
        </is>
      </c>
      <c r="K176" s="21" t="inlineStr">
        <is>
          <t>N</t>
        </is>
      </c>
      <c r="L176" s="21" t="inlineStr">
        <is>
          <t>No</t>
        </is>
      </c>
      <c r="M176" s="21" t="inlineStr"/>
      <c r="N176" s="22" t="inlineStr">
        <is>
          <t>Template-class malicious_upload (no reference threat): malicious content; returns manipulated or malicious content</t>
        </is>
      </c>
      <c r="O176" s="5" t="inlineStr">
        <is>
          <t>malicious_upload</t>
        </is>
      </c>
      <c r="P176" s="16" t="inlineStr">
        <is>
          <t>Malicious LLM Output Injection</t>
        </is>
      </c>
      <c r="Q176" s="16" t="inlineStr">
        <is>
          <t>EE2 → P5 → P4 → P1 → EE1</t>
        </is>
      </c>
      <c r="R176" s="16" t="inlineStr"/>
      <c r="S176" s="5" t="inlineStr">
        <is>
          <t>Confirmed</t>
        </is>
      </c>
    </row>
    <row r="177" ht="16" customHeight="1">
      <c r="A177" s="5" t="inlineStr">
        <is>
          <t>CHATGPT-S1-F043</t>
        </is>
      </c>
      <c r="B177" s="5" t="inlineStr">
        <is>
          <t>CHATGPT</t>
        </is>
      </c>
      <c r="C177" s="5" t="inlineStr">
        <is>
          <t>S1</t>
        </is>
      </c>
      <c r="D177" s="21" t="str">
        <f>IFERROR(VLOOKUP($G177,'02_REFERENCE'!$A$2:$S$99,4,FALSE),"N/A")</f>
        <v>Information Disclosure</v>
      </c>
      <c r="E177" s="21" t="str">
        <f>IFERROR(VLOOKUP($G177,'02_REFERENCE'!$A$2:$S$99,15,FALSE),"N/A")</f>
        <v>High</v>
      </c>
      <c r="F177" s="21" t="str">
        <f>IFERROR(VLOOKUP($G177,'02_REFERENCE'!$A$2:$S$99,17,FALSE),"N/A")</f>
        <v>No</v>
      </c>
      <c r="G177" s="21" t="inlineStr">
        <is>
          <t>S1-RT-020</t>
        </is>
      </c>
      <c r="H177" s="21" t="inlineStr">
        <is>
          <t>Duplicate</t>
        </is>
      </c>
      <c r="I177" s="21" t="inlineStr">
        <is>
          <t>TP</t>
        </is>
      </c>
      <c r="J177" s="21" t="inlineStr">
        <is>
          <t>L</t>
        </is>
      </c>
      <c r="K177" s="21" t="inlineStr">
        <is>
          <t>N</t>
        </is>
      </c>
      <c r="L177" s="21" t="inlineStr">
        <is>
          <t>Yes</t>
        </is>
      </c>
      <c r="M177" s="21" t="inlineStr">
        <is>
          <t>CHATGPT-S1-F066</t>
        </is>
      </c>
      <c r="N177" s="22" t="inlineStr">
        <is>
          <t>Mechanism class api_key; evidence: credentials are valid. A manipulated LLM [Equivalence: restates CHATGPT-S1-F066 — one-to-one rule applied.]</t>
        </is>
      </c>
      <c r="O177" s="5" t="inlineStr">
        <is>
          <t>api_key</t>
        </is>
      </c>
      <c r="P177" s="16" t="inlineStr">
        <is>
          <t>AI Authentication Decision Bypass</t>
        </is>
      </c>
      <c r="Q177" s="16" t="inlineStr">
        <is>
          <t>EE1 → P4/P5 → P1; P2 remains authentication authority</t>
        </is>
      </c>
      <c r="R177" s="16" t="inlineStr"/>
      <c r="S177" s="5" t="inlineStr">
        <is>
          <t>Manual review</t>
        </is>
      </c>
    </row>
    <row r="178" ht="16" customHeight="1">
      <c r="A178" s="5" t="inlineStr">
        <is>
          <t>CHATGPT-S1-F044</t>
        </is>
      </c>
      <c r="B178" s="5" t="inlineStr">
        <is>
          <t>CHATGPT</t>
        </is>
      </c>
      <c r="C178" s="5" t="inlineStr">
        <is>
          <t>S1</t>
        </is>
      </c>
      <c r="D178" s="21" t="str">
        <f>IFERROR(VLOOKUP($G178,'02_REFERENCE'!$A$2:$S$99,4,FALSE),"N/A")</f>
        <v>N/A</v>
      </c>
      <c r="E178" s="21" t="str">
        <f>IFERROR(VLOOKUP($G178,'02_REFERENCE'!$A$2:$S$99,15,FALSE),"N/A")</f>
        <v>N/A</v>
      </c>
      <c r="F178" s="21" t="str">
        <f>IFERROR(VLOOKUP($G178,'02_REFERENCE'!$A$2:$S$99,17,FALSE),"N/A")</f>
        <v>N/A</v>
      </c>
      <c r="G178" s="21" t="inlineStr"/>
      <c r="H178" s="21" t="inlineStr">
        <is>
          <t>False Positive</t>
        </is>
      </c>
      <c r="I178" s="21" t="inlineStr">
        <is>
          <t>FP</t>
        </is>
      </c>
      <c r="J178" s="21" t="inlineStr">
        <is>
          <t>M</t>
        </is>
      </c>
      <c r="K178" s="21" t="inlineStr">
        <is>
          <t>N</t>
        </is>
      </c>
      <c r="L178" s="21" t="inlineStr">
        <is>
          <t>No</t>
        </is>
      </c>
      <c r="M178" s="21" t="inlineStr"/>
      <c r="N178" s="22" t="inlineStr">
        <is>
          <t>Template-class access_bypass_logic (no reference threat): authorized account modification, authentication bypass</t>
        </is>
      </c>
      <c r="O178" s="5" t="inlineStr">
        <is>
          <t>access_bypass_logic</t>
        </is>
      </c>
      <c r="P178" s="16" t="inlineStr">
        <is>
          <t>Unauthorized AI Action Execution</t>
        </is>
      </c>
      <c r="Q178" s="16" t="inlineStr">
        <is>
          <t>EE1 → P4 → P5 → application environment</t>
        </is>
      </c>
      <c r="R178" s="16" t="inlineStr"/>
      <c r="S178" s="5" t="inlineStr">
        <is>
          <t>Confirmed</t>
        </is>
      </c>
    </row>
    <row r="179" ht="16" customHeight="1">
      <c r="A179" s="5" t="inlineStr">
        <is>
          <t>CHATGPT-S1-F045</t>
        </is>
      </c>
      <c r="B179" s="5" t="inlineStr">
        <is>
          <t>CHATGPT</t>
        </is>
      </c>
      <c r="C179" s="5" t="inlineStr">
        <is>
          <t>S1</t>
        </is>
      </c>
      <c r="D179" s="21" t="str">
        <f>IFERROR(VLOOKUP($G179,'02_REFERENCE'!$A$2:$S$99,4,FALSE),"N/A")</f>
        <v>Spoofing</v>
      </c>
      <c r="E179" s="21" t="str">
        <f>IFERROR(VLOOKUP($G179,'02_REFERENCE'!$A$2:$S$99,15,FALSE),"N/A")</f>
        <v>Critical</v>
      </c>
      <c r="F179" s="21" t="str">
        <f>IFERROR(VLOOKUP($G179,'02_REFERENCE'!$A$2:$S$99,17,FALSE),"N/A")</f>
        <v>No</v>
      </c>
      <c r="G179" s="21" t="inlineStr">
        <is>
          <t>S1-RT-004</t>
        </is>
      </c>
      <c r="H179" s="21" t="inlineStr">
        <is>
          <t>Duplicate</t>
        </is>
      </c>
      <c r="I179" s="21" t="inlineStr">
        <is>
          <t>TP</t>
        </is>
      </c>
      <c r="J179" s="21" t="inlineStr">
        <is>
          <t>M</t>
        </is>
      </c>
      <c r="K179" s="21" t="inlineStr">
        <is>
          <t>N</t>
        </is>
      </c>
      <c r="L179" s="21" t="inlineStr">
        <is>
          <t>Yes</t>
        </is>
      </c>
      <c r="M179" s="21" t="inlineStr">
        <is>
          <t>CHATGPT-S1-F002</t>
        </is>
      </c>
      <c r="N179" s="22" t="inlineStr">
        <is>
          <t>Mechanism class auth_bypass_logic; evidence: Authentication Bypass [Equivalence: restates CHATGPT-S1-F002 — one-to-one rule applied.]</t>
        </is>
      </c>
      <c r="O179" s="5" t="inlineStr">
        <is>
          <t>auth_bypass_logic</t>
        </is>
      </c>
      <c r="P179" s="16" t="inlineStr">
        <is>
          <t>Chatbot-Based Authentication Bypass</t>
        </is>
      </c>
      <c r="Q179" s="16" t="inlineStr">
        <is>
          <t>EE1 → P1 → P4/P5; P2/P3</t>
        </is>
      </c>
      <c r="R179" s="16" t="inlineStr"/>
      <c r="S179" s="5" t="inlineStr">
        <is>
          <t>Confirmed</t>
        </is>
      </c>
    </row>
    <row r="180" ht="16" customHeight="1">
      <c r="A180" s="5" t="inlineStr">
        <is>
          <t>CHATGPT-S1-F046</t>
        </is>
      </c>
      <c r="B180" s="5" t="inlineStr">
        <is>
          <t>CHATGPT</t>
        </is>
      </c>
      <c r="C180" s="5" t="inlineStr">
        <is>
          <t>S1</t>
        </is>
      </c>
      <c r="D180" s="21" t="str">
        <f>IFERROR(VLOOKUP($G180,'02_REFERENCE'!$A$2:$S$99,4,FALSE),"N/A")</f>
        <v>N/A</v>
      </c>
      <c r="E180" s="21" t="str">
        <f>IFERROR(VLOOKUP($G180,'02_REFERENCE'!$A$2:$S$99,15,FALSE),"N/A")</f>
        <v>N/A</v>
      </c>
      <c r="F180" s="21" t="str">
        <f>IFERROR(VLOOKUP($G180,'02_REFERENCE'!$A$2:$S$99,17,FALSE),"N/A")</f>
        <v>N/A</v>
      </c>
      <c r="G180" s="21" t="inlineStr"/>
      <c r="H180" s="21" t="inlineStr">
        <is>
          <t>False Positive</t>
        </is>
      </c>
      <c r="I180" s="21" t="inlineStr">
        <is>
          <t>FP</t>
        </is>
      </c>
      <c r="J180" s="21" t="inlineStr">
        <is>
          <t>M</t>
        </is>
      </c>
      <c r="K180" s="21" t="inlineStr">
        <is>
          <t>N</t>
        </is>
      </c>
      <c r="L180" s="21" t="inlineStr">
        <is>
          <t>No</t>
        </is>
      </c>
      <c r="M180" s="21" t="inlineStr"/>
      <c r="N180" s="22" t="inlineStr">
        <is>
          <t>No reference threat corresponds to this finding's mechanism (scoring found no class with sufficient evidence).</t>
        </is>
      </c>
      <c r="O180" s="5" t="inlineStr"/>
      <c r="P180" s="16" t="inlineStr">
        <is>
          <t>Session Hijacking</t>
        </is>
      </c>
      <c r="Q180" s="16" t="inlineStr">
        <is>
          <t>P3 ↔ DS2</t>
        </is>
      </c>
      <c r="R180" s="16" t="inlineStr"/>
      <c r="S180" s="5" t="inlineStr">
        <is>
          <t>Confirmed</t>
        </is>
      </c>
    </row>
    <row r="181" ht="16" customHeight="1">
      <c r="A181" s="5" t="inlineStr">
        <is>
          <t>CHATGPT-S1-F047</t>
        </is>
      </c>
      <c r="B181" s="5" t="inlineStr">
        <is>
          <t>CHATGPT</t>
        </is>
      </c>
      <c r="C181" s="5" t="inlineStr">
        <is>
          <t>S1</t>
        </is>
      </c>
      <c r="D181" s="21" t="str">
        <f>IFERROR(VLOOKUP($G181,'02_REFERENCE'!$A$2:$S$99,4,FALSE),"N/A")</f>
        <v>Spoofing</v>
      </c>
      <c r="E181" s="21" t="str">
        <f>IFERROR(VLOOKUP($G181,'02_REFERENCE'!$A$2:$S$99,15,FALSE),"N/A")</f>
        <v>Critical</v>
      </c>
      <c r="F181" s="21" t="str">
        <f>IFERROR(VLOOKUP($G181,'02_REFERENCE'!$A$2:$S$99,17,FALSE),"N/A")</f>
        <v>No</v>
      </c>
      <c r="G181" s="21" t="inlineStr">
        <is>
          <t>S1-RT-004</t>
        </is>
      </c>
      <c r="H181" s="21" t="inlineStr">
        <is>
          <t>Duplicate</t>
        </is>
      </c>
      <c r="I181" s="21" t="inlineStr">
        <is>
          <t>TP</t>
        </is>
      </c>
      <c r="J181" s="21" t="inlineStr">
        <is>
          <t>L</t>
        </is>
      </c>
      <c r="K181" s="21" t="inlineStr">
        <is>
          <t>N</t>
        </is>
      </c>
      <c r="L181" s="21" t="inlineStr">
        <is>
          <t>Yes</t>
        </is>
      </c>
      <c r="M181" s="21" t="inlineStr">
        <is>
          <t>CHATGPT-S1-F002</t>
        </is>
      </c>
      <c r="N181" s="22" t="inlineStr">
        <is>
          <t>Mechanism class auth_bypass_logic; evidence: Authentication bypass [Equivalence: restates CHATGPT-S1-F002 — one-to-one rule applied.]</t>
        </is>
      </c>
      <c r="O181" s="5" t="inlineStr">
        <is>
          <t>auth_bypass_logic</t>
        </is>
      </c>
      <c r="P181" s="16" t="inlineStr">
        <is>
          <t>Unauthorized Session Creation or Persistence</t>
        </is>
      </c>
      <c r="Q181" s="16" t="inlineStr">
        <is>
          <t>P2 → P3 → DS2</t>
        </is>
      </c>
      <c r="R181" s="16" t="inlineStr"/>
      <c r="S181" s="5" t="inlineStr">
        <is>
          <t>Manual review</t>
        </is>
      </c>
    </row>
    <row r="182" ht="16" customHeight="1">
      <c r="A182" s="5" t="inlineStr">
        <is>
          <t>CHATGPT-S1-F048</t>
        </is>
      </c>
      <c r="B182" s="5" t="inlineStr">
        <is>
          <t>CHATGPT</t>
        </is>
      </c>
      <c r="C182" s="5" t="inlineStr">
        <is>
          <t>S1</t>
        </is>
      </c>
      <c r="D182" s="21" t="str">
        <f>IFERROR(VLOOKUP($G182,'02_REFERENCE'!$A$2:$S$99,4,FALSE),"N/A")</f>
        <v>Information Disclosure</v>
      </c>
      <c r="E182" s="21" t="str">
        <f>IFERROR(VLOOKUP($G182,'02_REFERENCE'!$A$2:$S$99,15,FALSE),"N/A")</f>
        <v>Medium</v>
      </c>
      <c r="F182" s="21" t="str">
        <f>IFERROR(VLOOKUP($G182,'02_REFERENCE'!$A$2:$S$99,17,FALSE),"N/A")</f>
        <v>Yes</v>
      </c>
      <c r="G182" s="21" t="inlineStr">
        <is>
          <t>S1-RT-026</t>
        </is>
      </c>
      <c r="H182" s="21" t="inlineStr">
        <is>
          <t>Duplicate</t>
        </is>
      </c>
      <c r="I182" s="21" t="inlineStr">
        <is>
          <t>TP</t>
        </is>
      </c>
      <c r="J182" s="21" t="inlineStr">
        <is>
          <t>M</t>
        </is>
      </c>
      <c r="K182" s="21" t="inlineStr">
        <is>
          <t>N</t>
        </is>
      </c>
      <c r="L182" s="21" t="inlineStr">
        <is>
          <t>Yes</t>
        </is>
      </c>
      <c r="M182" s="21" t="inlineStr">
        <is>
          <t>CHATGPT-S1-F060</t>
        </is>
      </c>
      <c r="N182" s="22" t="inlineStr">
        <is>
          <t>Mechanism class kb_disclosure; evidence: context provided to P4/P5. Disclos [Equivalence: restates CHATGPT-S1-F060 — one-to-one rule applied.]</t>
        </is>
      </c>
      <c r="O182" s="5" t="inlineStr">
        <is>
          <t>kb_disclosure</t>
        </is>
      </c>
      <c r="P182" s="16" t="inlineStr">
        <is>
          <t>Session Metadata Disclosure</t>
        </is>
      </c>
      <c r="Q182" s="16" t="inlineStr">
        <is>
          <t>P3/DS2 → P1/P4/P5</t>
        </is>
      </c>
      <c r="R182" s="16" t="inlineStr"/>
      <c r="S182" s="5" t="inlineStr">
        <is>
          <t>Confirmed</t>
        </is>
      </c>
    </row>
    <row r="183" ht="16" customHeight="1">
      <c r="A183" s="5" t="inlineStr">
        <is>
          <t>CHATGPT-S1-F049</t>
        </is>
      </c>
      <c r="B183" s="5" t="inlineStr">
        <is>
          <t>CHATGPT</t>
        </is>
      </c>
      <c r="C183" s="5" t="inlineStr">
        <is>
          <t>S1</t>
        </is>
      </c>
      <c r="D183" s="21" t="str">
        <f>IFERROR(VLOOKUP($G183,'02_REFERENCE'!$A$2:$S$99,4,FALSE),"N/A")</f>
        <v>Tampering</v>
      </c>
      <c r="E183" s="21" t="str">
        <f>IFERROR(VLOOKUP($G183,'02_REFERENCE'!$A$2:$S$99,15,FALSE),"N/A")</f>
        <v>Critical</v>
      </c>
      <c r="F183" s="21" t="str">
        <f>IFERROR(VLOOKUP($G183,'02_REFERENCE'!$A$2:$S$99,17,FALSE),"N/A")</f>
        <v>Yes</v>
      </c>
      <c r="G183" s="21" t="inlineStr">
        <is>
          <t>S1-RT-033</t>
        </is>
      </c>
      <c r="H183" s="21" t="inlineStr">
        <is>
          <t>Primary TP</t>
        </is>
      </c>
      <c r="I183" s="21" t="inlineStr">
        <is>
          <t>TP</t>
        </is>
      </c>
      <c r="J183" s="21" t="inlineStr">
        <is>
          <t>L</t>
        </is>
      </c>
      <c r="K183" s="21" t="inlineStr">
        <is>
          <t>Y</t>
        </is>
      </c>
      <c r="L183" s="21" t="inlineStr">
        <is>
          <t>No</t>
        </is>
      </c>
      <c r="M183" s="21" t="inlineStr"/>
      <c r="N183" s="22" t="inlineStr">
        <is>
          <t>Mechanism class unsafe_output; evidence: generated content as an actionable command</t>
        </is>
      </c>
      <c r="O183" s="5" t="inlineStr">
        <is>
          <t>unsafe_output</t>
        </is>
      </c>
      <c r="P183" s="16" t="inlineStr">
        <is>
          <t>AI-Assisted Unauthorized Account Modification</t>
        </is>
      </c>
      <c r="Q183" s="16" t="inlineStr">
        <is>
          <t>EE1 → P4/P5 → application environment</t>
        </is>
      </c>
      <c r="R183" s="16" t="inlineStr"/>
      <c r="S183" s="5" t="inlineStr">
        <is>
          <t>Manual review</t>
        </is>
      </c>
    </row>
    <row r="184" ht="16" customHeight="1">
      <c r="A184" s="5" t="inlineStr">
        <is>
          <t>CHATGPT-S1-F050</t>
        </is>
      </c>
      <c r="B184" s="5" t="inlineStr">
        <is>
          <t>CHATGPT</t>
        </is>
      </c>
      <c r="C184" s="5" t="inlineStr">
        <is>
          <t>S1</t>
        </is>
      </c>
      <c r="D184" s="21" t="str">
        <f>IFERROR(VLOOKUP($G184,'02_REFERENCE'!$A$2:$S$99,4,FALSE),"N/A")</f>
        <v>Information Disclosure</v>
      </c>
      <c r="E184" s="21" t="str">
        <f>IFERROR(VLOOKUP($G184,'02_REFERENCE'!$A$2:$S$99,15,FALSE),"N/A")</f>
        <v>Medium</v>
      </c>
      <c r="F184" s="21" t="str">
        <f>IFERROR(VLOOKUP($G184,'02_REFERENCE'!$A$2:$S$99,17,FALSE),"N/A")</f>
        <v>No</v>
      </c>
      <c r="G184" s="21" t="inlineStr">
        <is>
          <t>S1-RT-003</t>
        </is>
      </c>
      <c r="H184" s="21" t="inlineStr">
        <is>
          <t>Duplicate</t>
        </is>
      </c>
      <c r="I184" s="21" t="inlineStr">
        <is>
          <t>TP</t>
        </is>
      </c>
      <c r="J184" s="21" t="inlineStr">
        <is>
          <t>M</t>
        </is>
      </c>
      <c r="K184" s="21" t="inlineStr">
        <is>
          <t>N</t>
        </is>
      </c>
      <c r="L184" s="21" t="inlineStr">
        <is>
          <t>Yes</t>
        </is>
      </c>
      <c r="M184" s="21" t="inlineStr">
        <is>
          <t>CHATGPT-S1-F026</t>
        </is>
      </c>
      <c r="N184" s="22" t="inlineStr">
        <is>
          <t>Mechanism class enumeration; evidence: Enumeration [Equivalence: restates CHATGPT-S1-F026 — one-to-one rule applied.]</t>
        </is>
      </c>
      <c r="O184" s="5" t="inlineStr">
        <is>
          <t>enumeration</t>
        </is>
      </c>
      <c r="P184" s="16" t="inlineStr">
        <is>
          <t>Authentication Enumeration</t>
        </is>
      </c>
      <c r="Q184" s="16" t="inlineStr">
        <is>
          <t>EE1 → P1 → P2 → P1 → EE1</t>
        </is>
      </c>
      <c r="R184" s="16" t="inlineStr"/>
      <c r="S184" s="5" t="inlineStr">
        <is>
          <t>Confirmed</t>
        </is>
      </c>
    </row>
    <row r="185" ht="16" customHeight="1">
      <c r="A185" s="5" t="inlineStr">
        <is>
          <t>CHATGPT-S1-F051</t>
        </is>
      </c>
      <c r="B185" s="5" t="inlineStr">
        <is>
          <t>CHATGPT</t>
        </is>
      </c>
      <c r="C185" s="5" t="inlineStr">
        <is>
          <t>S1</t>
        </is>
      </c>
      <c r="D185" s="21" t="str">
        <f>IFERROR(VLOOKUP($G185,'02_REFERENCE'!$A$2:$S$99,4,FALSE),"N/A")</f>
        <v>Spoofing</v>
      </c>
      <c r="E185" s="21" t="str">
        <f>IFERROR(VLOOKUP($G185,'02_REFERENCE'!$A$2:$S$99,15,FALSE),"N/A")</f>
        <v>High</v>
      </c>
      <c r="F185" s="21" t="str">
        <f>IFERROR(VLOOKUP($G185,'02_REFERENCE'!$A$2:$S$99,17,FALSE),"N/A")</f>
        <v>No</v>
      </c>
      <c r="G185" s="21" t="inlineStr">
        <is>
          <t>S1-RT-001</t>
        </is>
      </c>
      <c r="H185" s="21" t="inlineStr">
        <is>
          <t>Primary TP</t>
        </is>
      </c>
      <c r="I185" s="21" t="inlineStr">
        <is>
          <t>TP</t>
        </is>
      </c>
      <c r="J185" s="21" t="inlineStr">
        <is>
          <t>H</t>
        </is>
      </c>
      <c r="K185" s="21" t="inlineStr">
        <is>
          <t>Y</t>
        </is>
      </c>
      <c r="L185" s="21" t="inlineStr">
        <is>
          <t>No</t>
        </is>
      </c>
      <c r="M185" s="21" t="inlineStr"/>
      <c r="N185" s="22" t="inlineStr">
        <is>
          <t>Mechanism class brute_force; evidence: Repeated Credential Guess; guess the password</t>
        </is>
      </c>
      <c r="O185" s="5" t="inlineStr">
        <is>
          <t>brute_force</t>
        </is>
      </c>
      <c r="P185" s="16" t="inlineStr">
        <is>
          <t>Repeated Credential Guessing</t>
        </is>
      </c>
      <c r="Q185" s="16" t="inlineStr">
        <is>
          <t>EE1 → P1 → P2 → DS1</t>
        </is>
      </c>
      <c r="R185" s="16" t="inlineStr"/>
      <c r="S185" s="5" t="inlineStr">
        <is>
          <t>Confirmed</t>
        </is>
      </c>
    </row>
    <row r="186" ht="16" customHeight="1">
      <c r="A186" s="5" t="inlineStr">
        <is>
          <t>CHATGPT-S1-F052</t>
        </is>
      </c>
      <c r="B186" s="5" t="inlineStr">
        <is>
          <t>CHATGPT</t>
        </is>
      </c>
      <c r="C186" s="5" t="inlineStr">
        <is>
          <t>S1</t>
        </is>
      </c>
      <c r="D186" s="21" t="str">
        <f>IFERROR(VLOOKUP($G186,'02_REFERENCE'!$A$2:$S$99,4,FALSE),"N/A")</f>
        <v>Tampering</v>
      </c>
      <c r="E186" s="21" t="str">
        <f>IFERROR(VLOOKUP($G186,'02_REFERENCE'!$A$2:$S$99,15,FALSE),"N/A")</f>
        <v>High</v>
      </c>
      <c r="F186" s="21" t="str">
        <f>IFERROR(VLOOKUP($G186,'02_REFERENCE'!$A$2:$S$99,17,FALSE),"N/A")</f>
        <v>No</v>
      </c>
      <c r="G186" s="21" t="inlineStr">
        <is>
          <t>S1-RT-017</t>
        </is>
      </c>
      <c r="H186" s="21" t="inlineStr">
        <is>
          <t>Duplicate</t>
        </is>
      </c>
      <c r="I186" s="21" t="inlineStr">
        <is>
          <t>TP</t>
        </is>
      </c>
      <c r="J186" s="21" t="inlineStr">
        <is>
          <t>M</t>
        </is>
      </c>
      <c r="K186" s="21" t="inlineStr">
        <is>
          <t>N</t>
        </is>
      </c>
      <c r="L186" s="21" t="inlineStr">
        <is>
          <t>Yes</t>
        </is>
      </c>
      <c r="M186" s="21" t="inlineStr">
        <is>
          <t>CHATGPT-S1-F005</t>
        </is>
      </c>
      <c r="N186" s="22" t="inlineStr">
        <is>
          <t>Mechanism class session_store_tamper; evidence: stored in DS3 is alter [Equivalence: restates CHATGPT-S1-F005 — one-to-one rule applied.]</t>
        </is>
      </c>
      <c r="O186" s="5" t="inlineStr">
        <is>
          <t>session_store_tamper</t>
        </is>
      </c>
      <c r="P186" s="16" t="inlineStr">
        <is>
          <t>Manipulation of Approved Authentication Context</t>
        </is>
      </c>
      <c r="Q186" s="16" t="inlineStr">
        <is>
          <t>DS3 → P4/P5 → EE2</t>
        </is>
      </c>
      <c r="R186" s="16" t="inlineStr"/>
      <c r="S186" s="5" t="inlineStr">
        <is>
          <t>Confirmed</t>
        </is>
      </c>
    </row>
    <row r="187" ht="16" customHeight="1">
      <c r="A187" s="5" t="inlineStr">
        <is>
          <t>CHATGPT-S1-F053</t>
        </is>
      </c>
      <c r="B187" s="5" t="inlineStr">
        <is>
          <t>CHATGPT</t>
        </is>
      </c>
      <c r="C187" s="5" t="inlineStr">
        <is>
          <t>S1</t>
        </is>
      </c>
      <c r="D187" s="21" t="str">
        <f>IFERROR(VLOOKUP($G187,'02_REFERENCE'!$A$2:$S$99,4,FALSE),"N/A")</f>
        <v>N/A</v>
      </c>
      <c r="E187" s="21" t="str">
        <f>IFERROR(VLOOKUP($G187,'02_REFERENCE'!$A$2:$S$99,15,FALSE),"N/A")</f>
        <v>N/A</v>
      </c>
      <c r="F187" s="21" t="str">
        <f>IFERROR(VLOOKUP($G187,'02_REFERENCE'!$A$2:$S$99,17,FALSE),"N/A")</f>
        <v>N/A</v>
      </c>
      <c r="G187" s="21" t="inlineStr"/>
      <c r="H187" s="21" t="inlineStr">
        <is>
          <t>False Positive</t>
        </is>
      </c>
      <c r="I187" s="21" t="inlineStr">
        <is>
          <t>FP</t>
        </is>
      </c>
      <c r="J187" s="21" t="inlineStr">
        <is>
          <t>L</t>
        </is>
      </c>
      <c r="K187" s="21" t="inlineStr">
        <is>
          <t>N</t>
        </is>
      </c>
      <c r="L187" s="21" t="inlineStr">
        <is>
          <t>No</t>
        </is>
      </c>
      <c r="M187" s="21" t="inlineStr"/>
      <c r="N187" s="22" t="inlineStr">
        <is>
          <t>Template-class malicious_upload (no reference threat): malicious content</t>
        </is>
      </c>
      <c r="O187" s="5" t="inlineStr">
        <is>
          <t>malicious_upload</t>
        </is>
      </c>
      <c r="P187" s="16" t="inlineStr">
        <is>
          <t>Untrusted External LLM Response</t>
        </is>
      </c>
      <c r="Q187" s="16" t="inlineStr">
        <is>
          <t>EE2 → P5 → P4/P1</t>
        </is>
      </c>
      <c r="R187" s="16" t="inlineStr"/>
      <c r="S187" s="5" t="inlineStr">
        <is>
          <t>Manual review</t>
        </is>
      </c>
    </row>
    <row r="188" ht="16" customHeight="1">
      <c r="A188" s="5" t="inlineStr">
        <is>
          <t>CHATGPT-S1-F054</t>
        </is>
      </c>
      <c r="B188" s="5" t="inlineStr">
        <is>
          <t>CHATGPT</t>
        </is>
      </c>
      <c r="C188" s="5" t="inlineStr">
        <is>
          <t>S1</t>
        </is>
      </c>
      <c r="D188" s="21" t="str">
        <f>IFERROR(VLOOKUP($G188,'02_REFERENCE'!$A$2:$S$99,4,FALSE),"N/A")</f>
        <v>Information Disclosure</v>
      </c>
      <c r="E188" s="21" t="str">
        <f>IFERROR(VLOOKUP($G188,'02_REFERENCE'!$A$2:$S$99,15,FALSE),"N/A")</f>
        <v>High</v>
      </c>
      <c r="F188" s="21" t="str">
        <f>IFERROR(VLOOKUP($G188,'02_REFERENCE'!$A$2:$S$99,17,FALSE),"N/A")</f>
        <v>Yes</v>
      </c>
      <c r="G188" s="21" t="inlineStr">
        <is>
          <t>S1-RT-024</t>
        </is>
      </c>
      <c r="H188" s="21" t="inlineStr">
        <is>
          <t>Duplicate</t>
        </is>
      </c>
      <c r="I188" s="21" t="inlineStr">
        <is>
          <t>TP</t>
        </is>
      </c>
      <c r="J188" s="21" t="inlineStr">
        <is>
          <t>M</t>
        </is>
      </c>
      <c r="K188" s="21" t="inlineStr">
        <is>
          <t>N</t>
        </is>
      </c>
      <c r="L188" s="21" t="inlineStr">
        <is>
          <t>Yes</t>
        </is>
      </c>
      <c r="M188" s="21" t="inlineStr">
        <is>
          <t>CHATGPT-S1-F040</t>
        </is>
      </c>
      <c r="N188" s="22" t="inlineStr">
        <is>
          <t>Mechanism class sensitive_to_llm; evidence: transmitted to the third-party LLM provider [Equivalence: restates CHATGPT-S1-F040 — one-to-one rule applied.]</t>
        </is>
      </c>
      <c r="O188" s="5" t="inlineStr">
        <is>
          <t>sensitive_to_llm</t>
        </is>
      </c>
      <c r="P188" s="16" t="inlineStr">
        <is>
          <t>Unauthorized Cross-Boundary Data Transfer</t>
        </is>
      </c>
      <c r="Q188" s="16" t="inlineStr">
        <is>
          <t>P5 → EE2</t>
        </is>
      </c>
      <c r="R188" s="16" t="inlineStr"/>
      <c r="S188" s="5" t="inlineStr">
        <is>
          <t>Confirmed</t>
        </is>
      </c>
    </row>
    <row r="189" ht="16" customHeight="1">
      <c r="A189" s="5" t="inlineStr">
        <is>
          <t>CHATGPT-S1-F055</t>
        </is>
      </c>
      <c r="B189" s="5" t="inlineStr">
        <is>
          <t>CHATGPT</t>
        </is>
      </c>
      <c r="C189" s="5" t="inlineStr">
        <is>
          <t>S1</t>
        </is>
      </c>
      <c r="D189" s="21" t="str">
        <f>IFERROR(VLOOKUP($G189,'02_REFERENCE'!$A$2:$S$99,4,FALSE),"N/A")</f>
        <v>Information Disclosure</v>
      </c>
      <c r="E189" s="21" t="str">
        <f>IFERROR(VLOOKUP($G189,'02_REFERENCE'!$A$2:$S$99,15,FALSE),"N/A")</f>
        <v>Medium</v>
      </c>
      <c r="F189" s="21" t="str">
        <f>IFERROR(VLOOKUP($G189,'02_REFERENCE'!$A$2:$S$99,17,FALSE),"N/A")</f>
        <v>Yes</v>
      </c>
      <c r="G189" s="21" t="inlineStr">
        <is>
          <t>S1-RT-025</t>
        </is>
      </c>
      <c r="H189" s="21" t="inlineStr">
        <is>
          <t>Duplicate</t>
        </is>
      </c>
      <c r="I189" s="21" t="inlineStr">
        <is>
          <t>TP</t>
        </is>
      </c>
      <c r="J189" s="21" t="inlineStr">
        <is>
          <t>H</t>
        </is>
      </c>
      <c r="K189" s="21" t="inlineStr">
        <is>
          <t>N</t>
        </is>
      </c>
      <c r="L189" s="21" t="inlineStr">
        <is>
          <t>Yes</t>
        </is>
      </c>
      <c r="M189" s="21" t="inlineStr">
        <is>
          <t>CHATGPT-S1-F019</t>
        </is>
      </c>
      <c r="N189" s="22" t="inlineStr">
        <is>
          <t>Mechanism class system_prompt_extract; evidence: Extraction via Repeated Prompt; prompts to infer or extract [Equivalence: restates CHATGPT-S1-F019 — one-to-one rule applied.]</t>
        </is>
      </c>
      <c r="O189" s="5" t="inlineStr">
        <is>
          <t>system_prompt_extract</t>
        </is>
      </c>
      <c r="P189" s="16" t="inlineStr">
        <is>
          <t>Data Extraction via Repeated Prompting</t>
        </is>
      </c>
      <c r="Q189" s="16" t="inlineStr">
        <is>
          <t>EE1 → P4/P5 → EE2 → P4/P1</t>
        </is>
      </c>
      <c r="R189" s="16" t="inlineStr"/>
      <c r="S189" s="5" t="inlineStr">
        <is>
          <t>Confirmed</t>
        </is>
      </c>
    </row>
    <row r="190" ht="16" customHeight="1">
      <c r="A190" s="5" t="inlineStr">
        <is>
          <t>CHATGPT-S1-F056</t>
        </is>
      </c>
      <c r="B190" s="5" t="inlineStr">
        <is>
          <t>CHATGPT</t>
        </is>
      </c>
      <c r="C190" s="5" t="inlineStr">
        <is>
          <t>S1</t>
        </is>
      </c>
      <c r="D190" s="21" t="str">
        <f>IFERROR(VLOOKUP($G190,'02_REFERENCE'!$A$2:$S$99,4,FALSE),"N/A")</f>
        <v>Denial of Service</v>
      </c>
      <c r="E190" s="21" t="str">
        <f>IFERROR(VLOOKUP($G190,'02_REFERENCE'!$A$2:$S$99,15,FALSE),"N/A")</f>
        <v>Medium</v>
      </c>
      <c r="F190" s="21" t="str">
        <f>IFERROR(VLOOKUP($G190,'02_REFERENCE'!$A$2:$S$99,17,FALSE),"N/A")</f>
        <v>No</v>
      </c>
      <c r="G190" s="21" t="inlineStr">
        <is>
          <t>S1-RT-028</t>
        </is>
      </c>
      <c r="H190" s="21" t="inlineStr">
        <is>
          <t>Primary TP</t>
        </is>
      </c>
      <c r="I190" s="21" t="inlineStr">
        <is>
          <t>TP</t>
        </is>
      </c>
      <c r="J190" s="21" t="inlineStr">
        <is>
          <t>H</t>
        </is>
      </c>
      <c r="K190" s="21" t="inlineStr">
        <is>
          <t>Y</t>
        </is>
      </c>
      <c r="L190" s="21" t="inlineStr">
        <is>
          <t>No</t>
        </is>
      </c>
      <c r="M190" s="21" t="inlineStr"/>
      <c r="N190" s="22" t="inlineStr">
        <is>
          <t>Mechanism class dos_service (victim-based DoS routing); evidence: Resource Exhaustion; Resource Exhaustion</t>
        </is>
      </c>
      <c r="O190" s="5" t="inlineStr">
        <is>
          <t>dos_service</t>
        </is>
      </c>
      <c r="P190" s="16" t="inlineStr">
        <is>
          <t>Authentication Resource Exhaustion</t>
        </is>
      </c>
      <c r="Q190" s="16" t="inlineStr">
        <is>
          <t>EE1 → P1 → P2 → DS1</t>
        </is>
      </c>
      <c r="R190" s="16" t="inlineStr"/>
      <c r="S190" s="5" t="inlineStr">
        <is>
          <t>Confirmed</t>
        </is>
      </c>
    </row>
    <row r="191" ht="16" customHeight="1">
      <c r="A191" s="5" t="inlineStr">
        <is>
          <t>CHATGPT-S1-F057</t>
        </is>
      </c>
      <c r="B191" s="5" t="inlineStr">
        <is>
          <t>CHATGPT</t>
        </is>
      </c>
      <c r="C191" s="5" t="inlineStr">
        <is>
          <t>S1</t>
        </is>
      </c>
      <c r="D191" s="21" t="str">
        <f>IFERROR(VLOOKUP($G191,'02_REFERENCE'!$A$2:$S$99,4,FALSE),"N/A")</f>
        <v>Denial of Service</v>
      </c>
      <c r="E191" s="21" t="str">
        <f>IFERROR(VLOOKUP($G191,'02_REFERENCE'!$A$2:$S$99,15,FALSE),"N/A")</f>
        <v>Medium</v>
      </c>
      <c r="F191" s="21" t="str">
        <f>IFERROR(VLOOKUP($G191,'02_REFERENCE'!$A$2:$S$99,17,FALSE),"N/A")</f>
        <v>Yes</v>
      </c>
      <c r="G191" s="21" t="inlineStr">
        <is>
          <t>S1-RT-030</t>
        </is>
      </c>
      <c r="H191" s="21" t="inlineStr">
        <is>
          <t>Duplicate</t>
        </is>
      </c>
      <c r="I191" s="21" t="inlineStr">
        <is>
          <t>TP</t>
        </is>
      </c>
      <c r="J191" s="21" t="inlineStr">
        <is>
          <t>H</t>
        </is>
      </c>
      <c r="K191" s="21" t="inlineStr">
        <is>
          <t>N</t>
        </is>
      </c>
      <c r="L191" s="21" t="inlineStr">
        <is>
          <t>Yes</t>
        </is>
      </c>
      <c r="M191" s="21" t="inlineStr">
        <is>
          <t>CHATGPT-S1-F021</t>
        </is>
      </c>
      <c r="N191" s="22" t="inlineStr">
        <is>
          <t>Mechanism class llm_consumption (victim-based DoS routing); evidence: Excessive Prompt / LLM Resource Consum; Prompt / LLM Resource Consum [Equivalence: restates CHATGPT-S1-F021 — one-to-one rule applied.]</t>
        </is>
      </c>
      <c r="O191" s="5" t="inlineStr">
        <is>
          <t>dos_service</t>
        </is>
      </c>
      <c r="P191" s="16" t="inlineStr">
        <is>
          <t>Excessive Prompt / LLM Resource Consumption</t>
        </is>
      </c>
      <c r="Q191" s="16" t="inlineStr">
        <is>
          <t>EE1 → P1 → P4 → P5 → EE2</t>
        </is>
      </c>
      <c r="R191" s="16" t="inlineStr"/>
      <c r="S191" s="5" t="inlineStr">
        <is>
          <t>Confirmed</t>
        </is>
      </c>
    </row>
    <row r="192" ht="16" customHeight="1">
      <c r="A192" s="5" t="inlineStr">
        <is>
          <t>CHATGPT-S1-F058</t>
        </is>
      </c>
      <c r="B192" s="5" t="inlineStr">
        <is>
          <t>CHATGPT</t>
        </is>
      </c>
      <c r="C192" s="5" t="inlineStr">
        <is>
          <t>S1</t>
        </is>
      </c>
      <c r="D192" s="21" t="str">
        <f>IFERROR(VLOOKUP($G192,'02_REFERENCE'!$A$2:$S$99,4,FALSE),"N/A")</f>
        <v>Information Disclosure</v>
      </c>
      <c r="E192" s="21" t="str">
        <f>IFERROR(VLOOKUP($G192,'02_REFERENCE'!$A$2:$S$99,15,FALSE),"N/A")</f>
        <v>High</v>
      </c>
      <c r="F192" s="21" t="str">
        <f>IFERROR(VLOOKUP($G192,'02_REFERENCE'!$A$2:$S$99,17,FALSE),"N/A")</f>
        <v>No</v>
      </c>
      <c r="G192" s="21" t="inlineStr">
        <is>
          <t>S1-RT-020</t>
        </is>
      </c>
      <c r="H192" s="21" t="inlineStr">
        <is>
          <t>Duplicate</t>
        </is>
      </c>
      <c r="I192" s="21" t="inlineStr">
        <is>
          <t>TP</t>
        </is>
      </c>
      <c r="J192" s="21" t="inlineStr">
        <is>
          <t>L</t>
        </is>
      </c>
      <c r="K192" s="21" t="inlineStr">
        <is>
          <t>N</t>
        </is>
      </c>
      <c r="L192" s="21" t="inlineStr">
        <is>
          <t>Yes</t>
        </is>
      </c>
      <c r="M192" s="21" t="inlineStr">
        <is>
          <t>CHATGPT-S1-F066</t>
        </is>
      </c>
      <c r="N192" s="22" t="inlineStr">
        <is>
          <t>Mechanism class api_key; evidence: disclosure of credential [Equivalence: restates CHATGPT-S1-F066 — one-to-one rule applied.]</t>
        </is>
      </c>
      <c r="O192" s="5" t="inlineStr">
        <is>
          <t>api_key</t>
        </is>
      </c>
      <c r="P192" s="16" t="inlineStr">
        <is>
          <t>AI-Assisted Authentication Deception</t>
        </is>
      </c>
      <c r="Q192" s="16" t="inlineStr">
        <is>
          <t>EE1 → P4/P5 → EE2 → P1 → EE1</t>
        </is>
      </c>
      <c r="R192" s="16" t="inlineStr"/>
      <c r="S192" s="5" t="inlineStr">
        <is>
          <t>Manual review</t>
        </is>
      </c>
    </row>
    <row r="193" ht="16" customHeight="1">
      <c r="A193" s="5" t="inlineStr">
        <is>
          <t>CHATGPT-S1-F059</t>
        </is>
      </c>
      <c r="B193" s="5" t="inlineStr">
        <is>
          <t>CHATGPT</t>
        </is>
      </c>
      <c r="C193" s="5" t="inlineStr">
        <is>
          <t>S1</t>
        </is>
      </c>
      <c r="D193" s="21" t="str">
        <f>IFERROR(VLOOKUP($G193,'02_REFERENCE'!$A$2:$S$99,4,FALSE),"N/A")</f>
        <v>Tampering</v>
      </c>
      <c r="E193" s="21" t="str">
        <f>IFERROR(VLOOKUP($G193,'02_REFERENCE'!$A$2:$S$99,15,FALSE),"N/A")</f>
        <v>High</v>
      </c>
      <c r="F193" s="21" t="str">
        <f>IFERROR(VLOOKUP($G193,'02_REFERENCE'!$A$2:$S$99,17,FALSE),"N/A")</f>
        <v>Yes</v>
      </c>
      <c r="G193" s="21" t="inlineStr">
        <is>
          <t>S1-RT-023</t>
        </is>
      </c>
      <c r="H193" s="21" t="inlineStr">
        <is>
          <t>Duplicate</t>
        </is>
      </c>
      <c r="I193" s="21" t="inlineStr">
        <is>
          <t>TP</t>
        </is>
      </c>
      <c r="J193" s="21" t="inlineStr">
        <is>
          <t>M</t>
        </is>
      </c>
      <c r="K193" s="21" t="inlineStr">
        <is>
          <t>N</t>
        </is>
      </c>
      <c r="L193" s="21" t="inlineStr">
        <is>
          <t>Yes</t>
        </is>
      </c>
      <c r="M193" s="21" t="inlineStr">
        <is>
          <t>CHATGPT-S1-F039</t>
        </is>
      </c>
      <c r="N193" s="22" t="inlineStr">
        <is>
          <t>Mechanism class prompt_injection_indirect; evidence: context. Users may follow incorrect authentication instruct [Equivalence: restates CHATGPT-S1-F039 — one-to-one rule applied.]</t>
        </is>
      </c>
      <c r="O193" s="5" t="inlineStr">
        <is>
          <t>prompt_injection_indirect</t>
        </is>
      </c>
      <c r="P193" s="16" t="inlineStr">
        <is>
          <t>Incorrect AI-Generated Security Guidance</t>
        </is>
      </c>
      <c r="Q193" s="16" t="inlineStr">
        <is>
          <t>EE2 → P5 → P4 → P1 → EE1</t>
        </is>
      </c>
      <c r="R193" s="16" t="inlineStr"/>
      <c r="S193" s="5" t="inlineStr">
        <is>
          <t>Confirmed</t>
        </is>
      </c>
    </row>
    <row r="194" ht="16" customHeight="1">
      <c r="A194" s="5" t="inlineStr">
        <is>
          <t>CHATGPT-S1-F060</t>
        </is>
      </c>
      <c r="B194" s="5" t="inlineStr">
        <is>
          <t>CHATGPT</t>
        </is>
      </c>
      <c r="C194" s="5" t="inlineStr">
        <is>
          <t>S1</t>
        </is>
      </c>
      <c r="D194" s="21" t="str">
        <f>IFERROR(VLOOKUP($G194,'02_REFERENCE'!$A$2:$S$99,4,FALSE),"N/A")</f>
        <v>Information Disclosure</v>
      </c>
      <c r="E194" s="21" t="str">
        <f>IFERROR(VLOOKUP($G194,'02_REFERENCE'!$A$2:$S$99,15,FALSE),"N/A")</f>
        <v>Medium</v>
      </c>
      <c r="F194" s="21" t="str">
        <f>IFERROR(VLOOKUP($G194,'02_REFERENCE'!$A$2:$S$99,17,FALSE),"N/A")</f>
        <v>Yes</v>
      </c>
      <c r="G194" s="21" t="inlineStr">
        <is>
          <t>S1-RT-026</t>
        </is>
      </c>
      <c r="H194" s="21" t="inlineStr">
        <is>
          <t>Primary TP</t>
        </is>
      </c>
      <c r="I194" s="21" t="inlineStr">
        <is>
          <t>TP</t>
        </is>
      </c>
      <c r="J194" s="21" t="inlineStr">
        <is>
          <t>H</t>
        </is>
      </c>
      <c r="K194" s="21" t="inlineStr">
        <is>
          <t>Y</t>
        </is>
      </c>
      <c r="L194" s="21" t="inlineStr">
        <is>
          <t>No</t>
        </is>
      </c>
      <c r="M194" s="21" t="inlineStr"/>
      <c r="N194" s="22" t="inlineStr">
        <is>
          <t>Mechanism class kb_disclosure; evidence: Context Disclos; Disclosure P5 sends more approved documentation/context</t>
        </is>
      </c>
      <c r="O194" s="5" t="inlineStr">
        <is>
          <t>kb_disclosure</t>
        </is>
      </c>
      <c r="P194" s="16" t="inlineStr">
        <is>
          <t>Excessive Context Disclosure</t>
        </is>
      </c>
      <c r="Q194" s="16" t="inlineStr">
        <is>
          <t>DS3 → P5 → EE2</t>
        </is>
      </c>
      <c r="R194" s="16" t="inlineStr"/>
      <c r="S194" s="5" t="inlineStr">
        <is>
          <t>Confirmed</t>
        </is>
      </c>
    </row>
    <row r="195" ht="16" customHeight="1">
      <c r="A195" s="5" t="inlineStr">
        <is>
          <t>CHATGPT-S1-F061</t>
        </is>
      </c>
      <c r="B195" s="5" t="inlineStr">
        <is>
          <t>CHATGPT</t>
        </is>
      </c>
      <c r="C195" s="5" t="inlineStr">
        <is>
          <t>S1</t>
        </is>
      </c>
      <c r="D195" s="21" t="str">
        <f>IFERROR(VLOOKUP($G195,'02_REFERENCE'!$A$2:$S$99,4,FALSE),"N/A")</f>
        <v>N/A</v>
      </c>
      <c r="E195" s="21" t="str">
        <f>IFERROR(VLOOKUP($G195,'02_REFERENCE'!$A$2:$S$99,15,FALSE),"N/A")</f>
        <v>N/A</v>
      </c>
      <c r="F195" s="21" t="str">
        <f>IFERROR(VLOOKUP($G195,'02_REFERENCE'!$A$2:$S$99,17,FALSE),"N/A")</f>
        <v>N/A</v>
      </c>
      <c r="G195" s="21" t="inlineStr"/>
      <c r="H195" s="21" t="inlineStr">
        <is>
          <t>False Positive</t>
        </is>
      </c>
      <c r="I195" s="21" t="inlineStr">
        <is>
          <t>FP</t>
        </is>
      </c>
      <c r="J195" s="21" t="inlineStr">
        <is>
          <t>M</t>
        </is>
      </c>
      <c r="K195" s="21" t="inlineStr">
        <is>
          <t>N</t>
        </is>
      </c>
      <c r="L195" s="21" t="inlineStr">
        <is>
          <t>No</t>
        </is>
      </c>
      <c r="M195" s="21" t="inlineStr"/>
      <c r="N195" s="22" t="inlineStr">
        <is>
          <t>Template-class access_bypass_logic (no reference threat): bypass or incorrect authorization</t>
        </is>
      </c>
      <c r="O195" s="5" t="inlineStr">
        <is>
          <t>access_bypass_logic</t>
        </is>
      </c>
      <c r="P195" s="16" t="inlineStr">
        <is>
          <t>AI Authority Confusion</t>
        </is>
      </c>
      <c r="Q195" s="16" t="inlineStr">
        <is>
          <t>P1 ↔ P2/P3/P4/P5</t>
        </is>
      </c>
      <c r="R195" s="16" t="inlineStr"/>
      <c r="S195" s="5" t="inlineStr">
        <is>
          <t>Confirmed</t>
        </is>
      </c>
    </row>
    <row r="196" ht="16" customHeight="1">
      <c r="A196" s="5" t="inlineStr">
        <is>
          <t>CHATGPT-S1-F062</t>
        </is>
      </c>
      <c r="B196" s="5" t="inlineStr">
        <is>
          <t>CHATGPT</t>
        </is>
      </c>
      <c r="C196" s="5" t="inlineStr">
        <is>
          <t>S1</t>
        </is>
      </c>
      <c r="D196" s="21" t="str">
        <f>IFERROR(VLOOKUP($G196,'02_REFERENCE'!$A$2:$S$99,4,FALSE),"N/A")</f>
        <v>Information Disclosure</v>
      </c>
      <c r="E196" s="21" t="str">
        <f>IFERROR(VLOOKUP($G196,'02_REFERENCE'!$A$2:$S$99,15,FALSE),"N/A")</f>
        <v>Medium</v>
      </c>
      <c r="F196" s="21" t="str">
        <f>IFERROR(VLOOKUP($G196,'02_REFERENCE'!$A$2:$S$99,17,FALSE),"N/A")</f>
        <v>No</v>
      </c>
      <c r="G196" s="21" t="inlineStr">
        <is>
          <t>S1-RT-019</t>
        </is>
      </c>
      <c r="H196" s="21" t="inlineStr">
        <is>
          <t>Primary TP</t>
        </is>
      </c>
      <c r="I196" s="21" t="inlineStr">
        <is>
          <t>TP</t>
        </is>
      </c>
      <c r="J196" s="21" t="inlineStr">
        <is>
          <t>M</t>
        </is>
      </c>
      <c r="K196" s="21" t="inlineStr">
        <is>
          <t>Y</t>
        </is>
      </c>
      <c r="L196" s="21" t="inlineStr">
        <is>
          <t>No</t>
        </is>
      </c>
      <c r="M196" s="21" t="inlineStr"/>
      <c r="N196" s="22" t="inlineStr">
        <is>
          <t>Mechanism class verbose_error; evidence: Internal Error</t>
        </is>
      </c>
      <c r="O196" s="5" t="inlineStr">
        <is>
          <t>verbose_error</t>
        </is>
      </c>
      <c r="P196" s="16" t="inlineStr">
        <is>
          <t>Internal Error Information Leakage</t>
        </is>
      </c>
      <c r="Q196" s="16" t="inlineStr">
        <is>
          <t>P5 → P4 → P1 → EE1</t>
        </is>
      </c>
      <c r="R196" s="16" t="inlineStr"/>
      <c r="S196" s="5" t="inlineStr">
        <is>
          <t>Confirmed</t>
        </is>
      </c>
    </row>
    <row r="197" ht="16" customHeight="1">
      <c r="A197" s="5" t="inlineStr">
        <is>
          <t>CHATGPT-S1-F063</t>
        </is>
      </c>
      <c r="B197" s="5" t="inlineStr">
        <is>
          <t>CHATGPT</t>
        </is>
      </c>
      <c r="C197" s="5" t="inlineStr">
        <is>
          <t>S1</t>
        </is>
      </c>
      <c r="D197" s="21" t="str">
        <f>IFERROR(VLOOKUP($G197,'02_REFERENCE'!$A$2:$S$99,4,FALSE),"N/A")</f>
        <v>N/A</v>
      </c>
      <c r="E197" s="21" t="str">
        <f>IFERROR(VLOOKUP($G197,'02_REFERENCE'!$A$2:$S$99,15,FALSE),"N/A")</f>
        <v>N/A</v>
      </c>
      <c r="F197" s="21" t="str">
        <f>IFERROR(VLOOKUP($G197,'02_REFERENCE'!$A$2:$S$99,17,FALSE),"N/A")</f>
        <v>N/A</v>
      </c>
      <c r="G197" s="21" t="inlineStr"/>
      <c r="H197" s="21" t="inlineStr">
        <is>
          <t>False Positive</t>
        </is>
      </c>
      <c r="I197" s="21" t="inlineStr">
        <is>
          <t>FP</t>
        </is>
      </c>
      <c r="J197" s="21" t="inlineStr">
        <is>
          <t>M</t>
        </is>
      </c>
      <c r="K197" s="21" t="inlineStr">
        <is>
          <t>N</t>
        </is>
      </c>
      <c r="L197" s="21" t="inlineStr">
        <is>
          <t>No</t>
        </is>
      </c>
      <c r="M197" s="21" t="inlineStr"/>
      <c r="N197" s="22" t="inlineStr">
        <is>
          <t>No reference threat corresponds to this finding's mechanism (scoring found no class with sufficient evidence).</t>
        </is>
      </c>
      <c r="O197" s="5" t="inlineStr"/>
      <c r="P197" s="16" t="inlineStr">
        <is>
          <t>Insufficient Authentication Event Traceability</t>
        </is>
      </c>
      <c r="Q197" s="16" t="inlineStr">
        <is>
          <t>P2 → DS1; P3 → DS2</t>
        </is>
      </c>
      <c r="R197" s="16" t="inlineStr"/>
      <c r="S197" s="5" t="inlineStr">
        <is>
          <t>Confirmed</t>
        </is>
      </c>
    </row>
    <row r="198" ht="16" customHeight="1">
      <c r="A198" s="5" t="inlineStr">
        <is>
          <t>CHATGPT-S1-F064</t>
        </is>
      </c>
      <c r="B198" s="5" t="inlineStr">
        <is>
          <t>CHATGPT</t>
        </is>
      </c>
      <c r="C198" s="5" t="inlineStr">
        <is>
          <t>S1</t>
        </is>
      </c>
      <c r="D198" s="21" t="str">
        <f>IFERROR(VLOOKUP($G198,'02_REFERENCE'!$A$2:$S$99,4,FALSE),"N/A")</f>
        <v>Tampering</v>
      </c>
      <c r="E198" s="21" t="str">
        <f>IFERROR(VLOOKUP($G198,'02_REFERENCE'!$A$2:$S$99,15,FALSE),"N/A")</f>
        <v>High</v>
      </c>
      <c r="F198" s="21" t="str">
        <f>IFERROR(VLOOKUP($G198,'02_REFERENCE'!$A$2:$S$99,17,FALSE),"N/A")</f>
        <v>No</v>
      </c>
      <c r="G198" s="21" t="inlineStr">
        <is>
          <t>S1-RT-017</t>
        </is>
      </c>
      <c r="H198" s="21" t="inlineStr">
        <is>
          <t>Duplicate</t>
        </is>
      </c>
      <c r="I198" s="21" t="inlineStr">
        <is>
          <t>TP</t>
        </is>
      </c>
      <c r="J198" s="21" t="inlineStr">
        <is>
          <t>M</t>
        </is>
      </c>
      <c r="K198" s="21" t="inlineStr">
        <is>
          <t>N</t>
        </is>
      </c>
      <c r="L198" s="21" t="inlineStr">
        <is>
          <t>Yes</t>
        </is>
      </c>
      <c r="M198" s="21" t="inlineStr">
        <is>
          <t>CHATGPT-S1-F005</t>
        </is>
      </c>
      <c r="N198" s="22" t="inlineStr">
        <is>
          <t>Mechanism class session_store_tamper; evidence: stored in DS1 are modif [Equivalence: restates CHATGPT-S1-F005 — one-to-one rule applied.]</t>
        </is>
      </c>
      <c r="O198" s="5" t="inlineStr">
        <is>
          <t>session_store_tamper</t>
        </is>
      </c>
      <c r="P198" s="16" t="inlineStr">
        <is>
          <t>Authentication Record Tampering</t>
        </is>
      </c>
      <c r="Q198" s="16" t="inlineStr">
        <is>
          <t>P2 ↔ DS1</t>
        </is>
      </c>
      <c r="R198" s="16" t="inlineStr"/>
      <c r="S198" s="5" t="inlineStr">
        <is>
          <t>Confirmed</t>
        </is>
      </c>
    </row>
    <row r="199" ht="16" customHeight="1">
      <c r="A199" s="5" t="inlineStr">
        <is>
          <t>CHATGPT-S1-F065</t>
        </is>
      </c>
      <c r="B199" s="5" t="inlineStr">
        <is>
          <t>CHATGPT</t>
        </is>
      </c>
      <c r="C199" s="5" t="inlineStr">
        <is>
          <t>S1</t>
        </is>
      </c>
      <c r="D199" s="21" t="str">
        <f>IFERROR(VLOOKUP($G199,'02_REFERENCE'!$A$2:$S$99,4,FALSE),"N/A")</f>
        <v>Tampering</v>
      </c>
      <c r="E199" s="21" t="str">
        <f>IFERROR(VLOOKUP($G199,'02_REFERENCE'!$A$2:$S$99,15,FALSE),"N/A")</f>
        <v>High</v>
      </c>
      <c r="F199" s="21" t="str">
        <f>IFERROR(VLOOKUP($G199,'02_REFERENCE'!$A$2:$S$99,17,FALSE),"N/A")</f>
        <v>No</v>
      </c>
      <c r="G199" s="21" t="inlineStr">
        <is>
          <t>S1-RT-017</t>
        </is>
      </c>
      <c r="H199" s="21" t="inlineStr">
        <is>
          <t>Duplicate</t>
        </is>
      </c>
      <c r="I199" s="21" t="inlineStr">
        <is>
          <t>TP</t>
        </is>
      </c>
      <c r="J199" s="21" t="inlineStr">
        <is>
          <t>M</t>
        </is>
      </c>
      <c r="K199" s="21" t="inlineStr">
        <is>
          <t>N</t>
        </is>
      </c>
      <c r="L199" s="21" t="inlineStr">
        <is>
          <t>Yes</t>
        </is>
      </c>
      <c r="M199" s="21" t="inlineStr">
        <is>
          <t>CHATGPT-S1-F005</t>
        </is>
      </c>
      <c r="N199" s="22" t="inlineStr">
        <is>
          <t>Mechanism class session_store_tamper; evidence: Session State Tamper [Equivalence: restates CHATGPT-S1-F005 — one-to-one rule applied.]</t>
        </is>
      </c>
      <c r="O199" s="5" t="inlineStr">
        <is>
          <t>session_store_tamper</t>
        </is>
      </c>
      <c r="P199" s="16" t="inlineStr">
        <is>
          <t>Session State Tampering</t>
        </is>
      </c>
      <c r="Q199" s="16" t="inlineStr">
        <is>
          <t>P3 ↔ DS2</t>
        </is>
      </c>
      <c r="R199" s="16" t="inlineStr"/>
      <c r="S199" s="5" t="inlineStr">
        <is>
          <t>Confirmed</t>
        </is>
      </c>
    </row>
    <row r="200" ht="16" customHeight="1">
      <c r="A200" s="5" t="inlineStr">
        <is>
          <t>CHATGPT-S1-F066</t>
        </is>
      </c>
      <c r="B200" s="5" t="inlineStr">
        <is>
          <t>CHATGPT</t>
        </is>
      </c>
      <c r="C200" s="5" t="inlineStr">
        <is>
          <t>S1</t>
        </is>
      </c>
      <c r="D200" s="21" t="str">
        <f>IFERROR(VLOOKUP($G200,'02_REFERENCE'!$A$2:$S$99,4,FALSE),"N/A")</f>
        <v>Information Disclosure</v>
      </c>
      <c r="E200" s="21" t="str">
        <f>IFERROR(VLOOKUP($G200,'02_REFERENCE'!$A$2:$S$99,15,FALSE),"N/A")</f>
        <v>High</v>
      </c>
      <c r="F200" s="21" t="str">
        <f>IFERROR(VLOOKUP($G200,'02_REFERENCE'!$A$2:$S$99,17,FALSE),"N/A")</f>
        <v>No</v>
      </c>
      <c r="G200" s="21" t="inlineStr">
        <is>
          <t>S1-RT-020</t>
        </is>
      </c>
      <c r="H200" s="21" t="inlineStr">
        <is>
          <t>Primary TP</t>
        </is>
      </c>
      <c r="I200" s="21" t="inlineStr">
        <is>
          <t>TP</t>
        </is>
      </c>
      <c r="J200" s="21" t="inlineStr">
        <is>
          <t>M</t>
        </is>
      </c>
      <c r="K200" s="21" t="inlineStr">
        <is>
          <t>Y</t>
        </is>
      </c>
      <c r="L200" s="21" t="inlineStr">
        <is>
          <t>No</t>
        </is>
      </c>
      <c r="M200" s="21" t="inlineStr"/>
      <c r="N200" s="22" t="inlineStr">
        <is>
          <t>Mechanism class api_key; evidence: Credential Data Crossing the LLM</t>
        </is>
      </c>
      <c r="O200" s="5" t="inlineStr">
        <is>
          <t>api_key</t>
        </is>
      </c>
      <c r="P200" s="16" t="inlineStr">
        <is>
          <t>Credential Data Crossing the LLM Boundary</t>
        </is>
      </c>
      <c r="Q200" s="16" t="inlineStr">
        <is>
          <t>DS1/P2 → P5 → EE2</t>
        </is>
      </c>
      <c r="R200" s="16" t="inlineStr"/>
      <c r="S200" s="5" t="inlineStr">
        <is>
          <t>Confirmed</t>
        </is>
      </c>
    </row>
    <row r="201" ht="16" customHeight="1">
      <c r="A201" s="5" t="inlineStr">
        <is>
          <t>CHATGPT-S1-F067</t>
        </is>
      </c>
      <c r="B201" s="5" t="inlineStr">
        <is>
          <t>CHATGPT</t>
        </is>
      </c>
      <c r="C201" s="5" t="inlineStr">
        <is>
          <t>S1</t>
        </is>
      </c>
      <c r="D201" s="21" t="str">
        <f>IFERROR(VLOOKUP($G201,'02_REFERENCE'!$A$2:$S$99,4,FALSE),"N/A")</f>
        <v>Spoofing</v>
      </c>
      <c r="E201" s="21" t="str">
        <f>IFERROR(VLOOKUP($G201,'02_REFERENCE'!$A$2:$S$99,15,FALSE),"N/A")</f>
        <v>Critical</v>
      </c>
      <c r="F201" s="21" t="str">
        <f>IFERROR(VLOOKUP($G201,'02_REFERENCE'!$A$2:$S$99,17,FALSE),"N/A")</f>
        <v>No</v>
      </c>
      <c r="G201" s="21" t="inlineStr">
        <is>
          <t>S1-RT-004</t>
        </is>
      </c>
      <c r="H201" s="21" t="inlineStr">
        <is>
          <t>Duplicate</t>
        </is>
      </c>
      <c r="I201" s="21" t="inlineStr">
        <is>
          <t>TP</t>
        </is>
      </c>
      <c r="J201" s="21" t="inlineStr">
        <is>
          <t>M</t>
        </is>
      </c>
      <c r="K201" s="21" t="inlineStr">
        <is>
          <t>N</t>
        </is>
      </c>
      <c r="L201" s="21" t="inlineStr">
        <is>
          <t>Yes</t>
        </is>
      </c>
      <c r="M201" s="21" t="inlineStr">
        <is>
          <t>CHATGPT-S1-F002</t>
        </is>
      </c>
      <c r="N201" s="22" t="inlineStr">
        <is>
          <t>Mechanism class auth_bypass_logic; evidence: bypassing authentication; bypassing authentication [Equivalence: restates CHATGPT-S1-F002 — one-to-one rule applied.]</t>
        </is>
      </c>
      <c r="O201" s="5" t="inlineStr">
        <is>
          <t>auth_bypass_logic</t>
        </is>
      </c>
      <c r="P201" s="16" t="inlineStr">
        <is>
          <t>Authorization-State Inference Through Chatbot</t>
        </is>
      </c>
      <c r="Q201" s="16" t="inlineStr">
        <is>
          <t>EE1 → P4/P5 → P1</t>
        </is>
      </c>
      <c r="R201" s="16" t="inlineStr"/>
      <c r="S201" s="5" t="inlineStr">
        <is>
          <t>Confirmed</t>
        </is>
      </c>
    </row>
    <row r="202" ht="16" customHeight="1">
      <c r="A202" s="5" t="inlineStr">
        <is>
          <t>CHATGPT-S1-F068</t>
        </is>
      </c>
      <c r="B202" s="5" t="inlineStr">
        <is>
          <t>CHATGPT</t>
        </is>
      </c>
      <c r="C202" s="5" t="inlineStr">
        <is>
          <t>S1</t>
        </is>
      </c>
      <c r="D202" s="21" t="str">
        <f>IFERROR(VLOOKUP($G202,'02_REFERENCE'!$A$2:$S$99,4,FALSE),"N/A")</f>
        <v>Tampering</v>
      </c>
      <c r="E202" s="21" t="str">
        <f>IFERROR(VLOOKUP($G202,'02_REFERENCE'!$A$2:$S$99,15,FALSE),"N/A")</f>
        <v>High</v>
      </c>
      <c r="F202" s="21" t="str">
        <f>IFERROR(VLOOKUP($G202,'02_REFERENCE'!$A$2:$S$99,17,FALSE),"N/A")</f>
        <v>Yes</v>
      </c>
      <c r="G202" s="21" t="inlineStr">
        <is>
          <t>S1-RT-022</t>
        </is>
      </c>
      <c r="H202" s="21" t="inlineStr">
        <is>
          <t>Duplicate</t>
        </is>
      </c>
      <c r="I202" s="21" t="inlineStr">
        <is>
          <t>TP</t>
        </is>
      </c>
      <c r="J202" s="21" t="inlineStr">
        <is>
          <t>H</t>
        </is>
      </c>
      <c r="K202" s="21" t="inlineStr">
        <is>
          <t>N</t>
        </is>
      </c>
      <c r="L202" s="21" t="inlineStr">
        <is>
          <t>Yes</t>
        </is>
      </c>
      <c r="M202" s="21" t="inlineStr">
        <is>
          <t>CHATGPT-S1-F016</t>
        </is>
      </c>
      <c r="N202" s="22" t="inlineStr">
        <is>
          <t>Mechanism class prompt_injection_direct; evidence: Prompt Injection; Prompt Inject; attacker submits a malicious prompt designed to manipulat; Prompt Inject [Equivalence: restates CHATGPT-S1-F016 — one-to-one rule applied.]</t>
        </is>
      </c>
      <c r="O202" s="5" t="inlineStr">
        <is>
          <t>prompt_injection_direct</t>
        </is>
      </c>
      <c r="P202" s="16" t="inlineStr">
        <is>
          <t>End-to-End Prompt Injection Exploitation</t>
        </is>
      </c>
      <c r="Q202" s="16" t="inlineStr">
        <is>
          <t>EE1 → P1 → P4 → P5 → EE2 → P5 → P1</t>
        </is>
      </c>
      <c r="R202" s="16" t="inlineStr"/>
      <c r="S202" s="5" t="inlineStr">
        <is>
          <t>Confirmed</t>
        </is>
      </c>
    </row>
    <row r="203" ht="16" customHeight="1">
      <c r="A203" s="5" t="inlineStr">
        <is>
          <t>CHATGPT-S1-F069</t>
        </is>
      </c>
      <c r="B203" s="5" t="inlineStr">
        <is>
          <t>CHATGPT</t>
        </is>
      </c>
      <c r="C203" s="5" t="inlineStr">
        <is>
          <t>S1</t>
        </is>
      </c>
      <c r="D203" s="21" t="str">
        <f>IFERROR(VLOOKUP($G203,'02_REFERENCE'!$A$2:$S$99,4,FALSE),"N/A")</f>
        <v>Information Disclosure</v>
      </c>
      <c r="E203" s="21" t="str">
        <f>IFERROR(VLOOKUP($G203,'02_REFERENCE'!$A$2:$S$99,15,FALSE),"N/A")</f>
        <v>High</v>
      </c>
      <c r="F203" s="21" t="str">
        <f>IFERROR(VLOOKUP($G203,'02_REFERENCE'!$A$2:$S$99,17,FALSE),"N/A")</f>
        <v>Yes</v>
      </c>
      <c r="G203" s="21" t="inlineStr">
        <is>
          <t>S1-RT-024</t>
        </is>
      </c>
      <c r="H203" s="21" t="inlineStr">
        <is>
          <t>Duplicate</t>
        </is>
      </c>
      <c r="I203" s="21" t="inlineStr">
        <is>
          <t>TP</t>
        </is>
      </c>
      <c r="J203" s="21" t="inlineStr">
        <is>
          <t>H</t>
        </is>
      </c>
      <c r="K203" s="21" t="inlineStr">
        <is>
          <t>N</t>
        </is>
      </c>
      <c r="L203" s="21" t="inlineStr">
        <is>
          <t>Yes</t>
        </is>
      </c>
      <c r="M203" s="21" t="inlineStr">
        <is>
          <t>CHATGPT-S1-F040</t>
        </is>
      </c>
      <c r="N203" s="22" t="inlineStr">
        <is>
          <t>Mechanism class sensitive_to_llm; evidence: sensitive information in chatbot prompt; includes sensitive information in chatbot prompt; includes sensitive information in chatbot prompts, such as c [Equivalence: restates CHATGPT-S1-F040 — one-to-one rule applied.]</t>
        </is>
      </c>
      <c r="O203" s="5" t="inlineStr">
        <is>
          <t>sensitive_to_llm</t>
        </is>
      </c>
      <c r="P203" s="16" t="inlineStr">
        <is>
          <t>Conversational Context Leakage</t>
        </is>
      </c>
      <c r="Q203" s="16" t="inlineStr">
        <is>
          <t>EE1 → P1 → P4/P5 → EE2</t>
        </is>
      </c>
      <c r="R203" s="16" t="inlineStr"/>
      <c r="S203" s="5" t="inlineStr">
        <is>
          <t>Confirmed</t>
        </is>
      </c>
    </row>
    <row r="204" ht="16" customHeight="1">
      <c r="A204" s="5" t="inlineStr">
        <is>
          <t>CHATGPT-S1-F070</t>
        </is>
      </c>
      <c r="B204" s="5" t="inlineStr">
        <is>
          <t>CHATGPT</t>
        </is>
      </c>
      <c r="C204" s="5" t="inlineStr">
        <is>
          <t>S1</t>
        </is>
      </c>
      <c r="D204" s="21" t="str">
        <f>IFERROR(VLOOKUP($G204,'02_REFERENCE'!$A$2:$S$99,4,FALSE),"N/A")</f>
        <v>Spoofing</v>
      </c>
      <c r="E204" s="21" t="str">
        <f>IFERROR(VLOOKUP($G204,'02_REFERENCE'!$A$2:$S$99,15,FALSE),"N/A")</f>
        <v>Critical</v>
      </c>
      <c r="F204" s="21" t="str">
        <f>IFERROR(VLOOKUP($G204,'02_REFERENCE'!$A$2:$S$99,17,FALSE),"N/A")</f>
        <v>No</v>
      </c>
      <c r="G204" s="21" t="inlineStr">
        <is>
          <t>S1-RT-004</t>
        </is>
      </c>
      <c r="H204" s="21" t="inlineStr">
        <is>
          <t>Duplicate</t>
        </is>
      </c>
      <c r="I204" s="21" t="inlineStr">
        <is>
          <t>TP</t>
        </is>
      </c>
      <c r="J204" s="21" t="inlineStr">
        <is>
          <t>L</t>
        </is>
      </c>
      <c r="K204" s="21" t="inlineStr">
        <is>
          <t>N</t>
        </is>
      </c>
      <c r="L204" s="21" t="inlineStr">
        <is>
          <t>Yes</t>
        </is>
      </c>
      <c r="M204" s="21" t="inlineStr">
        <is>
          <t>CHATGPT-S1-F002</t>
        </is>
      </c>
      <c r="N204" s="22" t="inlineStr">
        <is>
          <t>Mechanism class auth_bypass_logic; evidence: authentication bypass [Equivalence: restates CHATGPT-S1-F002 — one-to-one rule applied.]</t>
        </is>
      </c>
      <c r="O204" s="5" t="inlineStr">
        <is>
          <t>auth_bypass_logic</t>
        </is>
      </c>
      <c r="P204" s="16" t="inlineStr">
        <is>
          <t>Security Decision Delegation to the LLM</t>
        </is>
      </c>
      <c r="Q204" s="16" t="inlineStr">
        <is>
          <t>P4/P5 ↔ P1/P2/P3</t>
        </is>
      </c>
      <c r="R204" s="16" t="inlineStr"/>
      <c r="S204" s="5" t="inlineStr">
        <is>
          <t>Manual review</t>
        </is>
      </c>
    </row>
    <row r="205" ht="16" customHeight="1">
      <c r="A205" s="5" t="inlineStr">
        <is>
          <t>CHATGPT-S1-F071</t>
        </is>
      </c>
      <c r="B205" s="5" t="inlineStr">
        <is>
          <t>CHATGPT</t>
        </is>
      </c>
      <c r="C205" s="5" t="inlineStr">
        <is>
          <t>S1</t>
        </is>
      </c>
      <c r="D205" s="21" t="str">
        <f>IFERROR(VLOOKUP($G205,'02_REFERENCE'!$A$2:$S$99,4,FALSE),"N/A")</f>
        <v>Denial of Service</v>
      </c>
      <c r="E205" s="21" t="str">
        <f>IFERROR(VLOOKUP($G205,'02_REFERENCE'!$A$2:$S$99,15,FALSE),"N/A")</f>
        <v>Medium</v>
      </c>
      <c r="F205" s="21" t="str">
        <f>IFERROR(VLOOKUP($G205,'02_REFERENCE'!$A$2:$S$99,17,FALSE),"N/A")</f>
        <v>Yes</v>
      </c>
      <c r="G205" s="21" t="inlineStr">
        <is>
          <t>S1-RT-030</t>
        </is>
      </c>
      <c r="H205" s="21" t="inlineStr">
        <is>
          <t>Duplicate</t>
        </is>
      </c>
      <c r="I205" s="21" t="inlineStr">
        <is>
          <t>TP</t>
        </is>
      </c>
      <c r="J205" s="21" t="inlineStr">
        <is>
          <t>H</t>
        </is>
      </c>
      <c r="K205" s="21" t="inlineStr">
        <is>
          <t>N</t>
        </is>
      </c>
      <c r="L205" s="21" t="inlineStr">
        <is>
          <t>Yes</t>
        </is>
      </c>
      <c r="M205" s="21" t="inlineStr">
        <is>
          <t>CHATGPT-S1-F021</t>
        </is>
      </c>
      <c r="N205" s="22" t="inlineStr">
        <is>
          <t>Mechanism class dos_service (victim-based DoS routing); evidence: Flood; resource consumption [Equivalence: restates CHATGPT-S1-F021 — one-to-one rule applied.]</t>
        </is>
      </c>
      <c r="O205" s="5" t="inlineStr">
        <is>
          <t>dos_service</t>
        </is>
      </c>
      <c r="P205" s="16" t="inlineStr">
        <is>
          <t>Adversarial LLM Query Flooding</t>
        </is>
      </c>
      <c r="Q205" s="16" t="inlineStr">
        <is>
          <t>EE1 → P1 → P4 → P5 → EE2</t>
        </is>
      </c>
      <c r="R205" s="16" t="inlineStr"/>
      <c r="S205" s="5" t="inlineStr">
        <is>
          <t>Confirmed</t>
        </is>
      </c>
    </row>
    <row r="206" ht="16" customHeight="1">
      <c r="A206" s="5" t="inlineStr">
        <is>
          <t>CHATGPT-S1-F072</t>
        </is>
      </c>
      <c r="B206" s="5" t="inlineStr">
        <is>
          <t>CHATGPT</t>
        </is>
      </c>
      <c r="C206" s="5" t="inlineStr">
        <is>
          <t>S1</t>
        </is>
      </c>
      <c r="D206" s="21" t="str">
        <f>IFERROR(VLOOKUP($G206,'02_REFERENCE'!$A$2:$S$99,4,FALSE),"N/A")</f>
        <v>Spoofing</v>
      </c>
      <c r="E206" s="21" t="str">
        <f>IFERROR(VLOOKUP($G206,'02_REFERENCE'!$A$2:$S$99,15,FALSE),"N/A")</f>
        <v>Critical</v>
      </c>
      <c r="F206" s="21" t="str">
        <f>IFERROR(VLOOKUP($G206,'02_REFERENCE'!$A$2:$S$99,17,FALSE),"N/A")</f>
        <v>No</v>
      </c>
      <c r="G206" s="21" t="inlineStr">
        <is>
          <t>S1-RT-004</t>
        </is>
      </c>
      <c r="H206" s="21" t="inlineStr">
        <is>
          <t>Duplicate</t>
        </is>
      </c>
      <c r="I206" s="21" t="inlineStr">
        <is>
          <t>TP</t>
        </is>
      </c>
      <c r="J206" s="21" t="inlineStr">
        <is>
          <t>L</t>
        </is>
      </c>
      <c r="K206" s="21" t="inlineStr">
        <is>
          <t>N</t>
        </is>
      </c>
      <c r="L206" s="21" t="inlineStr">
        <is>
          <t>Yes</t>
        </is>
      </c>
      <c r="M206" s="21" t="inlineStr">
        <is>
          <t>CHATGPT-S1-F002</t>
        </is>
      </c>
      <c r="N206" s="22" t="inlineStr">
        <is>
          <t>Mechanism class auth_bypass_logic; evidence: authentication bypass [Equivalence: restates CHATGPT-S1-F002 — one-to-one rule applied.]</t>
        </is>
      </c>
      <c r="O206" s="5" t="inlineStr">
        <is>
          <t>auth_bypass_logic</t>
        </is>
      </c>
      <c r="P206" s="16" t="inlineStr">
        <is>
          <t>AI Capability Creep</t>
        </is>
      </c>
      <c r="Q206" s="16" t="inlineStr">
        <is>
          <t>P4/P5 ↔ P2/P3/DS1/DS2</t>
        </is>
      </c>
      <c r="R206" s="16" t="inlineStr"/>
      <c r="S206" s="5" t="inlineStr">
        <is>
          <t>Manual review</t>
        </is>
      </c>
    </row>
    <row r="207" ht="16" customHeight="1">
      <c r="A207" s="5" t="inlineStr">
        <is>
          <t>OLLAMA-S1-F001</t>
        </is>
      </c>
      <c r="B207" s="5" t="inlineStr">
        <is>
          <t>OLLAMA</t>
        </is>
      </c>
      <c r="C207" s="5" t="inlineStr">
        <is>
          <t>S1</t>
        </is>
      </c>
      <c r="D207" s="21" t="str">
        <f>IFERROR(VLOOKUP($G207,'02_REFERENCE'!$A$2:$S$99,4,FALSE),"N/A")</f>
        <v>Spoofing</v>
      </c>
      <c r="E207" s="21" t="str">
        <f>IFERROR(VLOOKUP($G207,'02_REFERENCE'!$A$2:$S$99,15,FALSE),"N/A")</f>
        <v>Critical</v>
      </c>
      <c r="F207" s="21" t="str">
        <f>IFERROR(VLOOKUP($G207,'02_REFERENCE'!$A$2:$S$99,17,FALSE),"N/A")</f>
        <v>No</v>
      </c>
      <c r="G207" s="21" t="inlineStr">
        <is>
          <t>S1-RT-004</t>
        </is>
      </c>
      <c r="H207" s="21" t="inlineStr">
        <is>
          <t>Primary TP</t>
        </is>
      </c>
      <c r="I207" s="21" t="inlineStr">
        <is>
          <t>TP</t>
        </is>
      </c>
      <c r="J207" s="21" t="inlineStr">
        <is>
          <t>M</t>
        </is>
      </c>
      <c r="K207" s="21" t="inlineStr">
        <is>
          <t>Y</t>
        </is>
      </c>
      <c r="L207" s="21" t="inlineStr">
        <is>
          <t>No</t>
        </is>
      </c>
      <c r="M207" s="21" t="inlineStr"/>
      <c r="N207" s="22" t="inlineStr">
        <is>
          <t>Mechanism class auth_bypass_logic; evidence: bypass authentication; bypass authentication</t>
        </is>
      </c>
      <c r="O207" s="5" t="inlineStr">
        <is>
          <t>auth_bypass_logic</t>
        </is>
      </c>
      <c r="P207" s="16" t="inlineStr">
        <is>
          <t>Unauthorized Access</t>
        </is>
      </c>
      <c r="Q207" s="16" t="inlineStr">
        <is>
          <t>P2, User Database, Session Storage</t>
        </is>
      </c>
      <c r="R207" s="16" t="inlineStr"/>
      <c r="S207" s="5" t="inlineStr">
        <is>
          <t>Confirmed</t>
        </is>
      </c>
    </row>
    <row r="208" ht="16" customHeight="1">
      <c r="A208" s="5" t="inlineStr">
        <is>
          <t>OLLAMA-S1-F002</t>
        </is>
      </c>
      <c r="B208" s="5" t="inlineStr">
        <is>
          <t>OLLAMA</t>
        </is>
      </c>
      <c r="C208" s="5" t="inlineStr">
        <is>
          <t>S1</t>
        </is>
      </c>
      <c r="D208" s="21" t="str">
        <f>IFERROR(VLOOKUP($G208,'02_REFERENCE'!$A$2:$S$99,4,FALSE),"N/A")</f>
        <v>Tampering</v>
      </c>
      <c r="E208" s="21" t="str">
        <f>IFERROR(VLOOKUP($G208,'02_REFERENCE'!$A$2:$S$99,15,FALSE),"N/A")</f>
        <v>High</v>
      </c>
      <c r="F208" s="21" t="str">
        <f>IFERROR(VLOOKUP($G208,'02_REFERENCE'!$A$2:$S$99,17,FALSE),"N/A")</f>
        <v>No</v>
      </c>
      <c r="G208" s="21" t="inlineStr">
        <is>
          <t>S1-RT-017</t>
        </is>
      </c>
      <c r="H208" s="21" t="inlineStr">
        <is>
          <t>Primary TP</t>
        </is>
      </c>
      <c r="I208" s="21" t="inlineStr">
        <is>
          <t>TP</t>
        </is>
      </c>
      <c r="J208" s="21" t="inlineStr">
        <is>
          <t>H</t>
        </is>
      </c>
      <c r="K208" s="21" t="inlineStr">
        <is>
          <t>Y</t>
        </is>
      </c>
      <c r="L208" s="21" t="inlineStr">
        <is>
          <t>No</t>
        </is>
      </c>
      <c r="M208" s="21" t="inlineStr"/>
      <c r="N208" s="22" t="inlineStr">
        <is>
          <t>Mechanism class session_store_tamper; evidence: session data to gain unauthorized access. Compromis; Tampering An attacker manipulates session data</t>
        </is>
      </c>
      <c r="O208" s="5" t="inlineStr">
        <is>
          <t>session_store_tamper</t>
        </is>
      </c>
      <c r="P208" s="16" t="inlineStr">
        <is>
          <t>Data Tampering</t>
        </is>
      </c>
      <c r="Q208" s="16" t="inlineStr">
        <is>
          <t>P3, Session Management Module, Session Storage</t>
        </is>
      </c>
      <c r="R208" s="16" t="inlineStr"/>
      <c r="S208" s="5" t="inlineStr">
        <is>
          <t>Confirmed</t>
        </is>
      </c>
    </row>
    <row r="209" ht="16" customHeight="1">
      <c r="A209" s="5" t="inlineStr">
        <is>
          <t>OLLAMA-S1-F003</t>
        </is>
      </c>
      <c r="B209" s="5" t="inlineStr">
        <is>
          <t>OLLAMA</t>
        </is>
      </c>
      <c r="C209" s="5" t="inlineStr">
        <is>
          <t>S1</t>
        </is>
      </c>
      <c r="D209" s="21" t="str">
        <f>IFERROR(VLOOKUP($G209,'02_REFERENCE'!$A$2:$S$99,4,FALSE),"N/A")</f>
        <v>N/A</v>
      </c>
      <c r="E209" s="21" t="str">
        <f>IFERROR(VLOOKUP($G209,'02_REFERENCE'!$A$2:$S$99,15,FALSE),"N/A")</f>
        <v>N/A</v>
      </c>
      <c r="F209" s="21" t="str">
        <f>IFERROR(VLOOKUP($G209,'02_REFERENCE'!$A$2:$S$99,17,FALSE),"N/A")</f>
        <v>N/A</v>
      </c>
      <c r="G209" s="21" t="inlineStr"/>
      <c r="H209" s="21" t="inlineStr">
        <is>
          <t>False Positive</t>
        </is>
      </c>
      <c r="I209" s="21" t="inlineStr">
        <is>
          <t>FP</t>
        </is>
      </c>
      <c r="J209" s="21" t="inlineStr">
        <is>
          <t>M</t>
        </is>
      </c>
      <c r="K209" s="21" t="inlineStr">
        <is>
          <t>N</t>
        </is>
      </c>
      <c r="L209" s="21" t="inlineStr">
        <is>
          <t>No</t>
        </is>
      </c>
      <c r="M209" s="21" t="inlineStr"/>
      <c r="N209" s="22" t="inlineStr">
        <is>
          <t>No reference threat corresponds to this finding's mechanism (scoring found no class with sufficient evidence).</t>
        </is>
      </c>
      <c r="O209" s="5" t="inlineStr"/>
      <c r="P209" s="16" t="inlineStr">
        <is>
          <t>Malicious LLM Output</t>
        </is>
      </c>
      <c r="Q209" s="16" t="inlineStr">
        <is>
          <t>LLM Integration Service, External LLM Provider</t>
        </is>
      </c>
      <c r="R209" s="16" t="inlineStr"/>
      <c r="S209" s="5" t="inlineStr">
        <is>
          <t>Confirmed</t>
        </is>
      </c>
    </row>
    <row r="210" ht="16" customHeight="1">
      <c r="A210" s="5" t="inlineStr">
        <is>
          <t>OLLAMA-S1-F004</t>
        </is>
      </c>
      <c r="B210" s="5" t="inlineStr">
        <is>
          <t>OLLAMA</t>
        </is>
      </c>
      <c r="C210" s="5" t="inlineStr">
        <is>
          <t>S1</t>
        </is>
      </c>
      <c r="D210" s="21" t="str">
        <f>IFERROR(VLOOKUP($G210,'02_REFERENCE'!$A$2:$S$99,4,FALSE),"N/A")</f>
        <v>Tampering</v>
      </c>
      <c r="E210" s="21" t="str">
        <f>IFERROR(VLOOKUP($G210,'02_REFERENCE'!$A$2:$S$99,15,FALSE),"N/A")</f>
        <v>High</v>
      </c>
      <c r="F210" s="21" t="str">
        <f>IFERROR(VLOOKUP($G210,'02_REFERENCE'!$A$2:$S$99,17,FALSE),"N/A")</f>
        <v>Yes</v>
      </c>
      <c r="G210" s="21" t="inlineStr">
        <is>
          <t>S1-RT-022</t>
        </is>
      </c>
      <c r="H210" s="21" t="inlineStr">
        <is>
          <t>Primary TP</t>
        </is>
      </c>
      <c r="I210" s="21" t="inlineStr">
        <is>
          <t>TP</t>
        </is>
      </c>
      <c r="J210" s="21" t="inlineStr">
        <is>
          <t>H</t>
        </is>
      </c>
      <c r="K210" s="21" t="inlineStr">
        <is>
          <t>Y</t>
        </is>
      </c>
      <c r="L210" s="21" t="inlineStr">
        <is>
          <t>No</t>
        </is>
      </c>
      <c r="M210" s="21" t="inlineStr"/>
      <c r="N210" s="22" t="inlineStr">
        <is>
          <t>Mechanism class prompt_injection_direct; evidence: Prompt Injection; Prompt Inject; injects malicious prompt; attacker injects malicious prompts to manipulat; Prompt Injection An attacker inject</t>
        </is>
      </c>
      <c r="O210" s="5" t="inlineStr">
        <is>
          <t>prompt_injection_direct</t>
        </is>
      </c>
      <c r="P210" s="16" t="inlineStr">
        <is>
          <t>Prompt Injection</t>
        </is>
      </c>
      <c r="Q210" s="16" t="inlineStr">
        <is>
          <t>P5, LLM Integration Service, External LLM Provider</t>
        </is>
      </c>
      <c r="R210" s="16" t="inlineStr"/>
      <c r="S210" s="5" t="inlineStr">
        <is>
          <t>Confirmed</t>
        </is>
      </c>
    </row>
    <row r="211" ht="16" customHeight="1">
      <c r="A211" s="5" t="inlineStr">
        <is>
          <t>OLLAMA-S1-F005</t>
        </is>
      </c>
      <c r="B211" s="5" t="inlineStr">
        <is>
          <t>OLLAMA</t>
        </is>
      </c>
      <c r="C211" s="5" t="inlineStr">
        <is>
          <t>S1</t>
        </is>
      </c>
      <c r="D211" s="21" t="str">
        <f>IFERROR(VLOOKUP($G211,'02_REFERENCE'!$A$2:$S$99,4,FALSE),"N/A")</f>
        <v>N/A</v>
      </c>
      <c r="E211" s="21" t="str">
        <f>IFERROR(VLOOKUP($G211,'02_REFERENCE'!$A$2:$S$99,15,FALSE),"N/A")</f>
        <v>N/A</v>
      </c>
      <c r="F211" s="21" t="str">
        <f>IFERROR(VLOOKUP($G211,'02_REFERENCE'!$A$2:$S$99,17,FALSE),"N/A")</f>
        <v>N/A</v>
      </c>
      <c r="G211" s="21" t="inlineStr"/>
      <c r="H211" s="21" t="inlineStr">
        <is>
          <t>False Positive</t>
        </is>
      </c>
      <c r="I211" s="21" t="inlineStr">
        <is>
          <t>FP</t>
        </is>
      </c>
      <c r="J211" s="21" t="inlineStr">
        <is>
          <t>M</t>
        </is>
      </c>
      <c r="K211" s="21" t="inlineStr">
        <is>
          <t>N</t>
        </is>
      </c>
      <c r="L211" s="21" t="inlineStr">
        <is>
          <t>No</t>
        </is>
      </c>
      <c r="M211" s="21" t="inlineStr"/>
      <c r="N211" s="22" t="inlineStr">
        <is>
          <t>No reference threat corresponds to this finding's mechanism (scoring found no class with sufficient evidence).</t>
        </is>
      </c>
      <c r="O211" s="5" t="inlineStr"/>
      <c r="P211" s="16" t="inlineStr">
        <is>
          <t>Insecure Input Validation</t>
        </is>
      </c>
      <c r="Q211" s="16" t="inlineStr">
        <is>
          <t>P1, Web Frontend Interface</t>
        </is>
      </c>
      <c r="R211" s="16" t="inlineStr"/>
      <c r="S211" s="5" t="inlineStr">
        <is>
          <t>Confirmed</t>
        </is>
      </c>
    </row>
    <row r="212" ht="16" customHeight="1">
      <c r="A212" s="5" t="inlineStr">
        <is>
          <t>OLLAMA-S1-F006</t>
        </is>
      </c>
      <c r="B212" s="5" t="inlineStr">
        <is>
          <t>OLLAMA</t>
        </is>
      </c>
      <c r="C212" s="5" t="inlineStr">
        <is>
          <t>S1</t>
        </is>
      </c>
      <c r="D212" s="21" t="str">
        <f>IFERROR(VLOOKUP($G212,'02_REFERENCE'!$A$2:$S$99,4,FALSE),"N/A")</f>
        <v>N/A</v>
      </c>
      <c r="E212" s="21" t="str">
        <f>IFERROR(VLOOKUP($G212,'02_REFERENCE'!$A$2:$S$99,15,FALSE),"N/A")</f>
        <v>N/A</v>
      </c>
      <c r="F212" s="21" t="str">
        <f>IFERROR(VLOOKUP($G212,'02_REFERENCE'!$A$2:$S$99,17,FALSE),"N/A")</f>
        <v>N/A</v>
      </c>
      <c r="G212" s="21" t="inlineStr"/>
      <c r="H212" s="21" t="inlineStr">
        <is>
          <t>False Positive</t>
        </is>
      </c>
      <c r="I212" s="21" t="inlineStr">
        <is>
          <t>FP</t>
        </is>
      </c>
      <c r="J212" s="21" t="inlineStr">
        <is>
          <t>M</t>
        </is>
      </c>
      <c r="K212" s="21" t="inlineStr">
        <is>
          <t>N</t>
        </is>
      </c>
      <c r="L212" s="21" t="inlineStr">
        <is>
          <t>No</t>
        </is>
      </c>
      <c r="M212" s="21" t="inlineStr"/>
      <c r="N212" s="22" t="inlineStr">
        <is>
          <t>No reference threat corresponds to this finding's mechanism (scoring found no class with sufficient evidence).</t>
        </is>
      </c>
      <c r="O212" s="5" t="inlineStr"/>
      <c r="P212" s="16" t="inlineStr">
        <is>
          <t>Sensitive Information Disclosure</t>
        </is>
      </c>
      <c r="Q212" s="16" t="inlineStr">
        <is>
          <t>P2, User Database</t>
        </is>
      </c>
      <c r="R212" s="16" t="inlineStr"/>
      <c r="S212" s="5" t="inlineStr">
        <is>
          <t>Confirmed</t>
        </is>
      </c>
    </row>
    <row r="213" ht="16" customHeight="1">
      <c r="A213" s="5" t="inlineStr">
        <is>
          <t>OLLAMA-S1-F007</t>
        </is>
      </c>
      <c r="B213" s="5" t="inlineStr">
        <is>
          <t>OLLAMA</t>
        </is>
      </c>
      <c r="C213" s="5" t="inlineStr">
        <is>
          <t>S1</t>
        </is>
      </c>
      <c r="D213" s="21" t="str">
        <f>IFERROR(VLOOKUP($G213,'02_REFERENCE'!$A$2:$S$99,4,FALSE),"N/A")</f>
        <v>Tampering</v>
      </c>
      <c r="E213" s="21" t="str">
        <f>IFERROR(VLOOKUP($G213,'02_REFERENCE'!$A$2:$S$99,15,FALSE),"N/A")</f>
        <v>Critical</v>
      </c>
      <c r="F213" s="21" t="str">
        <f>IFERROR(VLOOKUP($G213,'02_REFERENCE'!$A$2:$S$99,17,FALSE),"N/A")</f>
        <v>Yes</v>
      </c>
      <c r="G213" s="21" t="inlineStr">
        <is>
          <t>S1-RT-033</t>
        </is>
      </c>
      <c r="H213" s="21" t="inlineStr">
        <is>
          <t>Primary TP</t>
        </is>
      </c>
      <c r="I213" s="21" t="inlineStr">
        <is>
          <t>TP</t>
        </is>
      </c>
      <c r="J213" s="21" t="inlineStr">
        <is>
          <t>L</t>
        </is>
      </c>
      <c r="K213" s="21" t="inlineStr">
        <is>
          <t>Y</t>
        </is>
      </c>
      <c r="L213" s="21" t="inlineStr">
        <is>
          <t>No</t>
        </is>
      </c>
      <c r="M213" s="21" t="inlineStr"/>
      <c r="N213" s="22" t="inlineStr">
        <is>
          <t>Mechanism class unsafe_output; evidence: Insecure Output Handling The external LLM provider</t>
        </is>
      </c>
      <c r="O213" s="5" t="inlineStr">
        <is>
          <t>unsafe_output</t>
        </is>
      </c>
      <c r="P213" s="16" t="inlineStr">
        <is>
          <t>Insecure Output Handling</t>
        </is>
      </c>
      <c r="Q213" s="16" t="inlineStr">
        <is>
          <t>LLM Integration Service, External LLM Provider</t>
        </is>
      </c>
      <c r="R213" s="16" t="inlineStr"/>
      <c r="S213" s="5" t="inlineStr">
        <is>
          <t>Manual review</t>
        </is>
      </c>
    </row>
    <row r="214" ht="16" customHeight="1">
      <c r="A214" s="5" t="inlineStr">
        <is>
          <t>OLLAMA-S1-F008</t>
        </is>
      </c>
      <c r="B214" s="5" t="inlineStr">
        <is>
          <t>OLLAMA</t>
        </is>
      </c>
      <c r="C214" s="5" t="inlineStr">
        <is>
          <t>S1</t>
        </is>
      </c>
      <c r="D214" s="21" t="str">
        <f>IFERROR(VLOOKUP($G214,'02_REFERENCE'!$A$2:$S$99,4,FALSE),"N/A")</f>
        <v>N/A</v>
      </c>
      <c r="E214" s="21" t="str">
        <f>IFERROR(VLOOKUP($G214,'02_REFERENCE'!$A$2:$S$99,15,FALSE),"N/A")</f>
        <v>N/A</v>
      </c>
      <c r="F214" s="21" t="str">
        <f>IFERROR(VLOOKUP($G214,'02_REFERENCE'!$A$2:$S$99,17,FALSE),"N/A")</f>
        <v>N/A</v>
      </c>
      <c r="G214" s="21" t="inlineStr"/>
      <c r="H214" s="21" t="inlineStr">
        <is>
          <t>False Positive</t>
        </is>
      </c>
      <c r="I214" s="21" t="inlineStr">
        <is>
          <t>FP</t>
        </is>
      </c>
      <c r="J214" s="21" t="inlineStr">
        <is>
          <t>H</t>
        </is>
      </c>
      <c r="K214" s="21" t="inlineStr">
        <is>
          <t>N</t>
        </is>
      </c>
      <c r="L214" s="21" t="inlineStr">
        <is>
          <t>No</t>
        </is>
      </c>
      <c r="M214" s="21" t="inlineStr"/>
      <c r="N214" s="22" t="inlineStr">
        <is>
          <t>Template-class trust_boundary_data (no reference threat): Trust Boundary Cross; crosses the trust boundary</t>
        </is>
      </c>
      <c r="O214" s="5" t="inlineStr">
        <is>
          <t>trust_boundary_data</t>
        </is>
      </c>
      <c r="P214" s="16" t="inlineStr">
        <is>
          <t>Trust Boundary Crossing (Data)</t>
        </is>
      </c>
      <c r="Q214" s="16" t="inlineStr">
        <is>
          <t>External User Environment, Application Environment</t>
        </is>
      </c>
      <c r="R214" s="16" t="inlineStr"/>
      <c r="S214" s="5" t="inlineStr">
        <is>
          <t>Confirmed</t>
        </is>
      </c>
    </row>
    <row r="215" ht="16" customHeight="1">
      <c r="A215" s="5" t="inlineStr">
        <is>
          <t>OLLAMA-S1-F009</t>
        </is>
      </c>
      <c r="B215" s="5" t="inlineStr">
        <is>
          <t>OLLAMA</t>
        </is>
      </c>
      <c r="C215" s="5" t="inlineStr">
        <is>
          <t>S1</t>
        </is>
      </c>
      <c r="D215" s="21" t="str">
        <f>IFERROR(VLOOKUP($G215,'02_REFERENCE'!$A$2:$S$99,4,FALSE),"N/A")</f>
        <v>Tampering</v>
      </c>
      <c r="E215" s="21" t="str">
        <f>IFERROR(VLOOKUP($G215,'02_REFERENCE'!$A$2:$S$99,15,FALSE),"N/A")</f>
        <v>High</v>
      </c>
      <c r="F215" s="21" t="str">
        <f>IFERROR(VLOOKUP($G215,'02_REFERENCE'!$A$2:$S$99,17,FALSE),"N/A")</f>
        <v>No</v>
      </c>
      <c r="G215" s="21" t="inlineStr">
        <is>
          <t>S1-RT-017</t>
        </is>
      </c>
      <c r="H215" s="21" t="inlineStr">
        <is>
          <t>Duplicate</t>
        </is>
      </c>
      <c r="I215" s="21" t="inlineStr">
        <is>
          <t>TP</t>
        </is>
      </c>
      <c r="J215" s="21" t="inlineStr">
        <is>
          <t>M</t>
        </is>
      </c>
      <c r="K215" s="21" t="inlineStr">
        <is>
          <t>N</t>
        </is>
      </c>
      <c r="L215" s="21" t="inlineStr">
        <is>
          <t>Yes</t>
        </is>
      </c>
      <c r="M215" s="21" t="inlineStr">
        <is>
          <t>OLLAMA-S1-F002</t>
        </is>
      </c>
      <c r="N215" s="22" t="inlineStr">
        <is>
          <t>Mechanism class session_store_tamper; evidence: Session) An attacker manipulat; manipulates session data [Equivalence: restates OLLAMA-S1-F002 — one-to-one rule applied.]</t>
        </is>
      </c>
      <c r="O215" s="5" t="inlineStr">
        <is>
          <t>session_store_tamper</t>
        </is>
      </c>
      <c r="P215" s="16" t="inlineStr">
        <is>
          <t>Trust Boundary Crossing (Session)</t>
        </is>
      </c>
      <c r="Q215" s="16" t="inlineStr">
        <is>
          <t>Session Storage, External LLM Provider</t>
        </is>
      </c>
      <c r="R215" s="16" t="inlineStr"/>
      <c r="S215" s="5" t="inlineStr">
        <is>
          <t>Confirmed</t>
        </is>
      </c>
    </row>
    <row r="216" ht="16" customHeight="1">
      <c r="A216" s="5" t="inlineStr">
        <is>
          <t>OLLAMA-S1-F010</t>
        </is>
      </c>
      <c r="B216" s="5" t="inlineStr">
        <is>
          <t>OLLAMA</t>
        </is>
      </c>
      <c r="C216" s="5" t="inlineStr">
        <is>
          <t>S1</t>
        </is>
      </c>
      <c r="D216" s="21" t="str">
        <f>IFERROR(VLOOKUP($G216,'02_REFERENCE'!$A$2:$S$99,4,FALSE),"N/A")</f>
        <v>Spoofing</v>
      </c>
      <c r="E216" s="21" t="str">
        <f>IFERROR(VLOOKUP($G216,'02_REFERENCE'!$A$2:$S$99,15,FALSE),"N/A")</f>
        <v>Critical</v>
      </c>
      <c r="F216" s="21" t="str">
        <f>IFERROR(VLOOKUP($G216,'02_REFERENCE'!$A$2:$S$99,17,FALSE),"N/A")</f>
        <v>No</v>
      </c>
      <c r="G216" s="21" t="inlineStr">
        <is>
          <t>S1-RT-004</t>
        </is>
      </c>
      <c r="H216" s="21" t="inlineStr">
        <is>
          <t>Duplicate</t>
        </is>
      </c>
      <c r="I216" s="21" t="inlineStr">
        <is>
          <t>TP</t>
        </is>
      </c>
      <c r="J216" s="21" t="inlineStr">
        <is>
          <t>M</t>
        </is>
      </c>
      <c r="K216" s="21" t="inlineStr">
        <is>
          <t>N</t>
        </is>
      </c>
      <c r="L216" s="21" t="inlineStr">
        <is>
          <t>Yes</t>
        </is>
      </c>
      <c r="M216" s="21" t="inlineStr">
        <is>
          <t>OLLAMA-S1-F001</t>
        </is>
      </c>
      <c r="N216" s="22" t="inlineStr">
        <is>
          <t>Mechanism class auth_bypass_logic; evidence: bypass authentication; bypass authentication [Equivalence: restates OLLAMA-S1-F001 — one-to-one rule applied.]</t>
        </is>
      </c>
      <c r="O216" s="5" t="inlineStr">
        <is>
          <t>auth_bypass_logic</t>
        </is>
      </c>
      <c r="P216" s="16" t="inlineStr">
        <is>
          <t>Unauthorized Access</t>
        </is>
      </c>
      <c r="Q216" s="16" t="inlineStr">
        <is>
          <t>P2, User Database, Session Storage</t>
        </is>
      </c>
      <c r="R216" s="16" t="inlineStr"/>
      <c r="S216" s="5" t="inlineStr">
        <is>
          <t>Confirmed</t>
        </is>
      </c>
    </row>
    <row r="217" ht="16" customHeight="1">
      <c r="A217" s="5" t="inlineStr">
        <is>
          <t>OLLAMA-S1-F011</t>
        </is>
      </c>
      <c r="B217" s="5" t="inlineStr">
        <is>
          <t>OLLAMA</t>
        </is>
      </c>
      <c r="C217" s="5" t="inlineStr">
        <is>
          <t>S1</t>
        </is>
      </c>
      <c r="D217" s="21" t="str">
        <f>IFERROR(VLOOKUP($G217,'02_REFERENCE'!$A$2:$S$99,4,FALSE),"N/A")</f>
        <v>Tampering</v>
      </c>
      <c r="E217" s="21" t="str">
        <f>IFERROR(VLOOKUP($G217,'02_REFERENCE'!$A$2:$S$99,15,FALSE),"N/A")</f>
        <v>High</v>
      </c>
      <c r="F217" s="21" t="str">
        <f>IFERROR(VLOOKUP($G217,'02_REFERENCE'!$A$2:$S$99,17,FALSE),"N/A")</f>
        <v>No</v>
      </c>
      <c r="G217" s="21" t="inlineStr">
        <is>
          <t>S1-RT-017</t>
        </is>
      </c>
      <c r="H217" s="21" t="inlineStr">
        <is>
          <t>Duplicate</t>
        </is>
      </c>
      <c r="I217" s="21" t="inlineStr">
        <is>
          <t>TP</t>
        </is>
      </c>
      <c r="J217" s="21" t="inlineStr">
        <is>
          <t>H</t>
        </is>
      </c>
      <c r="K217" s="21" t="inlineStr">
        <is>
          <t>N</t>
        </is>
      </c>
      <c r="L217" s="21" t="inlineStr">
        <is>
          <t>Yes</t>
        </is>
      </c>
      <c r="M217" s="21" t="inlineStr">
        <is>
          <t>OLLAMA-S1-F002</t>
        </is>
      </c>
      <c r="N217" s="22" t="inlineStr">
        <is>
          <t>Mechanism class session_store_tamper; evidence: session data to gain unauthorized access. Compromis; Tampering An attacker manipulates session data [Equivalence: restates OLLAMA-S1-F002 — one-to-one rule applied.]</t>
        </is>
      </c>
      <c r="O217" s="5" t="inlineStr">
        <is>
          <t>session_store_tamper</t>
        </is>
      </c>
      <c r="P217" s="16" t="inlineStr">
        <is>
          <t>Data Tampering</t>
        </is>
      </c>
      <c r="Q217" s="16" t="inlineStr">
        <is>
          <t>P3, Session Management Module, Session Storage</t>
        </is>
      </c>
      <c r="R217" s="16" t="inlineStr"/>
      <c r="S217" s="5" t="inlineStr">
        <is>
          <t>Confirmed</t>
        </is>
      </c>
    </row>
    <row r="218" ht="16" customHeight="1">
      <c r="A218" s="5" t="inlineStr">
        <is>
          <t>OLLAMA-S1-F012</t>
        </is>
      </c>
      <c r="B218" s="5" t="inlineStr">
        <is>
          <t>OLLAMA</t>
        </is>
      </c>
      <c r="C218" s="5" t="inlineStr">
        <is>
          <t>S1</t>
        </is>
      </c>
      <c r="D218" s="21" t="str">
        <f>IFERROR(VLOOKUP($G218,'02_REFERENCE'!$A$2:$S$99,4,FALSE),"N/A")</f>
        <v>N/A</v>
      </c>
      <c r="E218" s="21" t="str">
        <f>IFERROR(VLOOKUP($G218,'02_REFERENCE'!$A$2:$S$99,15,FALSE),"N/A")</f>
        <v>N/A</v>
      </c>
      <c r="F218" s="21" t="str">
        <f>IFERROR(VLOOKUP($G218,'02_REFERENCE'!$A$2:$S$99,17,FALSE),"N/A")</f>
        <v>N/A</v>
      </c>
      <c r="G218" s="21" t="inlineStr"/>
      <c r="H218" s="21" t="inlineStr">
        <is>
          <t>False Positive</t>
        </is>
      </c>
      <c r="I218" s="21" t="inlineStr">
        <is>
          <t>FP</t>
        </is>
      </c>
      <c r="J218" s="21" t="inlineStr">
        <is>
          <t>M</t>
        </is>
      </c>
      <c r="K218" s="21" t="inlineStr">
        <is>
          <t>N</t>
        </is>
      </c>
      <c r="L218" s="21" t="inlineStr">
        <is>
          <t>No</t>
        </is>
      </c>
      <c r="M218" s="21" t="inlineStr"/>
      <c r="N218" s="22" t="inlineStr">
        <is>
          <t>No reference threat corresponds to this finding's mechanism (scoring found no class with sufficient evidence).</t>
        </is>
      </c>
      <c r="O218" s="5" t="inlineStr"/>
      <c r="P218" s="16" t="inlineStr">
        <is>
          <t>Malicious LLM Output</t>
        </is>
      </c>
      <c r="Q218" s="16" t="inlineStr">
        <is>
          <t>LLM Integration Service, External LLM Provider</t>
        </is>
      </c>
      <c r="R218" s="16" t="inlineStr"/>
      <c r="S218" s="5" t="inlineStr">
        <is>
          <t>Confirmed</t>
        </is>
      </c>
    </row>
    <row r="219" ht="16" customHeight="1">
      <c r="A219" s="5" t="inlineStr">
        <is>
          <t>OLLAMA-S1-F013</t>
        </is>
      </c>
      <c r="B219" s="5" t="inlineStr">
        <is>
          <t>OLLAMA</t>
        </is>
      </c>
      <c r="C219" s="5" t="inlineStr">
        <is>
          <t>S1</t>
        </is>
      </c>
      <c r="D219" s="21" t="str">
        <f>IFERROR(VLOOKUP($G219,'02_REFERENCE'!$A$2:$S$99,4,FALSE),"N/A")</f>
        <v>Tampering</v>
      </c>
      <c r="E219" s="21" t="str">
        <f>IFERROR(VLOOKUP($G219,'02_REFERENCE'!$A$2:$S$99,15,FALSE),"N/A")</f>
        <v>High</v>
      </c>
      <c r="F219" s="21" t="str">
        <f>IFERROR(VLOOKUP($G219,'02_REFERENCE'!$A$2:$S$99,17,FALSE),"N/A")</f>
        <v>Yes</v>
      </c>
      <c r="G219" s="21" t="inlineStr">
        <is>
          <t>S1-RT-022</t>
        </is>
      </c>
      <c r="H219" s="21" t="inlineStr">
        <is>
          <t>Duplicate</t>
        </is>
      </c>
      <c r="I219" s="21" t="inlineStr">
        <is>
          <t>TP</t>
        </is>
      </c>
      <c r="J219" s="21" t="inlineStr">
        <is>
          <t>H</t>
        </is>
      </c>
      <c r="K219" s="21" t="inlineStr">
        <is>
          <t>N</t>
        </is>
      </c>
      <c r="L219" s="21" t="inlineStr">
        <is>
          <t>Yes</t>
        </is>
      </c>
      <c r="M219" s="21" t="inlineStr">
        <is>
          <t>OLLAMA-S1-F004</t>
        </is>
      </c>
      <c r="N219" s="22" t="inlineStr">
        <is>
          <t>Mechanism class prompt_injection_direct; evidence: Prompt Injection; Prompt Inject; injects malicious prompt; attacker injects malicious prompts to manipulat; Prompt Injection An attacker inject [Equivalence: restates OLLAMA-S1-F004 — one-to-one rule applied.]</t>
        </is>
      </c>
      <c r="O219" s="5" t="inlineStr">
        <is>
          <t>prompt_injection_direct</t>
        </is>
      </c>
      <c r="P219" s="16" t="inlineStr">
        <is>
          <t>Prompt Injection</t>
        </is>
      </c>
      <c r="Q219" s="16" t="inlineStr">
        <is>
          <t>P5, LLM Integration Service, External LLM Provider</t>
        </is>
      </c>
      <c r="R219" s="16" t="inlineStr"/>
      <c r="S219" s="5" t="inlineStr">
        <is>
          <t>Confirmed</t>
        </is>
      </c>
    </row>
    <row r="220" ht="16" customHeight="1">
      <c r="A220" s="5" t="inlineStr">
        <is>
          <t>OLLAMA-S1-F014</t>
        </is>
      </c>
      <c r="B220" s="5" t="inlineStr">
        <is>
          <t>OLLAMA</t>
        </is>
      </c>
      <c r="C220" s="5" t="inlineStr">
        <is>
          <t>S1</t>
        </is>
      </c>
      <c r="D220" s="21" t="str">
        <f>IFERROR(VLOOKUP($G220,'02_REFERENCE'!$A$2:$S$99,4,FALSE),"N/A")</f>
        <v>N/A</v>
      </c>
      <c r="E220" s="21" t="str">
        <f>IFERROR(VLOOKUP($G220,'02_REFERENCE'!$A$2:$S$99,15,FALSE),"N/A")</f>
        <v>N/A</v>
      </c>
      <c r="F220" s="21" t="str">
        <f>IFERROR(VLOOKUP($G220,'02_REFERENCE'!$A$2:$S$99,17,FALSE),"N/A")</f>
        <v>N/A</v>
      </c>
      <c r="G220" s="21" t="inlineStr"/>
      <c r="H220" s="21" t="inlineStr">
        <is>
          <t>False Positive</t>
        </is>
      </c>
      <c r="I220" s="21" t="inlineStr">
        <is>
          <t>FP</t>
        </is>
      </c>
      <c r="J220" s="21" t="inlineStr">
        <is>
          <t>M</t>
        </is>
      </c>
      <c r="K220" s="21" t="inlineStr">
        <is>
          <t>N</t>
        </is>
      </c>
      <c r="L220" s="21" t="inlineStr">
        <is>
          <t>No</t>
        </is>
      </c>
      <c r="M220" s="21" t="inlineStr"/>
      <c r="N220" s="22" t="inlineStr">
        <is>
          <t>No reference threat corresponds to this finding's mechanism (scoring found no class with sufficient evidence).</t>
        </is>
      </c>
      <c r="O220" s="5" t="inlineStr"/>
      <c r="P220" s="16" t="inlineStr">
        <is>
          <t>AI Component Evasion</t>
        </is>
      </c>
      <c r="Q220" s="16" t="inlineStr">
        <is>
          <t>AI Chatbot Component, User Database, Session Storage</t>
        </is>
      </c>
      <c r="R220" s="16" t="inlineStr"/>
      <c r="S220" s="5" t="inlineStr">
        <is>
          <t>Confirmed</t>
        </is>
      </c>
    </row>
    <row r="221" ht="16" customHeight="1">
      <c r="A221" s="5" t="inlineStr">
        <is>
          <t>OLLAMA-S1-F015</t>
        </is>
      </c>
      <c r="B221" s="5" t="inlineStr">
        <is>
          <t>OLLAMA</t>
        </is>
      </c>
      <c r="C221" s="5" t="inlineStr">
        <is>
          <t>S1</t>
        </is>
      </c>
      <c r="D221" s="21" t="str">
        <f>IFERROR(VLOOKUP($G221,'02_REFERENCE'!$A$2:$S$99,4,FALSE),"N/A")</f>
        <v>N/A</v>
      </c>
      <c r="E221" s="21" t="str">
        <f>IFERROR(VLOOKUP($G221,'02_REFERENCE'!$A$2:$S$99,15,FALSE),"N/A")</f>
        <v>N/A</v>
      </c>
      <c r="F221" s="21" t="str">
        <f>IFERROR(VLOOKUP($G221,'02_REFERENCE'!$A$2:$S$99,17,FALSE),"N/A")</f>
        <v>N/A</v>
      </c>
      <c r="G221" s="21" t="inlineStr"/>
      <c r="H221" s="21" t="inlineStr">
        <is>
          <t>False Positive</t>
        </is>
      </c>
      <c r="I221" s="21" t="inlineStr">
        <is>
          <t>FP</t>
        </is>
      </c>
      <c r="J221" s="21" t="inlineStr">
        <is>
          <t>M</t>
        </is>
      </c>
      <c r="K221" s="21" t="inlineStr">
        <is>
          <t>N</t>
        </is>
      </c>
      <c r="L221" s="21" t="inlineStr">
        <is>
          <t>No</t>
        </is>
      </c>
      <c r="M221" s="21" t="inlineStr"/>
      <c r="N221" s="22" t="inlineStr">
        <is>
          <t>No reference threat corresponds to this finding's mechanism (scoring found no class with sufficient evidence).</t>
        </is>
      </c>
      <c r="O221" s="5" t="inlineStr"/>
      <c r="P221" s="16" t="inlineStr">
        <is>
          <t>Insecure Input Validation</t>
        </is>
      </c>
      <c r="Q221" s="16" t="inlineStr">
        <is>
          <t>P1, Web Frontend Interface</t>
        </is>
      </c>
      <c r="R221" s="16" t="inlineStr"/>
      <c r="S221" s="5" t="inlineStr">
        <is>
          <t>Confirmed</t>
        </is>
      </c>
    </row>
    <row r="222" ht="16" customHeight="1">
      <c r="A222" s="5" t="inlineStr">
        <is>
          <t>OLLAMA-S1-F016</t>
        </is>
      </c>
      <c r="B222" s="5" t="inlineStr">
        <is>
          <t>OLLAMA</t>
        </is>
      </c>
      <c r="C222" s="5" t="inlineStr">
        <is>
          <t>S1</t>
        </is>
      </c>
      <c r="D222" s="21" t="str">
        <f>IFERROR(VLOOKUP($G222,'02_REFERENCE'!$A$2:$S$99,4,FALSE),"N/A")</f>
        <v>N/A</v>
      </c>
      <c r="E222" s="21" t="str">
        <f>IFERROR(VLOOKUP($G222,'02_REFERENCE'!$A$2:$S$99,15,FALSE),"N/A")</f>
        <v>N/A</v>
      </c>
      <c r="F222" s="21" t="str">
        <f>IFERROR(VLOOKUP($G222,'02_REFERENCE'!$A$2:$S$99,17,FALSE),"N/A")</f>
        <v>N/A</v>
      </c>
      <c r="G222" s="21" t="inlineStr"/>
      <c r="H222" s="21" t="inlineStr">
        <is>
          <t>False Positive</t>
        </is>
      </c>
      <c r="I222" s="21" t="inlineStr">
        <is>
          <t>FP</t>
        </is>
      </c>
      <c r="J222" s="21" t="inlineStr">
        <is>
          <t>M</t>
        </is>
      </c>
      <c r="K222" s="21" t="inlineStr">
        <is>
          <t>N</t>
        </is>
      </c>
      <c r="L222" s="21" t="inlineStr">
        <is>
          <t>No</t>
        </is>
      </c>
      <c r="M222" s="21" t="inlineStr"/>
      <c r="N222" s="22" t="inlineStr">
        <is>
          <t>No reference threat corresponds to this finding's mechanism (scoring found no class with sufficient evidence).</t>
        </is>
      </c>
      <c r="O222" s="5" t="inlineStr"/>
      <c r="P222" s="16" t="inlineStr">
        <is>
          <t>Sensitive Information Disclosure</t>
        </is>
      </c>
      <c r="Q222" s="16" t="inlineStr">
        <is>
          <t>P2, User Database</t>
        </is>
      </c>
      <c r="R222" s="16" t="inlineStr"/>
      <c r="S222" s="5" t="inlineStr">
        <is>
          <t>Confirmed</t>
        </is>
      </c>
    </row>
    <row r="223" ht="16" customHeight="1">
      <c r="A223" s="5" t="inlineStr">
        <is>
          <t>OLLAMA-S1-F017</t>
        </is>
      </c>
      <c r="B223" s="5" t="inlineStr">
        <is>
          <t>OLLAMA</t>
        </is>
      </c>
      <c r="C223" s="5" t="inlineStr">
        <is>
          <t>S1</t>
        </is>
      </c>
      <c r="D223" s="21" t="str">
        <f>IFERROR(VLOOKUP($G223,'02_REFERENCE'!$A$2:$S$99,4,FALSE),"N/A")</f>
        <v>Tampering</v>
      </c>
      <c r="E223" s="21" t="str">
        <f>IFERROR(VLOOKUP($G223,'02_REFERENCE'!$A$2:$S$99,15,FALSE),"N/A")</f>
        <v>Critical</v>
      </c>
      <c r="F223" s="21" t="str">
        <f>IFERROR(VLOOKUP($G223,'02_REFERENCE'!$A$2:$S$99,17,FALSE),"N/A")</f>
        <v>Yes</v>
      </c>
      <c r="G223" s="21" t="inlineStr">
        <is>
          <t>S1-RT-033</t>
        </is>
      </c>
      <c r="H223" s="21" t="inlineStr">
        <is>
          <t>Duplicate</t>
        </is>
      </c>
      <c r="I223" s="21" t="inlineStr">
        <is>
          <t>TP</t>
        </is>
      </c>
      <c r="J223" s="21" t="inlineStr">
        <is>
          <t>L</t>
        </is>
      </c>
      <c r="K223" s="21" t="inlineStr">
        <is>
          <t>N</t>
        </is>
      </c>
      <c r="L223" s="21" t="inlineStr">
        <is>
          <t>Yes</t>
        </is>
      </c>
      <c r="M223" s="21" t="inlineStr">
        <is>
          <t>OLLAMA-S1-F007</t>
        </is>
      </c>
      <c r="N223" s="22" t="inlineStr">
        <is>
          <t>Mechanism class unsafe_output; evidence: Insecure Output Handling The external LLM provider [Equivalence: restates OLLAMA-S1-F007 — one-to-one rule applied.]</t>
        </is>
      </c>
      <c r="O223" s="5" t="inlineStr">
        <is>
          <t>unsafe_output</t>
        </is>
      </c>
      <c r="P223" s="16" t="inlineStr">
        <is>
          <t>Insecure Output Handling</t>
        </is>
      </c>
      <c r="Q223" s="16" t="inlineStr">
        <is>
          <t>LLM Integration Service, External LLM Provider</t>
        </is>
      </c>
      <c r="R223" s="16" t="inlineStr"/>
      <c r="S223" s="5" t="inlineStr">
        <is>
          <t>Manual review</t>
        </is>
      </c>
    </row>
    <row r="224" ht="16" customHeight="1">
      <c r="A224" s="5" t="inlineStr">
        <is>
          <t>OLLAMA-S1-F018</t>
        </is>
      </c>
      <c r="B224" s="5" t="inlineStr">
        <is>
          <t>OLLAMA</t>
        </is>
      </c>
      <c r="C224" s="5" t="inlineStr">
        <is>
          <t>S1</t>
        </is>
      </c>
      <c r="D224" s="21" t="str">
        <f>IFERROR(VLOOKUP($G224,'02_REFERENCE'!$A$2:$S$99,4,FALSE),"N/A")</f>
        <v>N/A</v>
      </c>
      <c r="E224" s="21" t="str">
        <f>IFERROR(VLOOKUP($G224,'02_REFERENCE'!$A$2:$S$99,15,FALSE),"N/A")</f>
        <v>N/A</v>
      </c>
      <c r="F224" s="21" t="str">
        <f>IFERROR(VLOOKUP($G224,'02_REFERENCE'!$A$2:$S$99,17,FALSE),"N/A")</f>
        <v>N/A</v>
      </c>
      <c r="G224" s="21" t="inlineStr"/>
      <c r="H224" s="21" t="inlineStr">
        <is>
          <t>False Positive</t>
        </is>
      </c>
      <c r="I224" s="21" t="inlineStr">
        <is>
          <t>FP</t>
        </is>
      </c>
      <c r="J224" s="21" t="inlineStr">
        <is>
          <t>M</t>
        </is>
      </c>
      <c r="K224" s="21" t="inlineStr">
        <is>
          <t>N</t>
        </is>
      </c>
      <c r="L224" s="21" t="inlineStr">
        <is>
          <t>No</t>
        </is>
      </c>
      <c r="M224" s="21" t="inlineStr"/>
      <c r="N224" s="22" t="inlineStr">
        <is>
          <t>No reference threat corresponds to this finding's mechanism (scoring found no class with sufficient evidence).</t>
        </is>
      </c>
      <c r="O224" s="5" t="inlineStr"/>
      <c r="P224" s="16" t="inlineStr">
        <is>
          <t>Lack of Secure Default Settings</t>
        </is>
      </c>
      <c r="Q224" s="16" t="inlineStr">
        <is>
          <t>AI Chatbot Component, User Database</t>
        </is>
      </c>
      <c r="R224" s="16" t="inlineStr"/>
      <c r="S224" s="5" t="inlineStr">
        <is>
          <t>Confirmed</t>
        </is>
      </c>
    </row>
    <row r="225" ht="16" customHeight="1">
      <c r="A225" s="5" t="inlineStr">
        <is>
          <t>OLLAMA-S1-F019</t>
        </is>
      </c>
      <c r="B225" s="5" t="inlineStr">
        <is>
          <t>OLLAMA</t>
        </is>
      </c>
      <c r="C225" s="5" t="inlineStr">
        <is>
          <t>S1</t>
        </is>
      </c>
      <c r="D225" s="21" t="str">
        <f>IFERROR(VLOOKUP($G225,'02_REFERENCE'!$A$2:$S$99,4,FALSE),"N/A")</f>
        <v>Tampering</v>
      </c>
      <c r="E225" s="21" t="str">
        <f>IFERROR(VLOOKUP($G225,'02_REFERENCE'!$A$2:$S$99,15,FALSE),"N/A")</f>
        <v>High</v>
      </c>
      <c r="F225" s="21" t="str">
        <f>IFERROR(VLOOKUP($G225,'02_REFERENCE'!$A$2:$S$99,17,FALSE),"N/A")</f>
        <v>No</v>
      </c>
      <c r="G225" s="21" t="inlineStr">
        <is>
          <t>S1-RT-017</t>
        </is>
      </c>
      <c r="H225" s="21" t="inlineStr">
        <is>
          <t>Duplicate</t>
        </is>
      </c>
      <c r="I225" s="21" t="inlineStr">
        <is>
          <t>TP</t>
        </is>
      </c>
      <c r="J225" s="21" t="inlineStr">
        <is>
          <t>M</t>
        </is>
      </c>
      <c r="K225" s="21" t="inlineStr">
        <is>
          <t>N</t>
        </is>
      </c>
      <c r="L225" s="21" t="inlineStr">
        <is>
          <t>Yes</t>
        </is>
      </c>
      <c r="M225" s="21" t="inlineStr">
        <is>
          <t>OLLAMA-S1-F002</t>
        </is>
      </c>
      <c r="N225" s="22" t="inlineStr">
        <is>
          <t>Mechanism class session_store_tamper; evidence: session data to gain unauthorized access. Compromis; manipulates session data [Equivalence: restates OLLAMA-S1-F002 — one-to-one rule applied.]</t>
        </is>
      </c>
      <c r="O225" s="5" t="inlineStr">
        <is>
          <t>session_store_tamper</t>
        </is>
      </c>
      <c r="P225" s="16" t="inlineStr">
        <is>
          <t>Inadequate Data Validation</t>
        </is>
      </c>
      <c r="Q225" s="16" t="inlineStr">
        <is>
          <t>P3, Session Management Module, Session Storage</t>
        </is>
      </c>
      <c r="R225" s="16" t="inlineStr"/>
      <c r="S225" s="5" t="inlineStr">
        <is>
          <t>Confirmed</t>
        </is>
      </c>
    </row>
    <row r="226" ht="16" customHeight="1">
      <c r="A226" s="5" t="inlineStr">
        <is>
          <t>OLLAMA-S1-F020</t>
        </is>
      </c>
      <c r="B226" s="5" t="inlineStr">
        <is>
          <t>OLLAMA</t>
        </is>
      </c>
      <c r="C226" s="5" t="inlineStr">
        <is>
          <t>S1</t>
        </is>
      </c>
      <c r="D226" s="21" t="str">
        <f>IFERROR(VLOOKUP($G226,'02_REFERENCE'!$A$2:$S$99,4,FALSE),"N/A")</f>
        <v>Information Disclosure</v>
      </c>
      <c r="E226" s="21" t="str">
        <f>IFERROR(VLOOKUP($G226,'02_REFERENCE'!$A$2:$S$99,15,FALSE),"N/A")</f>
        <v>Critical</v>
      </c>
      <c r="F226" s="21" t="str">
        <f>IFERROR(VLOOKUP($G226,'02_REFERENCE'!$A$2:$S$99,17,FALSE),"N/A")</f>
        <v>No</v>
      </c>
      <c r="G226" s="21" t="inlineStr">
        <is>
          <t>S1-RT-018</t>
        </is>
      </c>
      <c r="H226" s="21" t="inlineStr">
        <is>
          <t>Primary TP</t>
        </is>
      </c>
      <c r="I226" s="21" t="inlineStr">
        <is>
          <t>TP</t>
        </is>
      </c>
      <c r="J226" s="21" t="inlineStr">
        <is>
          <t>L</t>
        </is>
      </c>
      <c r="K226" s="21" t="inlineStr">
        <is>
          <t>Y</t>
        </is>
      </c>
      <c r="L226" s="21" t="inlineStr">
        <is>
          <t>No</t>
        </is>
      </c>
      <c r="M226" s="21" t="inlineStr"/>
      <c r="N226" s="22" t="inlineStr">
        <is>
          <t>Mechanism class mass_disclosure; evidence: Collection The AI component collects excessive user data</t>
        </is>
      </c>
      <c r="O226" s="5" t="inlineStr">
        <is>
          <t>mass_disclosure</t>
        </is>
      </c>
      <c r="P226" s="16" t="inlineStr">
        <is>
          <t>Excessive Data Collection</t>
        </is>
      </c>
      <c r="Q226" s="16" t="inlineStr">
        <is>
          <t>AI Chatbot Component, User Database</t>
        </is>
      </c>
      <c r="R226" s="16" t="inlineStr"/>
      <c r="S226" s="5" t="inlineStr">
        <is>
          <t>Manual review</t>
        </is>
      </c>
    </row>
    <row r="227" ht="16" customHeight="1">
      <c r="A227" s="5" t="inlineStr">
        <is>
          <t>OLLAMA-S1-F021</t>
        </is>
      </c>
      <c r="B227" s="5" t="inlineStr">
        <is>
          <t>OLLAMA</t>
        </is>
      </c>
      <c r="C227" s="5" t="inlineStr">
        <is>
          <t>S1</t>
        </is>
      </c>
      <c r="D227" s="21" t="str">
        <f>IFERROR(VLOOKUP($G227,'02_REFERENCE'!$A$2:$S$99,4,FALSE),"N/A")</f>
        <v>N/A</v>
      </c>
      <c r="E227" s="21" t="str">
        <f>IFERROR(VLOOKUP($G227,'02_REFERENCE'!$A$2:$S$99,15,FALSE),"N/A")</f>
        <v>N/A</v>
      </c>
      <c r="F227" s="21" t="str">
        <f>IFERROR(VLOOKUP($G227,'02_REFERENCE'!$A$2:$S$99,17,FALSE),"N/A")</f>
        <v>N/A</v>
      </c>
      <c r="G227" s="21" t="inlineStr"/>
      <c r="H227" s="21" t="inlineStr">
        <is>
          <t>False Positive</t>
        </is>
      </c>
      <c r="I227" s="21" t="inlineStr">
        <is>
          <t>FP</t>
        </is>
      </c>
      <c r="J227" s="21" t="inlineStr">
        <is>
          <t>M</t>
        </is>
      </c>
      <c r="K227" s="21" t="inlineStr">
        <is>
          <t>N</t>
        </is>
      </c>
      <c r="L227" s="21" t="inlineStr">
        <is>
          <t>No</t>
        </is>
      </c>
      <c r="M227" s="21" t="inlineStr"/>
      <c r="N227" s="22" t="inlineStr">
        <is>
          <t>No reference threat corresponds to this finding's mechanism (scoring found no class with sufficient evidence).</t>
        </is>
      </c>
      <c r="O227" s="5" t="inlineStr"/>
      <c r="P227" s="16" t="inlineStr">
        <is>
          <t>Inadequate Error Handling</t>
        </is>
      </c>
      <c r="Q227" s="16" t="inlineStr">
        <is>
          <t>LLM Integration Service, External LLM Provider</t>
        </is>
      </c>
      <c r="R227" s="16" t="inlineStr"/>
      <c r="S227" s="5" t="inlineStr">
        <is>
          <t>Confirmed</t>
        </is>
      </c>
    </row>
    <row r="228" ht="16" customHeight="1">
      <c r="A228" s="5" t="inlineStr">
        <is>
          <t>OLLAMA-S1-F022</t>
        </is>
      </c>
      <c r="B228" s="5" t="inlineStr">
        <is>
          <t>OLLAMA</t>
        </is>
      </c>
      <c r="C228" s="5" t="inlineStr">
        <is>
          <t>S1</t>
        </is>
      </c>
      <c r="D228" s="21" t="str">
        <f>IFERROR(VLOOKUP($G228,'02_REFERENCE'!$A$2:$S$99,4,FALSE),"N/A")</f>
        <v>N/A</v>
      </c>
      <c r="E228" s="21" t="str">
        <f>IFERROR(VLOOKUP($G228,'02_REFERENCE'!$A$2:$S$99,15,FALSE),"N/A")</f>
        <v>N/A</v>
      </c>
      <c r="F228" s="21" t="str">
        <f>IFERROR(VLOOKUP($G228,'02_REFERENCE'!$A$2:$S$99,17,FALSE),"N/A")</f>
        <v>N/A</v>
      </c>
      <c r="G228" s="21" t="inlineStr"/>
      <c r="H228" s="21" t="inlineStr">
        <is>
          <t>False Positive</t>
        </is>
      </c>
      <c r="I228" s="21" t="inlineStr">
        <is>
          <t>FP</t>
        </is>
      </c>
      <c r="J228" s="21" t="inlineStr">
        <is>
          <t>M</t>
        </is>
      </c>
      <c r="K228" s="21" t="inlineStr">
        <is>
          <t>N</t>
        </is>
      </c>
      <c r="L228" s="21" t="inlineStr">
        <is>
          <t>No</t>
        </is>
      </c>
      <c r="M228" s="21" t="inlineStr"/>
      <c r="N228" s="22" t="inlineStr">
        <is>
          <t>No reference threat corresponds to this finding's mechanism (scoring found no class with sufficient evidence).</t>
        </is>
      </c>
      <c r="O228" s="5" t="inlineStr"/>
      <c r="P228" s="16" t="inlineStr">
        <is>
          <t>Insufficient Logging and Monitoring</t>
        </is>
      </c>
      <c r="Q228" s="16" t="inlineStr">
        <is>
          <t>AI Chatbot Component, User Database, Session Storage</t>
        </is>
      </c>
      <c r="R228" s="16" t="inlineStr"/>
      <c r="S228" s="5" t="inlineStr">
        <is>
          <t>Confirmed</t>
        </is>
      </c>
    </row>
    <row r="229" ht="16" customHeight="1">
      <c r="A229" s="5" t="inlineStr">
        <is>
          <t>OLLAMA-S1-F023</t>
        </is>
      </c>
      <c r="B229" s="5" t="inlineStr">
        <is>
          <t>OLLAMA</t>
        </is>
      </c>
      <c r="C229" s="5" t="inlineStr">
        <is>
          <t>S1</t>
        </is>
      </c>
      <c r="D229" s="21" t="str">
        <f>IFERROR(VLOOKUP($G229,'02_REFERENCE'!$A$2:$S$99,4,FALSE),"N/A")</f>
        <v>N/A</v>
      </c>
      <c r="E229" s="21" t="str">
        <f>IFERROR(VLOOKUP($G229,'02_REFERENCE'!$A$2:$S$99,15,FALSE),"N/A")</f>
        <v>N/A</v>
      </c>
      <c r="F229" s="21" t="str">
        <f>IFERROR(VLOOKUP($G229,'02_REFERENCE'!$A$2:$S$99,17,FALSE),"N/A")</f>
        <v>N/A</v>
      </c>
      <c r="G229" s="21" t="inlineStr"/>
      <c r="H229" s="21" t="inlineStr">
        <is>
          <t>False Positive</t>
        </is>
      </c>
      <c r="I229" s="21" t="inlineStr">
        <is>
          <t>FP</t>
        </is>
      </c>
      <c r="J229" s="21" t="inlineStr">
        <is>
          <t>M</t>
        </is>
      </c>
      <c r="K229" s="21" t="inlineStr">
        <is>
          <t>N</t>
        </is>
      </c>
      <c r="L229" s="21" t="inlineStr">
        <is>
          <t>No</t>
        </is>
      </c>
      <c r="M229" s="21" t="inlineStr"/>
      <c r="N229" s="22" t="inlineStr">
        <is>
          <t>No reference threat corresponds to this finding's mechanism (scoring found no class with sufficient evidence).</t>
        </is>
      </c>
      <c r="O229" s="5" t="inlineStr"/>
      <c r="P229" s="16" t="inlineStr">
        <is>
          <t>Inadequate Secure Coding Practices</t>
        </is>
      </c>
      <c r="Q229" s="16" t="inlineStr">
        <is>
          <t>P1, Web Frontend Interface</t>
        </is>
      </c>
      <c r="R229" s="16" t="inlineStr"/>
      <c r="S229" s="5" t="inlineStr">
        <is>
          <t>Confirmed</t>
        </is>
      </c>
    </row>
    <row r="230" ht="16" customHeight="1">
      <c r="A230" s="5" t="inlineStr">
        <is>
          <t>OLLAMA-S1-F024</t>
        </is>
      </c>
      <c r="B230" s="5" t="inlineStr">
        <is>
          <t>OLLAMA</t>
        </is>
      </c>
      <c r="C230" s="5" t="inlineStr">
        <is>
          <t>S1</t>
        </is>
      </c>
      <c r="D230" s="21" t="str">
        <f>IFERROR(VLOOKUP($G230,'02_REFERENCE'!$A$2:$S$99,4,FALSE),"N/A")</f>
        <v>N/A</v>
      </c>
      <c r="E230" s="21" t="str">
        <f>IFERROR(VLOOKUP($G230,'02_REFERENCE'!$A$2:$S$99,15,FALSE),"N/A")</f>
        <v>N/A</v>
      </c>
      <c r="F230" s="21" t="str">
        <f>IFERROR(VLOOKUP($G230,'02_REFERENCE'!$A$2:$S$99,17,FALSE),"N/A")</f>
        <v>N/A</v>
      </c>
      <c r="G230" s="21" t="inlineStr"/>
      <c r="H230" s="21" t="inlineStr">
        <is>
          <t>False Positive</t>
        </is>
      </c>
      <c r="I230" s="21" t="inlineStr">
        <is>
          <t>FP</t>
        </is>
      </c>
      <c r="J230" s="21" t="inlineStr">
        <is>
          <t>M</t>
        </is>
      </c>
      <c r="K230" s="21" t="inlineStr">
        <is>
          <t>N</t>
        </is>
      </c>
      <c r="L230" s="21" t="inlineStr">
        <is>
          <t>No</t>
        </is>
      </c>
      <c r="M230" s="21" t="inlineStr"/>
      <c r="N230" s="22" t="inlineStr">
        <is>
          <t>No reference threat corresponds to this finding's mechanism (scoring found no class with sufficient evidence).</t>
        </is>
      </c>
      <c r="O230" s="5" t="inlineStr"/>
      <c r="P230" s="16" t="inlineStr">
        <is>
          <t>Inadequate Secure Configuration Management</t>
        </is>
      </c>
      <c r="Q230" s="16" t="inlineStr">
        <is>
          <t>AI Chatbot Component, User Database</t>
        </is>
      </c>
      <c r="R230" s="16" t="inlineStr"/>
      <c r="S230" s="5" t="inlineStr">
        <is>
          <t>Confirmed</t>
        </is>
      </c>
    </row>
    <row r="231" ht="16" customHeight="1">
      <c r="A231" s="5" t="inlineStr">
        <is>
          <t>OLLAMA-S1-F025</t>
        </is>
      </c>
      <c r="B231" s="5" t="inlineStr">
        <is>
          <t>OLLAMA</t>
        </is>
      </c>
      <c r="C231" s="5" t="inlineStr">
        <is>
          <t>S1</t>
        </is>
      </c>
      <c r="D231" s="21" t="str">
        <f>IFERROR(VLOOKUP($G231,'02_REFERENCE'!$A$2:$S$99,4,FALSE),"N/A")</f>
        <v>Spoofing</v>
      </c>
      <c r="E231" s="21" t="str">
        <f>IFERROR(VLOOKUP($G231,'02_REFERENCE'!$A$2:$S$99,15,FALSE),"N/A")</f>
        <v>High</v>
      </c>
      <c r="F231" s="21" t="str">
        <f>IFERROR(VLOOKUP($G231,'02_REFERENCE'!$A$2:$S$99,17,FALSE),"N/A")</f>
        <v>Yes</v>
      </c>
      <c r="G231" s="21" t="inlineStr">
        <is>
          <t>S1-RT-036</t>
        </is>
      </c>
      <c r="H231" s="21" t="inlineStr">
        <is>
          <t>Primary TP</t>
        </is>
      </c>
      <c r="I231" s="21" t="inlineStr">
        <is>
          <t>TP</t>
        </is>
      </c>
      <c r="J231" s="21" t="inlineStr">
        <is>
          <t>M</t>
        </is>
      </c>
      <c r="K231" s="21" t="inlineStr">
        <is>
          <t>Y</t>
        </is>
      </c>
      <c r="L231" s="21" t="inlineStr">
        <is>
          <t>No</t>
        </is>
      </c>
      <c r="M231" s="21" t="inlineStr"/>
      <c r="N231" s="22" t="inlineStr">
        <is>
          <t>Mechanism class model_substitution; evidence: provider exfiltrates sensitive data from the system. Comprom; Compromise of user data and potential identity theft. Extern</t>
        </is>
      </c>
      <c r="O231" s="5" t="inlineStr">
        <is>
          <t>model_substitution</t>
        </is>
      </c>
      <c r="P231" s="16" t="inlineStr">
        <is>
          <t>Data Exfiltration through External LLM Provider</t>
        </is>
      </c>
      <c r="Q231" s="16" t="inlineStr">
        <is>
          <t>External LLM Provider, User Database</t>
        </is>
      </c>
      <c r="R231" s="16" t="inlineStr"/>
      <c r="S231" s="5" t="inlineStr">
        <is>
          <t>Confirmed</t>
        </is>
      </c>
    </row>
    <row r="232" ht="16" customHeight="1">
      <c r="A232" s="5" t="inlineStr">
        <is>
          <t>OLLAMA-S1-F026</t>
        </is>
      </c>
      <c r="B232" s="5" t="inlineStr">
        <is>
          <t>OLLAMA</t>
        </is>
      </c>
      <c r="C232" s="5" t="inlineStr">
        <is>
          <t>S1</t>
        </is>
      </c>
      <c r="D232" s="21" t="str">
        <f>IFERROR(VLOOKUP($G232,'02_REFERENCE'!$A$2:$S$99,4,FALSE),"N/A")</f>
        <v>N/A</v>
      </c>
      <c r="E232" s="21" t="str">
        <f>IFERROR(VLOOKUP($G232,'02_REFERENCE'!$A$2:$S$99,15,FALSE),"N/A")</f>
        <v>N/A</v>
      </c>
      <c r="F232" s="21" t="str">
        <f>IFERROR(VLOOKUP($G232,'02_REFERENCE'!$A$2:$S$99,17,FALSE),"N/A")</f>
        <v>N/A</v>
      </c>
      <c r="G232" s="21" t="inlineStr"/>
      <c r="H232" s="21" t="inlineStr">
        <is>
          <t>False Positive</t>
        </is>
      </c>
      <c r="I232" s="21" t="inlineStr">
        <is>
          <t>FP</t>
        </is>
      </c>
      <c r="J232" s="21" t="inlineStr">
        <is>
          <t>M</t>
        </is>
      </c>
      <c r="K232" s="21" t="inlineStr">
        <is>
          <t>N</t>
        </is>
      </c>
      <c r="L232" s="21" t="inlineStr">
        <is>
          <t>No</t>
        </is>
      </c>
      <c r="M232" s="21" t="inlineStr"/>
      <c r="N232" s="22" t="inlineStr">
        <is>
          <t>No reference threat corresponds to this finding's mechanism (scoring found no class with sufficient evidence).</t>
        </is>
      </c>
      <c r="O232" s="5" t="inlineStr"/>
      <c r="P232" s="16" t="inlineStr">
        <is>
          <t>Unauthorized Access to AI Component</t>
        </is>
      </c>
      <c r="Q232" s="16" t="inlineStr">
        <is>
          <t>AI Chatbot Component, User Database</t>
        </is>
      </c>
      <c r="R232" s="16" t="inlineStr"/>
      <c r="S232" s="5" t="inlineStr">
        <is>
          <t>Confirmed</t>
        </is>
      </c>
    </row>
    <row r="233" ht="16" customHeight="1">
      <c r="A233" s="5" t="inlineStr">
        <is>
          <t>OLLAMA-S1-F027</t>
        </is>
      </c>
      <c r="B233" s="5" t="inlineStr">
        <is>
          <t>OLLAMA</t>
        </is>
      </c>
      <c r="C233" s="5" t="inlineStr">
        <is>
          <t>S1</t>
        </is>
      </c>
      <c r="D233" s="21" t="str">
        <f>IFERROR(VLOOKUP($G233,'02_REFERENCE'!$A$2:$S$99,4,FALSE),"N/A")</f>
        <v>Tampering</v>
      </c>
      <c r="E233" s="21" t="str">
        <f>IFERROR(VLOOKUP($G233,'02_REFERENCE'!$A$2:$S$99,15,FALSE),"N/A")</f>
        <v>High</v>
      </c>
      <c r="F233" s="21" t="str">
        <f>IFERROR(VLOOKUP($G233,'02_REFERENCE'!$A$2:$S$99,17,FALSE),"N/A")</f>
        <v>Yes</v>
      </c>
      <c r="G233" s="21" t="inlineStr">
        <is>
          <t>S1-RT-022</t>
        </is>
      </c>
      <c r="H233" s="21" t="inlineStr">
        <is>
          <t>Duplicate</t>
        </is>
      </c>
      <c r="I233" s="21" t="inlineStr">
        <is>
          <t>TP</t>
        </is>
      </c>
      <c r="J233" s="21" t="inlineStr">
        <is>
          <t>H</t>
        </is>
      </c>
      <c r="K233" s="21" t="inlineStr">
        <is>
          <t>N</t>
        </is>
      </c>
      <c r="L233" s="21" t="inlineStr">
        <is>
          <t>Yes</t>
        </is>
      </c>
      <c r="M233" s="21" t="inlineStr">
        <is>
          <t>OLLAMA-S1-F004</t>
        </is>
      </c>
      <c r="N233" s="22" t="inlineStr">
        <is>
          <t>Mechanism class prompt_injection_direct; evidence: Prompt Injection; Prompt Inject; injects malicious prompt; Prompt Inject [Equivalence: restates OLLAMA-S1-F004 — one-to-one rule applied.]</t>
        </is>
      </c>
      <c r="O233" s="5" t="inlineStr">
        <is>
          <t>prompt_injection_direct</t>
        </is>
      </c>
      <c r="P233" s="16" t="inlineStr">
        <is>
          <t>Malicious Prompt Injection through Web Frontend Interface</t>
        </is>
      </c>
      <c r="Q233" s="16" t="inlineStr">
        <is>
          <t>P1, LLM Integration Service</t>
        </is>
      </c>
      <c r="R233" s="16" t="inlineStr"/>
      <c r="S233" s="5" t="inlineStr">
        <is>
          <t>Confirmed</t>
        </is>
      </c>
    </row>
    <row r="234" ht="16" customHeight="1">
      <c r="A234" s="5" t="inlineStr">
        <is>
          <t>OLLAMA-S1-F028</t>
        </is>
      </c>
      <c r="B234" s="5" t="inlineStr">
        <is>
          <t>OLLAMA</t>
        </is>
      </c>
      <c r="C234" s="5" t="inlineStr">
        <is>
          <t>S1</t>
        </is>
      </c>
      <c r="D234" s="21" t="str">
        <f>IFERROR(VLOOKUP($G234,'02_REFERENCE'!$A$2:$S$99,4,FALSE),"N/A")</f>
        <v>Tampering</v>
      </c>
      <c r="E234" s="21" t="str">
        <f>IFERROR(VLOOKUP($G234,'02_REFERENCE'!$A$2:$S$99,15,FALSE),"N/A")</f>
        <v>High</v>
      </c>
      <c r="F234" s="21" t="str">
        <f>IFERROR(VLOOKUP($G234,'02_REFERENCE'!$A$2:$S$99,17,FALSE),"N/A")</f>
        <v>Yes</v>
      </c>
      <c r="G234" s="21" t="inlineStr">
        <is>
          <t>S1-RT-022</t>
        </is>
      </c>
      <c r="H234" s="21" t="inlineStr">
        <is>
          <t>Duplicate</t>
        </is>
      </c>
      <c r="I234" s="21" t="inlineStr">
        <is>
          <t>TP</t>
        </is>
      </c>
      <c r="J234" s="21" t="inlineStr">
        <is>
          <t>H</t>
        </is>
      </c>
      <c r="K234" s="21" t="inlineStr">
        <is>
          <t>N</t>
        </is>
      </c>
      <c r="L234" s="21" t="inlineStr">
        <is>
          <t>Yes</t>
        </is>
      </c>
      <c r="M234" s="21" t="inlineStr">
        <is>
          <t>OLLAMA-S1-F004</t>
        </is>
      </c>
      <c r="N234" s="22" t="inlineStr">
        <is>
          <t>Mechanism class prompt_injection_direct; evidence: Prompt Injection; Prompt Inject; inject malicious prompt; Prompt Inject [Equivalence: restates OLLAMA-S1-F004 — one-to-one rule applied.]</t>
        </is>
      </c>
      <c r="O234" s="5" t="inlineStr">
        <is>
          <t>prompt_injection_direct</t>
        </is>
      </c>
      <c r="P234" s="16" t="inlineStr">
        <is>
          <t>Malicious Prompt Injection through AI Chatbot Component</t>
        </is>
      </c>
      <c r="Q234" s="16" t="inlineStr">
        <is>
          <t>AI Chatbot Component, LLM Integration Service</t>
        </is>
      </c>
      <c r="R234" s="16" t="inlineStr"/>
      <c r="S234" s="5" t="inlineStr">
        <is>
          <t>Confirmed</t>
        </is>
      </c>
    </row>
    <row r="235" ht="16" customHeight="1">
      <c r="A235" s="5" t="inlineStr">
        <is>
          <t>OLLAMA-S1-F029</t>
        </is>
      </c>
      <c r="B235" s="5" t="inlineStr">
        <is>
          <t>OLLAMA</t>
        </is>
      </c>
      <c r="C235" s="5" t="inlineStr">
        <is>
          <t>S1</t>
        </is>
      </c>
      <c r="D235" s="21" t="str">
        <f>IFERROR(VLOOKUP($G235,'02_REFERENCE'!$A$2:$S$99,4,FALSE),"N/A")</f>
        <v>N/A</v>
      </c>
      <c r="E235" s="21" t="str">
        <f>IFERROR(VLOOKUP($G235,'02_REFERENCE'!$A$2:$S$99,15,FALSE),"N/A")</f>
        <v>N/A</v>
      </c>
      <c r="F235" s="21" t="str">
        <f>IFERROR(VLOOKUP($G235,'02_REFERENCE'!$A$2:$S$99,17,FALSE),"N/A")</f>
        <v>N/A</v>
      </c>
      <c r="G235" s="21" t="inlineStr"/>
      <c r="H235" s="21" t="inlineStr">
        <is>
          <t>False Positive</t>
        </is>
      </c>
      <c r="I235" s="21" t="inlineStr">
        <is>
          <t>FP</t>
        </is>
      </c>
      <c r="J235" s="21" t="inlineStr">
        <is>
          <t>M</t>
        </is>
      </c>
      <c r="K235" s="21" t="inlineStr">
        <is>
          <t>N</t>
        </is>
      </c>
      <c r="L235" s="21" t="inlineStr">
        <is>
          <t>No</t>
        </is>
      </c>
      <c r="M235" s="21" t="inlineStr"/>
      <c r="N235" s="22" t="inlineStr">
        <is>
          <t>No reference threat corresponds to this finding's mechanism (scoring found no class with sufficient evidence).</t>
        </is>
      </c>
      <c r="O235" s="5" t="inlineStr"/>
      <c r="P235" s="16" t="inlineStr">
        <is>
          <t>Unauthorized Access to User Database</t>
        </is>
      </c>
      <c r="Q235" s="16" t="inlineStr">
        <is>
          <t>P2, User Database</t>
        </is>
      </c>
      <c r="R235" s="16" t="inlineStr"/>
      <c r="S235" s="5" t="inlineStr">
        <is>
          <t>Confirmed</t>
        </is>
      </c>
    </row>
    <row r="236" ht="16" customHeight="1">
      <c r="A236" s="5" t="inlineStr">
        <is>
          <t>OLLAMA-S1-F030</t>
        </is>
      </c>
      <c r="B236" s="5" t="inlineStr">
        <is>
          <t>OLLAMA</t>
        </is>
      </c>
      <c r="C236" s="5" t="inlineStr">
        <is>
          <t>S1</t>
        </is>
      </c>
      <c r="D236" s="21" t="str">
        <f>IFERROR(VLOOKUP($G236,'02_REFERENCE'!$A$2:$S$99,4,FALSE),"N/A")</f>
        <v>Tampering</v>
      </c>
      <c r="E236" s="21" t="str">
        <f>IFERROR(VLOOKUP($G236,'02_REFERENCE'!$A$2:$S$99,15,FALSE),"N/A")</f>
        <v>High</v>
      </c>
      <c r="F236" s="21" t="str">
        <f>IFERROR(VLOOKUP($G236,'02_REFERENCE'!$A$2:$S$99,17,FALSE),"N/A")</f>
        <v>No</v>
      </c>
      <c r="G236" s="21" t="inlineStr">
        <is>
          <t>S1-RT-017</t>
        </is>
      </c>
      <c r="H236" s="21" t="inlineStr">
        <is>
          <t>Duplicate</t>
        </is>
      </c>
      <c r="I236" s="21" t="inlineStr">
        <is>
          <t>TP</t>
        </is>
      </c>
      <c r="J236" s="21" t="inlineStr">
        <is>
          <t>M</t>
        </is>
      </c>
      <c r="K236" s="21" t="inlineStr">
        <is>
          <t>N</t>
        </is>
      </c>
      <c r="L236" s="21" t="inlineStr">
        <is>
          <t>Yes</t>
        </is>
      </c>
      <c r="M236" s="21" t="inlineStr">
        <is>
          <t>OLLAMA-S1-F002</t>
        </is>
      </c>
      <c r="N236" s="22" t="inlineStr">
        <is>
          <t>Mechanism class session_store_tamper; evidence: session storage. Compromis; storage. Compromis [Equivalence: restates OLLAMA-S1-F002 — one-to-one rule applied.]</t>
        </is>
      </c>
      <c r="O236" s="5" t="inlineStr">
        <is>
          <t>session_store_tamper</t>
        </is>
      </c>
      <c r="P236" s="16" t="inlineStr">
        <is>
          <t>Unauthorized Access to Session Storage</t>
        </is>
      </c>
      <c r="Q236" s="16" t="inlineStr">
        <is>
          <t>P3, Session Storage</t>
        </is>
      </c>
      <c r="R236" s="16" t="inlineStr"/>
      <c r="S236" s="5" t="inlineStr">
        <is>
          <t>Confirmed</t>
        </is>
      </c>
    </row>
    <row r="237" ht="16" customHeight="1">
      <c r="A237" s="5" t="inlineStr">
        <is>
          <t>OLLAMA-S1-F031</t>
        </is>
      </c>
      <c r="B237" s="5" t="inlineStr">
        <is>
          <t>OLLAMA</t>
        </is>
      </c>
      <c r="C237" s="5" t="inlineStr">
        <is>
          <t>S1</t>
        </is>
      </c>
      <c r="D237" s="21" t="str">
        <f>IFERROR(VLOOKUP($G237,'02_REFERENCE'!$A$2:$S$99,4,FALSE),"N/A")</f>
        <v>N/A</v>
      </c>
      <c r="E237" s="21" t="str">
        <f>IFERROR(VLOOKUP($G237,'02_REFERENCE'!$A$2:$S$99,15,FALSE),"N/A")</f>
        <v>N/A</v>
      </c>
      <c r="F237" s="21" t="str">
        <f>IFERROR(VLOOKUP($G237,'02_REFERENCE'!$A$2:$S$99,17,FALSE),"N/A")</f>
        <v>N/A</v>
      </c>
      <c r="G237" s="21" t="inlineStr"/>
      <c r="H237" s="21" t="inlineStr">
        <is>
          <t>False Positive</t>
        </is>
      </c>
      <c r="I237" s="21" t="inlineStr">
        <is>
          <t>FP</t>
        </is>
      </c>
      <c r="J237" s="21" t="inlineStr">
        <is>
          <t>M</t>
        </is>
      </c>
      <c r="K237" s="21" t="inlineStr">
        <is>
          <t>N</t>
        </is>
      </c>
      <c r="L237" s="21" t="inlineStr">
        <is>
          <t>No</t>
        </is>
      </c>
      <c r="M237" s="21" t="inlineStr"/>
      <c r="N237" s="22" t="inlineStr">
        <is>
          <t>No reference threat corresponds to this finding's mechanism (scoring found no class with sufficient evidence).</t>
        </is>
      </c>
      <c r="O237" s="5" t="inlineStr"/>
      <c r="P237" s="16" t="inlineStr">
        <is>
          <t>Malicious LLM Output through External LLM Provider</t>
        </is>
      </c>
      <c r="Q237" s="16" t="inlineStr">
        <is>
          <t>External LLM Provider, LLM Integration Service</t>
        </is>
      </c>
      <c r="R237" s="16" t="inlineStr"/>
      <c r="S237" s="5" t="inlineStr">
        <is>
          <t>Confirmed</t>
        </is>
      </c>
    </row>
    <row r="238" ht="16" customHeight="1">
      <c r="A238" s="5" t="inlineStr">
        <is>
          <t>OLLAMA-S1-F032</t>
        </is>
      </c>
      <c r="B238" s="5" t="inlineStr">
        <is>
          <t>OLLAMA</t>
        </is>
      </c>
      <c r="C238" s="5" t="inlineStr">
        <is>
          <t>S1</t>
        </is>
      </c>
      <c r="D238" s="21" t="str">
        <f>IFERROR(VLOOKUP($G238,'02_REFERENCE'!$A$2:$S$99,4,FALSE),"N/A")</f>
        <v>N/A</v>
      </c>
      <c r="E238" s="21" t="str">
        <f>IFERROR(VLOOKUP($G238,'02_REFERENCE'!$A$2:$S$99,15,FALSE),"N/A")</f>
        <v>N/A</v>
      </c>
      <c r="F238" s="21" t="str">
        <f>IFERROR(VLOOKUP($G238,'02_REFERENCE'!$A$2:$S$99,17,FALSE),"N/A")</f>
        <v>N/A</v>
      </c>
      <c r="G238" s="21" t="inlineStr"/>
      <c r="H238" s="21" t="inlineStr">
        <is>
          <t>False Positive</t>
        </is>
      </c>
      <c r="I238" s="21" t="inlineStr">
        <is>
          <t>FP</t>
        </is>
      </c>
      <c r="J238" s="21" t="inlineStr">
        <is>
          <t>M</t>
        </is>
      </c>
      <c r="K238" s="21" t="inlineStr">
        <is>
          <t>N</t>
        </is>
      </c>
      <c r="L238" s="21" t="inlineStr">
        <is>
          <t>No</t>
        </is>
      </c>
      <c r="M238" s="21" t="inlineStr"/>
      <c r="N238" s="22" t="inlineStr">
        <is>
          <t>No reference threat corresponds to this finding's mechanism (scoring found no class with sufficient evidence).</t>
        </is>
      </c>
      <c r="O238" s="5" t="inlineStr"/>
      <c r="P238" s="16" t="inlineStr">
        <is>
          <t>Malicious LLM Output through AI Chatbot Component</t>
        </is>
      </c>
      <c r="Q238" s="16" t="inlineStr">
        <is>
          <t>AI Chatbot Component, LLM Integration Service</t>
        </is>
      </c>
      <c r="R238" s="16" t="inlineStr"/>
      <c r="S238" s="5" t="inlineStr">
        <is>
          <t>Confirmed</t>
        </is>
      </c>
    </row>
    <row r="239" ht="16" customHeight="1">
      <c r="A239" s="5" t="inlineStr">
        <is>
          <t>OLLAMA-S1-F033</t>
        </is>
      </c>
      <c r="B239" s="5" t="inlineStr">
        <is>
          <t>OLLAMA</t>
        </is>
      </c>
      <c r="C239" s="5" t="inlineStr">
        <is>
          <t>S1</t>
        </is>
      </c>
      <c r="D239" s="21" t="str">
        <f>IFERROR(VLOOKUP($G239,'02_REFERENCE'!$A$2:$S$99,4,FALSE),"N/A")</f>
        <v>N/A</v>
      </c>
      <c r="E239" s="21" t="str">
        <f>IFERROR(VLOOKUP($G239,'02_REFERENCE'!$A$2:$S$99,15,FALSE),"N/A")</f>
        <v>N/A</v>
      </c>
      <c r="F239" s="21" t="str">
        <f>IFERROR(VLOOKUP($G239,'02_REFERENCE'!$A$2:$S$99,17,FALSE),"N/A")</f>
        <v>N/A</v>
      </c>
      <c r="G239" s="21" t="inlineStr"/>
      <c r="H239" s="21" t="inlineStr">
        <is>
          <t>False Positive</t>
        </is>
      </c>
      <c r="I239" s="21" t="inlineStr">
        <is>
          <t>FP</t>
        </is>
      </c>
      <c r="J239" s="21" t="inlineStr">
        <is>
          <t>M</t>
        </is>
      </c>
      <c r="K239" s="21" t="inlineStr">
        <is>
          <t>N</t>
        </is>
      </c>
      <c r="L239" s="21" t="inlineStr">
        <is>
          <t>No</t>
        </is>
      </c>
      <c r="M239" s="21" t="inlineStr"/>
      <c r="N239" s="22" t="inlineStr">
        <is>
          <t>No reference threat corresponds to this finding's mechanism (scoring found no class with sufficient evidence).</t>
        </is>
      </c>
      <c r="O239" s="5" t="inlineStr"/>
      <c r="P239" s="16" t="inlineStr">
        <is>
          <t>Overprivileged AI Component</t>
        </is>
      </c>
      <c r="Q239" s="16" t="inlineStr">
        <is>
          <t>AI Chatbot Component, User Database</t>
        </is>
      </c>
      <c r="R239" s="16" t="inlineStr"/>
      <c r="S239" s="5" t="inlineStr">
        <is>
          <t>Confirmed</t>
        </is>
      </c>
    </row>
    <row r="240" ht="16" customHeight="1">
      <c r="A240" s="5" t="inlineStr">
        <is>
          <t>OLLAMA-S1-F034</t>
        </is>
      </c>
      <c r="B240" s="5" t="inlineStr">
        <is>
          <t>OLLAMA</t>
        </is>
      </c>
      <c r="C240" s="5" t="inlineStr">
        <is>
          <t>S1</t>
        </is>
      </c>
      <c r="D240" s="21" t="str">
        <f>IFERROR(VLOOKUP($G240,'02_REFERENCE'!$A$2:$S$99,4,FALSE),"N/A")</f>
        <v>Spoofing</v>
      </c>
      <c r="E240" s="21" t="str">
        <f>IFERROR(VLOOKUP($G240,'02_REFERENCE'!$A$2:$S$99,15,FALSE),"N/A")</f>
        <v>High</v>
      </c>
      <c r="F240" s="21" t="str">
        <f>IFERROR(VLOOKUP($G240,'02_REFERENCE'!$A$2:$S$99,17,FALSE),"N/A")</f>
        <v>Yes</v>
      </c>
      <c r="G240" s="21" t="inlineStr">
        <is>
          <t>S1-RT-036</t>
        </is>
      </c>
      <c r="H240" s="21" t="inlineStr">
        <is>
          <t>Duplicate</t>
        </is>
      </c>
      <c r="I240" s="21" t="inlineStr">
        <is>
          <t>TP</t>
        </is>
      </c>
      <c r="J240" s="21" t="inlineStr">
        <is>
          <t>M</t>
        </is>
      </c>
      <c r="K240" s="21" t="inlineStr">
        <is>
          <t>N</t>
        </is>
      </c>
      <c r="L240" s="21" t="inlineStr">
        <is>
          <t>Yes</t>
        </is>
      </c>
      <c r="M240" s="21" t="inlineStr">
        <is>
          <t>OLLAMA-S1-F025</t>
        </is>
      </c>
      <c r="N240" s="22" t="inlineStr">
        <is>
          <t>Mechanism class model_substitution; evidence: LLM provider has excessive privileges that compromis; Compromise of user data and potential identity theft. Extern [Equivalence: restates OLLAMA-S1-F025 — one-to-one rule applied.]</t>
        </is>
      </c>
      <c r="O240" s="5" t="inlineStr">
        <is>
          <t>model_substitution</t>
        </is>
      </c>
      <c r="P240" s="16" t="inlineStr">
        <is>
          <t>Overprivileged External LLM Provider</t>
        </is>
      </c>
      <c r="Q240" s="16" t="inlineStr">
        <is>
          <t>External LLM Provider, User Database</t>
        </is>
      </c>
      <c r="R240" s="16" t="inlineStr"/>
      <c r="S240" s="5" t="inlineStr">
        <is>
          <t>Confirmed</t>
        </is>
      </c>
    </row>
    <row r="241" ht="16" customHeight="1">
      <c r="A241" s="5" t="inlineStr">
        <is>
          <t>OLLAMA-S1-F035</t>
        </is>
      </c>
      <c r="B241" s="5" t="inlineStr">
        <is>
          <t>OLLAMA</t>
        </is>
      </c>
      <c r="C241" s="5" t="inlineStr">
        <is>
          <t>S1</t>
        </is>
      </c>
      <c r="D241" s="21" t="str">
        <f>IFERROR(VLOOKUP($G241,'02_REFERENCE'!$A$2:$S$99,4,FALSE),"N/A")</f>
        <v>Tampering</v>
      </c>
      <c r="E241" s="21" t="str">
        <f>IFERROR(VLOOKUP($G241,'02_REFERENCE'!$A$2:$S$99,15,FALSE),"N/A")</f>
        <v>High</v>
      </c>
      <c r="F241" s="21" t="str">
        <f>IFERROR(VLOOKUP($G241,'02_REFERENCE'!$A$2:$S$99,17,FALSE),"N/A")</f>
        <v>No</v>
      </c>
      <c r="G241" s="21" t="inlineStr">
        <is>
          <t>S1-RT-017</t>
        </is>
      </c>
      <c r="H241" s="21" t="inlineStr">
        <is>
          <t>Duplicate</t>
        </is>
      </c>
      <c r="I241" s="21" t="inlineStr">
        <is>
          <t>TP</t>
        </is>
      </c>
      <c r="J241" s="21" t="inlineStr">
        <is>
          <t>M</t>
        </is>
      </c>
      <c r="K241" s="21" t="inlineStr">
        <is>
          <t>N</t>
        </is>
      </c>
      <c r="L241" s="21" t="inlineStr">
        <is>
          <t>Yes</t>
        </is>
      </c>
      <c r="M241" s="21" t="inlineStr">
        <is>
          <t>OLLAMA-S1-F002</t>
        </is>
      </c>
      <c r="N241" s="22" t="inlineStr">
        <is>
          <t>Mechanism class session_store_tamper; evidence: session storage. Compromis; storage. Compromis [Equivalence: restates OLLAMA-S1-F002 — one-to-one rule applied.]</t>
        </is>
      </c>
      <c r="O241" s="5" t="inlineStr">
        <is>
          <t>session_store_tamper</t>
        </is>
      </c>
      <c r="P241" s="16" t="inlineStr">
        <is>
          <t>Unauthorized Access to Session Storage</t>
        </is>
      </c>
      <c r="Q241" s="16" t="inlineStr">
        <is>
          <t>P3, Session Storage</t>
        </is>
      </c>
      <c r="R241" s="16" t="inlineStr"/>
      <c r="S241" s="5" t="inlineStr">
        <is>
          <t>Confirmed</t>
        </is>
      </c>
    </row>
    <row r="242" ht="16" customHeight="1">
      <c r="A242" s="5" t="inlineStr">
        <is>
          <t>OLLAMA-S1-F036</t>
        </is>
      </c>
      <c r="B242" s="5" t="inlineStr">
        <is>
          <t>OLLAMA</t>
        </is>
      </c>
      <c r="C242" s="5" t="inlineStr">
        <is>
          <t>S1</t>
        </is>
      </c>
      <c r="D242" s="21" t="str">
        <f>IFERROR(VLOOKUP($G242,'02_REFERENCE'!$A$2:$S$99,4,FALSE),"N/A")</f>
        <v>Tampering</v>
      </c>
      <c r="E242" s="21" t="str">
        <f>IFERROR(VLOOKUP($G242,'02_REFERENCE'!$A$2:$S$99,15,FALSE),"N/A")</f>
        <v>High</v>
      </c>
      <c r="F242" s="21" t="str">
        <f>IFERROR(VLOOKUP($G242,'02_REFERENCE'!$A$2:$S$99,17,FALSE),"N/A")</f>
        <v>No</v>
      </c>
      <c r="G242" s="21" t="inlineStr">
        <is>
          <t>S1-RT-017</t>
        </is>
      </c>
      <c r="H242" s="21" t="inlineStr">
        <is>
          <t>Duplicate</t>
        </is>
      </c>
      <c r="I242" s="21" t="inlineStr">
        <is>
          <t>TP</t>
        </is>
      </c>
      <c r="J242" s="21" t="inlineStr">
        <is>
          <t>H</t>
        </is>
      </c>
      <c r="K242" s="21" t="inlineStr">
        <is>
          <t>N</t>
        </is>
      </c>
      <c r="L242" s="21" t="inlineStr">
        <is>
          <t>Yes</t>
        </is>
      </c>
      <c r="M242" s="21" t="inlineStr">
        <is>
          <t>OLLAMA-S1-F002</t>
        </is>
      </c>
      <c r="N242" s="22" t="inlineStr">
        <is>
          <t>Mechanism class session_store_tamper; evidence: Session Tamper; tamper with session data [Equivalence: restates OLLAMA-S1-F002 — one-to-one rule applied.]</t>
        </is>
      </c>
      <c r="O242" s="5" t="inlineStr">
        <is>
          <t>session_store_tamper</t>
        </is>
      </c>
      <c r="P242" s="16" t="inlineStr">
        <is>
          <t>Session Tampering through AI Chatbot Component</t>
        </is>
      </c>
      <c r="Q242" s="16" t="inlineStr">
        <is>
          <t>AI Chatbot Component, Session Storage</t>
        </is>
      </c>
      <c r="R242" s="16" t="inlineStr"/>
      <c r="S242" s="5" t="inlineStr">
        <is>
          <t>Confirmed</t>
        </is>
      </c>
    </row>
    <row r="243" ht="16" customHeight="1">
      <c r="A243" s="5" t="inlineStr">
        <is>
          <t>OLLAMA-S1-F037</t>
        </is>
      </c>
      <c r="B243" s="5" t="inlineStr">
        <is>
          <t>OLLAMA</t>
        </is>
      </c>
      <c r="C243" s="5" t="inlineStr">
        <is>
          <t>S1</t>
        </is>
      </c>
      <c r="D243" s="21" t="str">
        <f>IFERROR(VLOOKUP($G243,'02_REFERENCE'!$A$2:$S$99,4,FALSE),"N/A")</f>
        <v>N/A</v>
      </c>
      <c r="E243" s="21" t="str">
        <f>IFERROR(VLOOKUP($G243,'02_REFERENCE'!$A$2:$S$99,15,FALSE),"N/A")</f>
        <v>N/A</v>
      </c>
      <c r="F243" s="21" t="str">
        <f>IFERROR(VLOOKUP($G243,'02_REFERENCE'!$A$2:$S$99,17,FALSE),"N/A")</f>
        <v>N/A</v>
      </c>
      <c r="G243" s="21" t="inlineStr"/>
      <c r="H243" s="21" t="inlineStr">
        <is>
          <t>False Positive</t>
        </is>
      </c>
      <c r="I243" s="21" t="inlineStr">
        <is>
          <t>FP</t>
        </is>
      </c>
      <c r="J243" s="21" t="inlineStr">
        <is>
          <t>M</t>
        </is>
      </c>
      <c r="K243" s="21" t="inlineStr">
        <is>
          <t>N</t>
        </is>
      </c>
      <c r="L243" s="21" t="inlineStr">
        <is>
          <t>No</t>
        </is>
      </c>
      <c r="M243" s="21" t="inlineStr"/>
      <c r="N243" s="22" t="inlineStr">
        <is>
          <t>No reference threat corresponds to this finding's mechanism (scoring found no class with sufficient evidence).</t>
        </is>
      </c>
      <c r="O243" s="5" t="inlineStr"/>
      <c r="P243" s="16" t="inlineStr">
        <is>
          <t>Unauthorized Access to User Database through P2</t>
        </is>
      </c>
      <c r="Q243" s="16" t="inlineStr">
        <is>
          <t>P2, User Database</t>
        </is>
      </c>
      <c r="R243" s="16" t="inlineStr"/>
      <c r="S243" s="5" t="inlineStr">
        <is>
          <t>Confirmed</t>
        </is>
      </c>
    </row>
    <row r="244" ht="16" customHeight="1">
      <c r="A244" s="5" t="inlineStr">
        <is>
          <t>OLLAMA-S1-F038</t>
        </is>
      </c>
      <c r="B244" s="5" t="inlineStr">
        <is>
          <t>OLLAMA</t>
        </is>
      </c>
      <c r="C244" s="5" t="inlineStr">
        <is>
          <t>S1</t>
        </is>
      </c>
      <c r="D244" s="21" t="str">
        <f>IFERROR(VLOOKUP($G244,'02_REFERENCE'!$A$2:$S$99,4,FALSE),"N/A")</f>
        <v>Tampering</v>
      </c>
      <c r="E244" s="21" t="str">
        <f>IFERROR(VLOOKUP($G244,'02_REFERENCE'!$A$2:$S$99,15,FALSE),"N/A")</f>
        <v>High</v>
      </c>
      <c r="F244" s="21" t="str">
        <f>IFERROR(VLOOKUP($G244,'02_REFERENCE'!$A$2:$S$99,17,FALSE),"N/A")</f>
        <v>No</v>
      </c>
      <c r="G244" s="21" t="inlineStr">
        <is>
          <t>S1-RT-017</t>
        </is>
      </c>
      <c r="H244" s="21" t="inlineStr">
        <is>
          <t>Duplicate</t>
        </is>
      </c>
      <c r="I244" s="21" t="inlineStr">
        <is>
          <t>TP</t>
        </is>
      </c>
      <c r="J244" s="21" t="inlineStr">
        <is>
          <t>M</t>
        </is>
      </c>
      <c r="K244" s="21" t="inlineStr">
        <is>
          <t>N</t>
        </is>
      </c>
      <c r="L244" s="21" t="inlineStr">
        <is>
          <t>Yes</t>
        </is>
      </c>
      <c r="M244" s="21" t="inlineStr">
        <is>
          <t>OLLAMA-S1-F002</t>
        </is>
      </c>
      <c r="N244" s="22" t="inlineStr">
        <is>
          <t>Mechanism class session_store_tamper; evidence: session storage. Compromis; storage. Compromis [Equivalence: restates OLLAMA-S1-F002 — one-to-one rule applied.]</t>
        </is>
      </c>
      <c r="O244" s="5" t="inlineStr">
        <is>
          <t>session_store_tamper</t>
        </is>
      </c>
      <c r="P244" s="16" t="inlineStr">
        <is>
          <t>Unauthorized Access to Session Storage through P3</t>
        </is>
      </c>
      <c r="Q244" s="16" t="inlineStr">
        <is>
          <t>P3, Session Storage</t>
        </is>
      </c>
      <c r="R244" s="16" t="inlineStr"/>
      <c r="S244" s="5" t="inlineStr">
        <is>
          <t>Confirmed</t>
        </is>
      </c>
    </row>
    <row r="245" ht="16" customHeight="1">
      <c r="A245" s="5" t="inlineStr">
        <is>
          <t>OLLAMA-S1-F039</t>
        </is>
      </c>
      <c r="B245" s="5" t="inlineStr">
        <is>
          <t>OLLAMA</t>
        </is>
      </c>
      <c r="C245" s="5" t="inlineStr">
        <is>
          <t>S1</t>
        </is>
      </c>
      <c r="D245" s="21" t="str">
        <f>IFERROR(VLOOKUP($G245,'02_REFERENCE'!$A$2:$S$99,4,FALSE),"N/A")</f>
        <v>Spoofing</v>
      </c>
      <c r="E245" s="21" t="str">
        <f>IFERROR(VLOOKUP($G245,'02_REFERENCE'!$A$2:$S$99,15,FALSE),"N/A")</f>
        <v>High</v>
      </c>
      <c r="F245" s="21" t="str">
        <f>IFERROR(VLOOKUP($G245,'02_REFERENCE'!$A$2:$S$99,17,FALSE),"N/A")</f>
        <v>Yes</v>
      </c>
      <c r="G245" s="21" t="inlineStr">
        <is>
          <t>S1-RT-036</t>
        </is>
      </c>
      <c r="H245" s="21" t="inlineStr">
        <is>
          <t>Duplicate</t>
        </is>
      </c>
      <c r="I245" s="21" t="inlineStr">
        <is>
          <t>TP</t>
        </is>
      </c>
      <c r="J245" s="21" t="inlineStr">
        <is>
          <t>M</t>
        </is>
      </c>
      <c r="K245" s="21" t="inlineStr">
        <is>
          <t>N</t>
        </is>
      </c>
      <c r="L245" s="21" t="inlineStr">
        <is>
          <t>Yes</t>
        </is>
      </c>
      <c r="M245" s="21" t="inlineStr">
        <is>
          <t>OLLAMA-S1-F025</t>
        </is>
      </c>
      <c r="N245" s="22" t="inlineStr">
        <is>
          <t>Mechanism class model_substitution; evidence: provider gains unauthorized access to the user database. Com; Compromise of user data and potential identity theft. Extern [Equivalence: restates OLLAMA-S1-F025 — one-to-one rule applied.]</t>
        </is>
      </c>
      <c r="O245" s="5" t="inlineStr">
        <is>
          <t>model_substitution</t>
        </is>
      </c>
      <c r="P245" s="16" t="inlineStr">
        <is>
          <t>Unauthorized Access to User Database through External LLM Provider</t>
        </is>
      </c>
      <c r="Q245" s="16" t="inlineStr">
        <is>
          <t>External LLM Provider, User Database</t>
        </is>
      </c>
      <c r="R245" s="16" t="inlineStr"/>
      <c r="S245" s="5" t="inlineStr">
        <is>
          <t>Confirmed</t>
        </is>
      </c>
    </row>
    <row r="246" ht="16" customHeight="1">
      <c r="A246" s="5" t="inlineStr">
        <is>
          <t>OLLAMA-S1-F040</t>
        </is>
      </c>
      <c r="B246" s="5" t="inlineStr">
        <is>
          <t>OLLAMA</t>
        </is>
      </c>
      <c r="C246" s="5" t="inlineStr">
        <is>
          <t>S1</t>
        </is>
      </c>
      <c r="D246" s="21" t="str">
        <f>IFERROR(VLOOKUP($G246,'02_REFERENCE'!$A$2:$S$99,4,FALSE),"N/A")</f>
        <v>Tampering</v>
      </c>
      <c r="E246" s="21" t="str">
        <f>IFERROR(VLOOKUP($G246,'02_REFERENCE'!$A$2:$S$99,15,FALSE),"N/A")</f>
        <v>High</v>
      </c>
      <c r="F246" s="21" t="str">
        <f>IFERROR(VLOOKUP($G246,'02_REFERENCE'!$A$2:$S$99,17,FALSE),"N/A")</f>
        <v>No</v>
      </c>
      <c r="G246" s="21" t="inlineStr">
        <is>
          <t>S1-RT-017</t>
        </is>
      </c>
      <c r="H246" s="21" t="inlineStr">
        <is>
          <t>Duplicate</t>
        </is>
      </c>
      <c r="I246" s="21" t="inlineStr">
        <is>
          <t>TP</t>
        </is>
      </c>
      <c r="J246" s="21" t="inlineStr">
        <is>
          <t>M</t>
        </is>
      </c>
      <c r="K246" s="21" t="inlineStr">
        <is>
          <t>N</t>
        </is>
      </c>
      <c r="L246" s="21" t="inlineStr">
        <is>
          <t>Yes</t>
        </is>
      </c>
      <c r="M246" s="21" t="inlineStr">
        <is>
          <t>OLLAMA-S1-F002</t>
        </is>
      </c>
      <c r="N246" s="22" t="inlineStr">
        <is>
          <t>Mechanism class session_store_tamper; evidence: session storage. Compromis; storage. Compromis [Equivalence: restates OLLAMA-S1-F002 — one-to-one rule applied.]</t>
        </is>
      </c>
      <c r="O246" s="5" t="inlineStr">
        <is>
          <t>session_store_tamper</t>
        </is>
      </c>
      <c r="P246" s="16" t="inlineStr">
        <is>
          <t>Unauthorized Access to Session Storage through AI Chatbot Component</t>
        </is>
      </c>
      <c r="Q246" s="16" t="inlineStr">
        <is>
          <t>AI Chatbot Component, Session Storage</t>
        </is>
      </c>
      <c r="R246" s="16" t="inlineStr"/>
      <c r="S246" s="5" t="inlineStr">
        <is>
          <t>Confirmed</t>
        </is>
      </c>
    </row>
    <row r="247" ht="16" customHeight="1">
      <c r="A247" s="5" t="inlineStr">
        <is>
          <t>THREMOLIA-S1-F001</t>
        </is>
      </c>
      <c r="B247" s="5" t="inlineStr">
        <is>
          <t>THREMOLIA</t>
        </is>
      </c>
      <c r="C247" s="5" t="inlineStr">
        <is>
          <t>S1</t>
        </is>
      </c>
      <c r="D247" s="21" t="str">
        <f>IFERROR(VLOOKUP($G247,'02_REFERENCE'!$A$2:$S$99,4,FALSE),"N/A")</f>
        <v>Spoofing</v>
      </c>
      <c r="E247" s="21" t="str">
        <f>IFERROR(VLOOKUP($G247,'02_REFERENCE'!$A$2:$S$99,15,FALSE),"N/A")</f>
        <v>High</v>
      </c>
      <c r="F247" s="21" t="str">
        <f>IFERROR(VLOOKUP($G247,'02_REFERENCE'!$A$2:$S$99,17,FALSE),"N/A")</f>
        <v>No</v>
      </c>
      <c r="G247" s="21" t="inlineStr">
        <is>
          <t>S1-RT-002</t>
        </is>
      </c>
      <c r="H247" s="21" t="inlineStr">
        <is>
          <t>Primary TP</t>
        </is>
      </c>
      <c r="I247" s="21" t="inlineStr">
        <is>
          <t>TP</t>
        </is>
      </c>
      <c r="J247" s="21" t="inlineStr">
        <is>
          <t>H</t>
        </is>
      </c>
      <c r="K247" s="21" t="inlineStr">
        <is>
          <t>Y</t>
        </is>
      </c>
      <c r="L247" s="21" t="inlineStr">
        <is>
          <t>No</t>
        </is>
      </c>
      <c r="M247" s="21" t="inlineStr"/>
      <c r="N247" s="22" t="inlineStr">
        <is>
          <t>Mechanism class credential_stuffing; evidence: stolen credentials or spoofing identity during registration; submitting stolen credential</t>
        </is>
      </c>
      <c r="O247" s="5" t="inlineStr">
        <is>
          <t>credential_stuffing</t>
        </is>
      </c>
      <c r="P247" s="16" t="inlineStr"/>
      <c r="Q247" s="16" t="inlineStr">
        <is>
          <t>EE1: End User</t>
        </is>
      </c>
      <c r="R247" s="16" t="inlineStr"/>
      <c r="S247" s="5" t="inlineStr">
        <is>
          <t>Confirmed</t>
        </is>
      </c>
    </row>
    <row r="248" ht="16" customHeight="1">
      <c r="A248" s="5" t="inlineStr">
        <is>
          <t>THREMOLIA-S1-F002</t>
        </is>
      </c>
      <c r="B248" s="5" t="inlineStr">
        <is>
          <t>THREMOLIA</t>
        </is>
      </c>
      <c r="C248" s="5" t="inlineStr">
        <is>
          <t>S1</t>
        </is>
      </c>
      <c r="D248" s="21" t="str">
        <f>IFERROR(VLOOKUP($G248,'02_REFERENCE'!$A$2:$S$99,4,FALSE),"N/A")</f>
        <v>Repudiation</v>
      </c>
      <c r="E248" s="21" t="str">
        <f>IFERROR(VLOOKUP($G248,'02_REFERENCE'!$A$2:$S$99,15,FALSE),"N/A")</f>
        <v>Medium</v>
      </c>
      <c r="F248" s="21" t="str">
        <f>IFERROR(VLOOKUP($G248,'02_REFERENCE'!$A$2:$S$99,17,FALSE),"N/A")</f>
        <v>No</v>
      </c>
      <c r="G248" s="21" t="inlineStr">
        <is>
          <t>S1-RT-021</t>
        </is>
      </c>
      <c r="H248" s="21" t="inlineStr">
        <is>
          <t>Duplicate</t>
        </is>
      </c>
      <c r="I248" s="21" t="inlineStr">
        <is>
          <t>TP</t>
        </is>
      </c>
      <c r="J248" s="21" t="inlineStr">
        <is>
          <t>M</t>
        </is>
      </c>
      <c r="K248" s="21" t="inlineStr">
        <is>
          <t>N</t>
        </is>
      </c>
      <c r="L248" s="21" t="inlineStr">
        <is>
          <t>Yes</t>
        </is>
      </c>
      <c r="M248" s="21" t="inlineStr">
        <is>
          <t>THREMOLIA-S1-F036</t>
        </is>
      </c>
      <c r="N248" s="22" t="inlineStr">
        <is>
          <t>Mechanism class repudiation; evidence: denies performing security-critical action [Equivalence: restates THREMOLIA-S1-F036 — one-to-one rule applied.]</t>
        </is>
      </c>
      <c r="O248" s="5" t="inlineStr">
        <is>
          <t>repudiation</t>
        </is>
      </c>
      <c r="P248" s="16" t="inlineStr"/>
      <c r="Q248" s="16" t="inlineStr">
        <is>
          <t>EE1: End User</t>
        </is>
      </c>
      <c r="R248" s="16" t="inlineStr"/>
      <c r="S248" s="5" t="inlineStr">
        <is>
          <t>Confirmed</t>
        </is>
      </c>
    </row>
    <row r="249" ht="16" customHeight="1">
      <c r="A249" s="5" t="inlineStr">
        <is>
          <t>THREMOLIA-S1-F003</t>
        </is>
      </c>
      <c r="B249" s="5" t="inlineStr">
        <is>
          <t>THREMOLIA</t>
        </is>
      </c>
      <c r="C249" s="5" t="inlineStr">
        <is>
          <t>S1</t>
        </is>
      </c>
      <c r="D249" s="21" t="str">
        <f>IFERROR(VLOOKUP($G249,'02_REFERENCE'!$A$2:$S$99,4,FALSE),"N/A")</f>
        <v>Spoofing</v>
      </c>
      <c r="E249" s="21" t="str">
        <f>IFERROR(VLOOKUP($G249,'02_REFERENCE'!$A$2:$S$99,15,FALSE),"N/A")</f>
        <v>High</v>
      </c>
      <c r="F249" s="21" t="str">
        <f>IFERROR(VLOOKUP($G249,'02_REFERENCE'!$A$2:$S$99,17,FALSE),"N/A")</f>
        <v>Yes</v>
      </c>
      <c r="G249" s="21" t="inlineStr">
        <is>
          <t>S1-RT-036</t>
        </is>
      </c>
      <c r="H249" s="21" t="inlineStr">
        <is>
          <t>Primary TP</t>
        </is>
      </c>
      <c r="I249" s="21" t="inlineStr">
        <is>
          <t>TP</t>
        </is>
      </c>
      <c r="J249" s="21" t="inlineStr">
        <is>
          <t>H</t>
        </is>
      </c>
      <c r="K249" s="21" t="inlineStr">
        <is>
          <t>Y</t>
        </is>
      </c>
      <c r="L249" s="21" t="inlineStr">
        <is>
          <t>No</t>
        </is>
      </c>
      <c r="M249" s="21" t="inlineStr"/>
      <c r="N249" s="22" t="inlineStr">
        <is>
          <t>Mechanism class model_substitution; evidence: compromised DNS/routing spoofs the External LLM Provider; LLM Provider endpoint, serving spoof; compromised DNS/routing spoofs the External LLM Provider end</t>
        </is>
      </c>
      <c r="O249" s="5" t="inlineStr">
        <is>
          <t>model_substitution</t>
        </is>
      </c>
      <c r="P249" s="16" t="inlineStr"/>
      <c r="Q249" s="16" t="inlineStr">
        <is>
          <t>EE2: External LLM Provider</t>
        </is>
      </c>
      <c r="R249" s="16" t="inlineStr"/>
      <c r="S249" s="5" t="inlineStr">
        <is>
          <t>Confirmed</t>
        </is>
      </c>
    </row>
    <row r="250" ht="16" customHeight="1">
      <c r="A250" s="5" t="inlineStr">
        <is>
          <t>THREMOLIA-S1-F004</t>
        </is>
      </c>
      <c r="B250" s="5" t="inlineStr">
        <is>
          <t>THREMOLIA</t>
        </is>
      </c>
      <c r="C250" s="5" t="inlineStr">
        <is>
          <t>S1</t>
        </is>
      </c>
      <c r="D250" s="21" t="str">
        <f>IFERROR(VLOOKUP($G250,'02_REFERENCE'!$A$2:$S$99,4,FALSE),"N/A")</f>
        <v>Repudiation</v>
      </c>
      <c r="E250" s="21" t="str">
        <f>IFERROR(VLOOKUP($G250,'02_REFERENCE'!$A$2:$S$99,15,FALSE),"N/A")</f>
        <v>Medium</v>
      </c>
      <c r="F250" s="21" t="str">
        <f>IFERROR(VLOOKUP($G250,'02_REFERENCE'!$A$2:$S$99,17,FALSE),"N/A")</f>
        <v>No</v>
      </c>
      <c r="G250" s="21" t="inlineStr">
        <is>
          <t>S1-RT-021</t>
        </is>
      </c>
      <c r="H250" s="21" t="inlineStr">
        <is>
          <t>Duplicate</t>
        </is>
      </c>
      <c r="I250" s="21" t="inlineStr">
        <is>
          <t>TP</t>
        </is>
      </c>
      <c r="J250" s="21" t="inlineStr">
        <is>
          <t>M</t>
        </is>
      </c>
      <c r="K250" s="21" t="inlineStr">
        <is>
          <t>N</t>
        </is>
      </c>
      <c r="L250" s="21" t="inlineStr">
        <is>
          <t>Yes</t>
        </is>
      </c>
      <c r="M250" s="21" t="inlineStr">
        <is>
          <t>THREMOLIA-S1-F036</t>
        </is>
      </c>
      <c r="N250" s="22" t="inlineStr">
        <is>
          <t>Mechanism class repudiation; evidence: denies having returned a malicious, hallucinated, or biased  [Equivalence: restates THREMOLIA-S1-F036 — one-to-one rule applied.]</t>
        </is>
      </c>
      <c r="O250" s="5" t="inlineStr">
        <is>
          <t>repudiation</t>
        </is>
      </c>
      <c r="P250" s="16" t="inlineStr"/>
      <c r="Q250" s="16" t="inlineStr">
        <is>
          <t>EE2: External LLM Provider</t>
        </is>
      </c>
      <c r="R250" s="16" t="inlineStr"/>
      <c r="S250" s="5" t="inlineStr">
        <is>
          <t>Confirmed</t>
        </is>
      </c>
    </row>
    <row r="251" ht="16" customHeight="1">
      <c r="A251" s="5" t="inlineStr">
        <is>
          <t>THREMOLIA-S1-F005</t>
        </is>
      </c>
      <c r="B251" s="5" t="inlineStr">
        <is>
          <t>THREMOLIA</t>
        </is>
      </c>
      <c r="C251" s="5" t="inlineStr">
        <is>
          <t>S1</t>
        </is>
      </c>
      <c r="D251" s="21" t="str">
        <f>IFERROR(VLOOKUP($G251,'02_REFERENCE'!$A$2:$S$99,4,FALSE),"N/A")</f>
        <v>N/A</v>
      </c>
      <c r="E251" s="21" t="str">
        <f>IFERROR(VLOOKUP($G251,'02_REFERENCE'!$A$2:$S$99,15,FALSE),"N/A")</f>
        <v>N/A</v>
      </c>
      <c r="F251" s="21" t="str">
        <f>IFERROR(VLOOKUP($G251,'02_REFERENCE'!$A$2:$S$99,17,FALSE),"N/A")</f>
        <v>N/A</v>
      </c>
      <c r="G251" s="21" t="inlineStr"/>
      <c r="H251" s="21" t="inlineStr">
        <is>
          <t>False Positive</t>
        </is>
      </c>
      <c r="I251" s="21" t="inlineStr">
        <is>
          <t>FP</t>
        </is>
      </c>
      <c r="J251" s="21" t="inlineStr">
        <is>
          <t>M</t>
        </is>
      </c>
      <c r="K251" s="21" t="inlineStr">
        <is>
          <t>N</t>
        </is>
      </c>
      <c r="L251" s="21" t="inlineStr">
        <is>
          <t>No</t>
        </is>
      </c>
      <c r="M251" s="21" t="inlineStr"/>
      <c r="N251" s="22" t="inlineStr">
        <is>
          <t>Template-class phishing (no reference threat): phishing</t>
        </is>
      </c>
      <c r="O251" s="5" t="inlineStr">
        <is>
          <t>phishing</t>
        </is>
      </c>
      <c r="P251" s="16" t="inlineStr"/>
      <c r="Q251" s="16" t="inlineStr">
        <is>
          <t>P1: Web Frontend Interface</t>
        </is>
      </c>
      <c r="R251" s="16" t="inlineStr"/>
      <c r="S251" s="5" t="inlineStr">
        <is>
          <t>Confirmed</t>
        </is>
      </c>
    </row>
    <row r="252" ht="16" customHeight="1">
      <c r="A252" s="5" t="inlineStr">
        <is>
          <t>THREMOLIA-S1-F006</t>
        </is>
      </c>
      <c r="B252" s="5" t="inlineStr">
        <is>
          <t>THREMOLIA</t>
        </is>
      </c>
      <c r="C252" s="5" t="inlineStr">
        <is>
          <t>S1</t>
        </is>
      </c>
      <c r="D252" s="21" t="str">
        <f>IFERROR(VLOOKUP($G252,'02_REFERENCE'!$A$2:$S$99,4,FALSE),"N/A")</f>
        <v>Tampering</v>
      </c>
      <c r="E252" s="21" t="str">
        <f>IFERROR(VLOOKUP($G252,'02_REFERENCE'!$A$2:$S$99,15,FALSE),"N/A")</f>
        <v>Critical</v>
      </c>
      <c r="F252" s="21" t="str">
        <f>IFERROR(VLOOKUP($G252,'02_REFERENCE'!$A$2:$S$99,17,FALSE),"N/A")</f>
        <v>Yes</v>
      </c>
      <c r="G252" s="21" t="inlineStr">
        <is>
          <t>S1-RT-033</t>
        </is>
      </c>
      <c r="H252" s="21" t="inlineStr">
        <is>
          <t>Primary TP</t>
        </is>
      </c>
      <c r="I252" s="21" t="inlineStr">
        <is>
          <t>TP</t>
        </is>
      </c>
      <c r="J252" s="21" t="inlineStr">
        <is>
          <t>M</t>
        </is>
      </c>
      <c r="K252" s="21" t="inlineStr">
        <is>
          <t>Y</t>
        </is>
      </c>
      <c r="L252" s="21" t="inlineStr">
        <is>
          <t>No</t>
        </is>
      </c>
      <c r="M252" s="21" t="inlineStr"/>
      <c r="N252" s="22" t="inlineStr">
        <is>
          <t>Mechanism class unsafe_output; evidence: XSS</t>
        </is>
      </c>
      <c r="O252" s="5" t="inlineStr">
        <is>
          <t>unsafe_output</t>
        </is>
      </c>
      <c r="P252" s="16" t="inlineStr"/>
      <c r="Q252" s="16" t="inlineStr">
        <is>
          <t>P1: Web Frontend Interface</t>
        </is>
      </c>
      <c r="R252" s="16" t="inlineStr"/>
      <c r="S252" s="5" t="inlineStr">
        <is>
          <t>Confirmed</t>
        </is>
      </c>
    </row>
    <row r="253" ht="16" customHeight="1">
      <c r="A253" s="5" t="inlineStr">
        <is>
          <t>THREMOLIA-S1-F007</t>
        </is>
      </c>
      <c r="B253" s="5" t="inlineStr">
        <is>
          <t>THREMOLIA</t>
        </is>
      </c>
      <c r="C253" s="5" t="inlineStr">
        <is>
          <t>S1</t>
        </is>
      </c>
      <c r="D253" s="21" t="str">
        <f>IFERROR(VLOOKUP($G253,'02_REFERENCE'!$A$2:$S$99,4,FALSE),"N/A")</f>
        <v>Repudiation</v>
      </c>
      <c r="E253" s="21" t="str">
        <f>IFERROR(VLOOKUP($G253,'02_REFERENCE'!$A$2:$S$99,15,FALSE),"N/A")</f>
        <v>Medium</v>
      </c>
      <c r="F253" s="21" t="str">
        <f>IFERROR(VLOOKUP($G253,'02_REFERENCE'!$A$2:$S$99,17,FALSE),"N/A")</f>
        <v>No</v>
      </c>
      <c r="G253" s="21" t="inlineStr">
        <is>
          <t>S1-RT-021</t>
        </is>
      </c>
      <c r="H253" s="21" t="inlineStr">
        <is>
          <t>Duplicate</t>
        </is>
      </c>
      <c r="I253" s="21" t="inlineStr">
        <is>
          <t>TP</t>
        </is>
      </c>
      <c r="J253" s="21" t="inlineStr">
        <is>
          <t>M</t>
        </is>
      </c>
      <c r="K253" s="21" t="inlineStr">
        <is>
          <t>N</t>
        </is>
      </c>
      <c r="L253" s="21" t="inlineStr">
        <is>
          <t>Yes</t>
        </is>
      </c>
      <c r="M253" s="21" t="inlineStr">
        <is>
          <t>THREMOLIA-S1-F036</t>
        </is>
      </c>
      <c r="N253" s="22" t="inlineStr">
        <is>
          <t>Mechanism class repudiation; evidence: fails to log [Equivalence: restates THREMOLIA-S1-F036 — one-to-one rule applied.]</t>
        </is>
      </c>
      <c r="O253" s="5" t="inlineStr">
        <is>
          <t>repudiation</t>
        </is>
      </c>
      <c r="P253" s="16" t="inlineStr"/>
      <c r="Q253" s="16" t="inlineStr">
        <is>
          <t>P1: Web Frontend Interface</t>
        </is>
      </c>
      <c r="R253" s="16" t="inlineStr"/>
      <c r="S253" s="5" t="inlineStr">
        <is>
          <t>Confirmed</t>
        </is>
      </c>
    </row>
    <row r="254" ht="16" customHeight="1">
      <c r="A254" s="5" t="inlineStr">
        <is>
          <t>THREMOLIA-S1-F008</t>
        </is>
      </c>
      <c r="B254" s="5" t="inlineStr">
        <is>
          <t>THREMOLIA</t>
        </is>
      </c>
      <c r="C254" s="5" t="inlineStr">
        <is>
          <t>S1</t>
        </is>
      </c>
      <c r="D254" s="21" t="str">
        <f>IFERROR(VLOOKUP($G254,'02_REFERENCE'!$A$2:$S$99,4,FALSE),"N/A")</f>
        <v>Spoofing</v>
      </c>
      <c r="E254" s="21" t="str">
        <f>IFERROR(VLOOKUP($G254,'02_REFERENCE'!$A$2:$S$99,15,FALSE),"N/A")</f>
        <v>Critical</v>
      </c>
      <c r="F254" s="21" t="str">
        <f>IFERROR(VLOOKUP($G254,'02_REFERENCE'!$A$2:$S$99,17,FALSE),"N/A")</f>
        <v>No</v>
      </c>
      <c r="G254" s="21" t="inlineStr">
        <is>
          <t>S1-RT-014</t>
        </is>
      </c>
      <c r="H254" s="21" t="inlineStr">
        <is>
          <t>Duplicate</t>
        </is>
      </c>
      <c r="I254" s="21" t="inlineStr">
        <is>
          <t>TP</t>
        </is>
      </c>
      <c r="J254" s="21" t="inlineStr">
        <is>
          <t>L</t>
        </is>
      </c>
      <c r="K254" s="21" t="inlineStr">
        <is>
          <t>N</t>
        </is>
      </c>
      <c r="L254" s="21" t="inlineStr">
        <is>
          <t>Yes</t>
        </is>
      </c>
      <c r="M254" s="21" t="inlineStr">
        <is>
          <t>THREMOLIA-S1-F041</t>
        </is>
      </c>
      <c r="N254" s="22" t="inlineStr">
        <is>
          <t>Mechanism class transit_token; evidence: leaks sensitive user credentials, session token [Equivalence: restates THREMOLIA-S1-F041 — one-to-one rule applied.]</t>
        </is>
      </c>
      <c r="O254" s="5" t="inlineStr">
        <is>
          <t>transit_token</t>
        </is>
      </c>
      <c r="P254" s="16" t="inlineStr"/>
      <c r="Q254" s="16" t="inlineStr">
        <is>
          <t>P1: Web Frontend Interface</t>
        </is>
      </c>
      <c r="R254" s="16" t="inlineStr"/>
      <c r="S254" s="5" t="inlineStr">
        <is>
          <t>Manual review</t>
        </is>
      </c>
    </row>
    <row r="255" ht="16" customHeight="1">
      <c r="A255" s="5" t="inlineStr">
        <is>
          <t>THREMOLIA-S1-F009</t>
        </is>
      </c>
      <c r="B255" s="5" t="inlineStr">
        <is>
          <t>THREMOLIA</t>
        </is>
      </c>
      <c r="C255" s="5" t="inlineStr">
        <is>
          <t>S1</t>
        </is>
      </c>
      <c r="D255" s="21" t="str">
        <f>IFERROR(VLOOKUP($G255,'02_REFERENCE'!$A$2:$S$99,4,FALSE),"N/A")</f>
        <v>N/A</v>
      </c>
      <c r="E255" s="21" t="str">
        <f>IFERROR(VLOOKUP($G255,'02_REFERENCE'!$A$2:$S$99,15,FALSE),"N/A")</f>
        <v>N/A</v>
      </c>
      <c r="F255" s="21" t="str">
        <f>IFERROR(VLOOKUP($G255,'02_REFERENCE'!$A$2:$S$99,17,FALSE),"N/A")</f>
        <v>N/A</v>
      </c>
      <c r="G255" s="21" t="inlineStr"/>
      <c r="H255" s="21" t="inlineStr">
        <is>
          <t>False Positive</t>
        </is>
      </c>
      <c r="I255" s="21" t="inlineStr">
        <is>
          <t>FP</t>
        </is>
      </c>
      <c r="J255" s="21" t="inlineStr">
        <is>
          <t>M</t>
        </is>
      </c>
      <c r="K255" s="21" t="inlineStr">
        <is>
          <t>N</t>
        </is>
      </c>
      <c r="L255" s="21" t="inlineStr">
        <is>
          <t>No</t>
        </is>
      </c>
      <c r="M255" s="21" t="inlineStr"/>
      <c r="N255" s="22" t="inlineStr">
        <is>
          <t>No reference threat corresponds to this finding's mechanism (scoring found no class with sufficient evidence).</t>
        </is>
      </c>
      <c r="O255" s="5" t="inlineStr"/>
      <c r="P255" s="16" t="inlineStr"/>
      <c r="Q255" s="16" t="inlineStr">
        <is>
          <t>P1: Web Frontend Interface</t>
        </is>
      </c>
      <c r="R255" s="16" t="inlineStr"/>
      <c r="S255" s="5" t="inlineStr">
        <is>
          <t>Confirmed</t>
        </is>
      </c>
    </row>
    <row r="256" ht="16" customHeight="1">
      <c r="A256" s="5" t="inlineStr">
        <is>
          <t>THREMOLIA-S1-F010</t>
        </is>
      </c>
      <c r="B256" s="5" t="inlineStr">
        <is>
          <t>THREMOLIA</t>
        </is>
      </c>
      <c r="C256" s="5" t="inlineStr">
        <is>
          <t>S1</t>
        </is>
      </c>
      <c r="D256" s="21" t="str">
        <f>IFERROR(VLOOKUP($G256,'02_REFERENCE'!$A$2:$S$99,4,FALSE),"N/A")</f>
        <v>Spoofing</v>
      </c>
      <c r="E256" s="21" t="str">
        <f>IFERROR(VLOOKUP($G256,'02_REFERENCE'!$A$2:$S$99,15,FALSE),"N/A")</f>
        <v>Critical</v>
      </c>
      <c r="F256" s="21" t="str">
        <f>IFERROR(VLOOKUP($G256,'02_REFERENCE'!$A$2:$S$99,17,FALSE),"N/A")</f>
        <v>No</v>
      </c>
      <c r="G256" s="21" t="inlineStr">
        <is>
          <t>S1-RT-004</t>
        </is>
      </c>
      <c r="H256" s="21" t="inlineStr">
        <is>
          <t>Duplicate</t>
        </is>
      </c>
      <c r="I256" s="21" t="inlineStr">
        <is>
          <t>TP</t>
        </is>
      </c>
      <c r="J256" s="21" t="inlineStr">
        <is>
          <t>L</t>
        </is>
      </c>
      <c r="K256" s="21" t="inlineStr">
        <is>
          <t>N</t>
        </is>
      </c>
      <c r="L256" s="21" t="inlineStr">
        <is>
          <t>Yes</t>
        </is>
      </c>
      <c r="M256" s="21" t="inlineStr">
        <is>
          <t>THREMOLIA-S1-F016</t>
        </is>
      </c>
      <c r="N256" s="22" t="inlineStr">
        <is>
          <t>Mechanism class auth_bypass_logic; evidence: without valid authenticat [Equivalence: restates THREMOLIA-S1-F016 — one-to-one rule applied.]</t>
        </is>
      </c>
      <c r="O256" s="5" t="inlineStr">
        <is>
          <t>auth_bypass_logic</t>
        </is>
      </c>
      <c r="P256" s="16" t="inlineStr"/>
      <c r="Q256" s="16" t="inlineStr">
        <is>
          <t>P1: Web Frontend Interface</t>
        </is>
      </c>
      <c r="R256" s="16" t="inlineStr"/>
      <c r="S256" s="5" t="inlineStr">
        <is>
          <t>Manual review</t>
        </is>
      </c>
    </row>
    <row r="257" ht="16" customHeight="1">
      <c r="A257" s="5" t="inlineStr">
        <is>
          <t>THREMOLIA-S1-F011</t>
        </is>
      </c>
      <c r="B257" s="5" t="inlineStr">
        <is>
          <t>THREMOLIA</t>
        </is>
      </c>
      <c r="C257" s="5" t="inlineStr">
        <is>
          <t>S1</t>
        </is>
      </c>
      <c r="D257" s="21" t="str">
        <f>IFERROR(VLOOKUP($G257,'02_REFERENCE'!$A$2:$S$99,4,FALSE),"N/A")</f>
        <v>Spoofing</v>
      </c>
      <c r="E257" s="21" t="str">
        <f>IFERROR(VLOOKUP($G257,'02_REFERENCE'!$A$2:$S$99,15,FALSE),"N/A")</f>
        <v>High</v>
      </c>
      <c r="F257" s="21" t="str">
        <f>IFERROR(VLOOKUP($G257,'02_REFERENCE'!$A$2:$S$99,17,FALSE),"N/A")</f>
        <v>No</v>
      </c>
      <c r="G257" s="21" t="inlineStr">
        <is>
          <t>S1-RT-002</t>
        </is>
      </c>
      <c r="H257" s="21" t="inlineStr">
        <is>
          <t>Duplicate</t>
        </is>
      </c>
      <c r="I257" s="21" t="inlineStr">
        <is>
          <t>TP</t>
        </is>
      </c>
      <c r="J257" s="21" t="inlineStr">
        <is>
          <t>M</t>
        </is>
      </c>
      <c r="K257" s="21" t="inlineStr">
        <is>
          <t>N</t>
        </is>
      </c>
      <c r="L257" s="21" t="inlineStr">
        <is>
          <t>Yes</t>
        </is>
      </c>
      <c r="M257" s="21" t="inlineStr">
        <is>
          <t>THREMOLIA-S1-F001</t>
        </is>
      </c>
      <c r="N257" s="22" t="inlineStr">
        <is>
          <t>Mechanism class credential_stuffing; evidence: stuffing [Equivalence: restates THREMOLIA-S1-F001 — one-to-one rule applied.]</t>
        </is>
      </c>
      <c r="O257" s="5" t="inlineStr">
        <is>
          <t>credential_stuffing</t>
        </is>
      </c>
      <c r="P257" s="16" t="inlineStr"/>
      <c r="Q257" s="16" t="inlineStr">
        <is>
          <t>P2: Authentication Service</t>
        </is>
      </c>
      <c r="R257" s="16" t="inlineStr"/>
      <c r="S257" s="5" t="inlineStr">
        <is>
          <t>Confirmed</t>
        </is>
      </c>
    </row>
    <row r="258" ht="16" customHeight="1">
      <c r="A258" s="5" t="inlineStr">
        <is>
          <t>THREMOLIA-S1-F012</t>
        </is>
      </c>
      <c r="B258" s="5" t="inlineStr">
        <is>
          <t>THREMOLIA</t>
        </is>
      </c>
      <c r="C258" s="5" t="inlineStr">
        <is>
          <t>S1</t>
        </is>
      </c>
      <c r="D258" s="21" t="str">
        <f>IFERROR(VLOOKUP($G258,'02_REFERENCE'!$A$2:$S$99,4,FALSE),"N/A")</f>
        <v>Tampering</v>
      </c>
      <c r="E258" s="21" t="str">
        <f>IFERROR(VLOOKUP($G258,'02_REFERENCE'!$A$2:$S$99,15,FALSE),"N/A")</f>
        <v>Critical</v>
      </c>
      <c r="F258" s="21" t="str">
        <f>IFERROR(VLOOKUP($G258,'02_REFERENCE'!$A$2:$S$99,17,FALSE),"N/A")</f>
        <v>No</v>
      </c>
      <c r="G258" s="21" t="inlineStr">
        <is>
          <t>S1-RT-008</t>
        </is>
      </c>
      <c r="H258" s="21" t="inlineStr">
        <is>
          <t>Duplicate</t>
        </is>
      </c>
      <c r="I258" s="21" t="inlineStr">
        <is>
          <t>TP</t>
        </is>
      </c>
      <c r="J258" s="21" t="inlineStr">
        <is>
          <t>M</t>
        </is>
      </c>
      <c r="K258" s="21" t="inlineStr">
        <is>
          <t>N</t>
        </is>
      </c>
      <c r="L258" s="21" t="inlineStr">
        <is>
          <t>Yes</t>
        </is>
      </c>
      <c r="M258" s="21" t="inlineStr">
        <is>
          <t>THREMOLIA-S1-F065</t>
        </is>
      </c>
      <c r="N258" s="22" t="inlineStr">
        <is>
          <t>Mechanism class injection_verification; evidence: NoSQL injection [Equivalence: restates THREMOLIA-S1-F065 — one-to-one rule applied.]</t>
        </is>
      </c>
      <c r="O258" s="5" t="inlineStr">
        <is>
          <t>injection_verification</t>
        </is>
      </c>
      <c r="P258" s="16" t="inlineStr"/>
      <c r="Q258" s="16" t="inlineStr">
        <is>
          <t>P2: Authentication Service</t>
        </is>
      </c>
      <c r="R258" s="16" t="inlineStr"/>
      <c r="S258" s="5" t="inlineStr">
        <is>
          <t>Confirmed</t>
        </is>
      </c>
    </row>
    <row r="259" ht="16" customHeight="1">
      <c r="A259" s="5" t="inlineStr">
        <is>
          <t>THREMOLIA-S1-F013</t>
        </is>
      </c>
      <c r="B259" s="5" t="inlineStr">
        <is>
          <t>THREMOLIA</t>
        </is>
      </c>
      <c r="C259" s="5" t="inlineStr">
        <is>
          <t>S1</t>
        </is>
      </c>
      <c r="D259" s="21" t="str">
        <f>IFERROR(VLOOKUP($G259,'02_REFERENCE'!$A$2:$S$99,4,FALSE),"N/A")</f>
        <v>Repudiation</v>
      </c>
      <c r="E259" s="21" t="str">
        <f>IFERROR(VLOOKUP($G259,'02_REFERENCE'!$A$2:$S$99,15,FALSE),"N/A")</f>
        <v>Medium</v>
      </c>
      <c r="F259" s="21" t="str">
        <f>IFERROR(VLOOKUP($G259,'02_REFERENCE'!$A$2:$S$99,17,FALSE),"N/A")</f>
        <v>No</v>
      </c>
      <c r="G259" s="21" t="inlineStr">
        <is>
          <t>S1-RT-021</t>
        </is>
      </c>
      <c r="H259" s="21" t="inlineStr">
        <is>
          <t>Duplicate</t>
        </is>
      </c>
      <c r="I259" s="21" t="inlineStr">
        <is>
          <t>TP</t>
        </is>
      </c>
      <c r="J259" s="21" t="inlineStr">
        <is>
          <t>M</t>
        </is>
      </c>
      <c r="K259" s="21" t="inlineStr">
        <is>
          <t>N</t>
        </is>
      </c>
      <c r="L259" s="21" t="inlineStr">
        <is>
          <t>Yes</t>
        </is>
      </c>
      <c r="M259" s="21" t="inlineStr">
        <is>
          <t>THREMOLIA-S1-F036</t>
        </is>
      </c>
      <c r="N259" s="22" t="inlineStr">
        <is>
          <t>Mechanism class repudiation; evidence: does not generate [Equivalence: restates THREMOLIA-S1-F036 — one-to-one rule applied.]</t>
        </is>
      </c>
      <c r="O259" s="5" t="inlineStr">
        <is>
          <t>repudiation</t>
        </is>
      </c>
      <c r="P259" s="16" t="inlineStr"/>
      <c r="Q259" s="16" t="inlineStr">
        <is>
          <t>P2: Authentication Service</t>
        </is>
      </c>
      <c r="R259" s="16" t="inlineStr"/>
      <c r="S259" s="5" t="inlineStr">
        <is>
          <t>Confirmed</t>
        </is>
      </c>
    </row>
    <row r="260" ht="16" customHeight="1">
      <c r="A260" s="5" t="inlineStr">
        <is>
          <t>THREMOLIA-S1-F014</t>
        </is>
      </c>
      <c r="B260" s="5" t="inlineStr">
        <is>
          <t>THREMOLIA</t>
        </is>
      </c>
      <c r="C260" s="5" t="inlineStr">
        <is>
          <t>S1</t>
        </is>
      </c>
      <c r="D260" s="21" t="str">
        <f>IFERROR(VLOOKUP($G260,'02_REFERENCE'!$A$2:$S$99,4,FALSE),"N/A")</f>
        <v>Information Disclosure</v>
      </c>
      <c r="E260" s="21" t="str">
        <f>IFERROR(VLOOKUP($G260,'02_REFERENCE'!$A$2:$S$99,15,FALSE),"N/A")</f>
        <v>Medium</v>
      </c>
      <c r="F260" s="21" t="str">
        <f>IFERROR(VLOOKUP($G260,'02_REFERENCE'!$A$2:$S$99,17,FALSE),"N/A")</f>
        <v>No</v>
      </c>
      <c r="G260" s="21" t="inlineStr">
        <is>
          <t>S1-RT-003</t>
        </is>
      </c>
      <c r="H260" s="21" t="inlineStr">
        <is>
          <t>Primary TP</t>
        </is>
      </c>
      <c r="I260" s="21" t="inlineStr">
        <is>
          <t>TP</t>
        </is>
      </c>
      <c r="J260" s="21" t="inlineStr">
        <is>
          <t>H</t>
        </is>
      </c>
      <c r="K260" s="21" t="inlineStr">
        <is>
          <t>Y</t>
        </is>
      </c>
      <c r="L260" s="21" t="inlineStr">
        <is>
          <t>No</t>
        </is>
      </c>
      <c r="M260" s="21" t="inlineStr"/>
      <c r="N260" s="22" t="inlineStr">
        <is>
          <t>Mechanism class enumeration; evidence: enumeration; differential error messages or timing; reveals whether a username exists; reveals whether a username exists</t>
        </is>
      </c>
      <c r="O260" s="5" t="inlineStr">
        <is>
          <t>enumeration</t>
        </is>
      </c>
      <c r="P260" s="16" t="inlineStr"/>
      <c r="Q260" s="16" t="inlineStr">
        <is>
          <t>P2: Authentication Service</t>
        </is>
      </c>
      <c r="R260" s="16" t="inlineStr"/>
      <c r="S260" s="5" t="inlineStr">
        <is>
          <t>Confirmed</t>
        </is>
      </c>
    </row>
    <row r="261" ht="16" customHeight="1">
      <c r="A261" s="5" t="inlineStr">
        <is>
          <t>THREMOLIA-S1-F015</t>
        </is>
      </c>
      <c r="B261" s="5" t="inlineStr">
        <is>
          <t>THREMOLIA</t>
        </is>
      </c>
      <c r="C261" s="5" t="inlineStr">
        <is>
          <t>S1</t>
        </is>
      </c>
      <c r="D261" s="21" t="str">
        <f>IFERROR(VLOOKUP($G261,'02_REFERENCE'!$A$2:$S$99,4,FALSE),"N/A")</f>
        <v>Denial of Service</v>
      </c>
      <c r="E261" s="21" t="str">
        <f>IFERROR(VLOOKUP($G261,'02_REFERENCE'!$A$2:$S$99,15,FALSE),"N/A")</f>
        <v>Medium</v>
      </c>
      <c r="F261" s="21" t="str">
        <f>IFERROR(VLOOKUP($G261,'02_REFERENCE'!$A$2:$S$99,17,FALSE),"N/A")</f>
        <v>No</v>
      </c>
      <c r="G261" s="21" t="inlineStr">
        <is>
          <t>S1-RT-028</t>
        </is>
      </c>
      <c r="H261" s="21" t="inlineStr">
        <is>
          <t>Duplicate</t>
        </is>
      </c>
      <c r="I261" s="21" t="inlineStr">
        <is>
          <t>TP</t>
        </is>
      </c>
      <c r="J261" s="21" t="inlineStr">
        <is>
          <t>M</t>
        </is>
      </c>
      <c r="K261" s="21" t="inlineStr">
        <is>
          <t>N</t>
        </is>
      </c>
      <c r="L261" s="21" t="inlineStr">
        <is>
          <t>Yes</t>
        </is>
      </c>
      <c r="M261" s="21" t="inlineStr">
        <is>
          <t>THREMOLIA-S1-F038</t>
        </is>
      </c>
      <c r="N261" s="22" t="inlineStr">
        <is>
          <t>Mechanism class dos_service (victim-based DoS routing); evidence: flood [Equivalence: restates THREMOLIA-S1-F038 — one-to-one rule applied.]</t>
        </is>
      </c>
      <c r="O261" s="5" t="inlineStr">
        <is>
          <t>dos_service</t>
        </is>
      </c>
      <c r="P261" s="16" t="inlineStr"/>
      <c r="Q261" s="16" t="inlineStr">
        <is>
          <t>P2: Authentication Service</t>
        </is>
      </c>
      <c r="R261" s="16" t="inlineStr"/>
      <c r="S261" s="5" t="inlineStr">
        <is>
          <t>Confirmed</t>
        </is>
      </c>
    </row>
    <row r="262" ht="16" customHeight="1">
      <c r="A262" s="5" t="inlineStr">
        <is>
          <t>THREMOLIA-S1-F016</t>
        </is>
      </c>
      <c r="B262" s="5" t="inlineStr">
        <is>
          <t>THREMOLIA</t>
        </is>
      </c>
      <c r="C262" s="5" t="inlineStr">
        <is>
          <t>S1</t>
        </is>
      </c>
      <c r="D262" s="21" t="str">
        <f>IFERROR(VLOOKUP($G262,'02_REFERENCE'!$A$2:$S$99,4,FALSE),"N/A")</f>
        <v>Spoofing</v>
      </c>
      <c r="E262" s="21" t="str">
        <f>IFERROR(VLOOKUP($G262,'02_REFERENCE'!$A$2:$S$99,15,FALSE),"N/A")</f>
        <v>Critical</v>
      </c>
      <c r="F262" s="21" t="str">
        <f>IFERROR(VLOOKUP($G262,'02_REFERENCE'!$A$2:$S$99,17,FALSE),"N/A")</f>
        <v>No</v>
      </c>
      <c r="G262" s="21" t="inlineStr">
        <is>
          <t>S1-RT-004</t>
        </is>
      </c>
      <c r="H262" s="21" t="inlineStr">
        <is>
          <t>Primary TP</t>
        </is>
      </c>
      <c r="I262" s="21" t="inlineStr">
        <is>
          <t>TP</t>
        </is>
      </c>
      <c r="J262" s="21" t="inlineStr">
        <is>
          <t>M</t>
        </is>
      </c>
      <c r="K262" s="21" t="inlineStr">
        <is>
          <t>Y</t>
        </is>
      </c>
      <c r="L262" s="21" t="inlineStr">
        <is>
          <t>No</t>
        </is>
      </c>
      <c r="M262" s="21" t="inlineStr"/>
      <c r="N262" s="22" t="inlineStr">
        <is>
          <t>Mechanism class auth_bypass_logic; evidence: Flaws in authentication; null/wildcard credential</t>
        </is>
      </c>
      <c r="O262" s="5" t="inlineStr">
        <is>
          <t>auth_bypass_logic</t>
        </is>
      </c>
      <c r="P262" s="16" t="inlineStr"/>
      <c r="Q262" s="16" t="inlineStr">
        <is>
          <t>P2: Authentication Service</t>
        </is>
      </c>
      <c r="R262" s="16" t="inlineStr"/>
      <c r="S262" s="5" t="inlineStr">
        <is>
          <t>Confirmed</t>
        </is>
      </c>
    </row>
    <row r="263" ht="16" customHeight="1">
      <c r="A263" s="5" t="inlineStr">
        <is>
          <t>THREMOLIA-S1-F017</t>
        </is>
      </c>
      <c r="B263" s="5" t="inlineStr">
        <is>
          <t>THREMOLIA</t>
        </is>
      </c>
      <c r="C263" s="5" t="inlineStr">
        <is>
          <t>S1</t>
        </is>
      </c>
      <c r="D263" s="21" t="str">
        <f>IFERROR(VLOOKUP($G263,'02_REFERENCE'!$A$2:$S$99,4,FALSE),"N/A")</f>
        <v>Spoofing</v>
      </c>
      <c r="E263" s="21" t="str">
        <f>IFERROR(VLOOKUP($G263,'02_REFERENCE'!$A$2:$S$99,15,FALSE),"N/A")</f>
        <v>High</v>
      </c>
      <c r="F263" s="21" t="str">
        <f>IFERROR(VLOOKUP($G263,'02_REFERENCE'!$A$2:$S$99,17,FALSE),"N/A")</f>
        <v>No</v>
      </c>
      <c r="G263" s="21" t="inlineStr">
        <is>
          <t>S1-RT-015</t>
        </is>
      </c>
      <c r="H263" s="21" t="inlineStr">
        <is>
          <t>Primary TP</t>
        </is>
      </c>
      <c r="I263" s="21" t="inlineStr">
        <is>
          <t>TP</t>
        </is>
      </c>
      <c r="J263" s="21" t="inlineStr">
        <is>
          <t>M</t>
        </is>
      </c>
      <c r="K263" s="21" t="inlineStr">
        <is>
          <t>Y</t>
        </is>
      </c>
      <c r="L263" s="21" t="inlineStr">
        <is>
          <t>No</t>
        </is>
      </c>
      <c r="M263" s="21" t="inlineStr"/>
      <c r="N263" s="22" t="inlineStr">
        <is>
          <t>Mechanism class predictable_token; evidence: predicts</t>
        </is>
      </c>
      <c r="O263" s="5" t="inlineStr">
        <is>
          <t>predictable_token</t>
        </is>
      </c>
      <c r="P263" s="16" t="inlineStr"/>
      <c r="Q263" s="16" t="inlineStr">
        <is>
          <t>P3: Session Management Module</t>
        </is>
      </c>
      <c r="R263" s="16" t="inlineStr"/>
      <c r="S263" s="5" t="inlineStr">
        <is>
          <t>Confirmed</t>
        </is>
      </c>
    </row>
    <row r="264" ht="16" customHeight="1">
      <c r="A264" s="5" t="inlineStr">
        <is>
          <t>THREMOLIA-S1-F018</t>
        </is>
      </c>
      <c r="B264" s="5" t="inlineStr">
        <is>
          <t>THREMOLIA</t>
        </is>
      </c>
      <c r="C264" s="5" t="inlineStr">
        <is>
          <t>S1</t>
        </is>
      </c>
      <c r="D264" s="21" t="str">
        <f>IFERROR(VLOOKUP($G264,'02_REFERENCE'!$A$2:$S$99,4,FALSE),"N/A")</f>
        <v>Tampering</v>
      </c>
      <c r="E264" s="21" t="str">
        <f>IFERROR(VLOOKUP($G264,'02_REFERENCE'!$A$2:$S$99,15,FALSE),"N/A")</f>
        <v>High</v>
      </c>
      <c r="F264" s="21" t="str">
        <f>IFERROR(VLOOKUP($G264,'02_REFERENCE'!$A$2:$S$99,17,FALSE),"N/A")</f>
        <v>No</v>
      </c>
      <c r="G264" s="21" t="inlineStr">
        <is>
          <t>S1-RT-017</t>
        </is>
      </c>
      <c r="H264" s="21" t="inlineStr">
        <is>
          <t>Duplicate</t>
        </is>
      </c>
      <c r="I264" s="21" t="inlineStr">
        <is>
          <t>TP</t>
        </is>
      </c>
      <c r="J264" s="21" t="inlineStr">
        <is>
          <t>M</t>
        </is>
      </c>
      <c r="K264" s="21" t="inlineStr">
        <is>
          <t>N</t>
        </is>
      </c>
      <c r="L264" s="21" t="inlineStr">
        <is>
          <t>Yes</t>
        </is>
      </c>
      <c r="M264" s="21" t="inlineStr">
        <is>
          <t>THREMOLIA-S1-F039</t>
        </is>
      </c>
      <c r="N264" s="22" t="inlineStr">
        <is>
          <t>Mechanism class session_store_tamper; evidence: session token contents or claims (e.g., in unsigned/tamper [Equivalence: restates THREMOLIA-S1-F039 — one-to-one rule applied.]</t>
        </is>
      </c>
      <c r="O264" s="5" t="inlineStr">
        <is>
          <t>session_store_tamper</t>
        </is>
      </c>
      <c r="P264" s="16" t="inlineStr"/>
      <c r="Q264" s="16" t="inlineStr">
        <is>
          <t>P3: Session Management Module</t>
        </is>
      </c>
      <c r="R264" s="16" t="inlineStr"/>
      <c r="S264" s="5" t="inlineStr">
        <is>
          <t>Confirmed</t>
        </is>
      </c>
    </row>
    <row r="265" ht="16" customHeight="1">
      <c r="A265" s="5" t="inlineStr">
        <is>
          <t>THREMOLIA-S1-F019</t>
        </is>
      </c>
      <c r="B265" s="5" t="inlineStr">
        <is>
          <t>THREMOLIA</t>
        </is>
      </c>
      <c r="C265" s="5" t="inlineStr">
        <is>
          <t>S1</t>
        </is>
      </c>
      <c r="D265" s="21" t="str">
        <f>IFERROR(VLOOKUP($G265,'02_REFERENCE'!$A$2:$S$99,4,FALSE),"N/A")</f>
        <v>N/A</v>
      </c>
      <c r="E265" s="21" t="str">
        <f>IFERROR(VLOOKUP($G265,'02_REFERENCE'!$A$2:$S$99,15,FALSE),"N/A")</f>
        <v>N/A</v>
      </c>
      <c r="F265" s="21" t="str">
        <f>IFERROR(VLOOKUP($G265,'02_REFERENCE'!$A$2:$S$99,17,FALSE),"N/A")</f>
        <v>N/A</v>
      </c>
      <c r="G265" s="21" t="inlineStr"/>
      <c r="H265" s="21" t="inlineStr">
        <is>
          <t>False Positive</t>
        </is>
      </c>
      <c r="I265" s="21" t="inlineStr">
        <is>
          <t>FP</t>
        </is>
      </c>
      <c r="J265" s="21" t="inlineStr">
        <is>
          <t>M</t>
        </is>
      </c>
      <c r="K265" s="21" t="inlineStr">
        <is>
          <t>N</t>
        </is>
      </c>
      <c r="L265" s="21" t="inlineStr">
        <is>
          <t>No</t>
        </is>
      </c>
      <c r="M265" s="21" t="inlineStr"/>
      <c r="N265" s="22" t="inlineStr">
        <is>
          <t>No reference threat corresponds to this finding's mechanism (scoring found no class with sufficient evidence).</t>
        </is>
      </c>
      <c r="O265" s="5" t="inlineStr"/>
      <c r="P265" s="16" t="inlineStr"/>
      <c r="Q265" s="16" t="inlineStr">
        <is>
          <t>P3: Session Management Module</t>
        </is>
      </c>
      <c r="R265" s="16" t="inlineStr"/>
      <c r="S265" s="5" t="inlineStr">
        <is>
          <t>Confirmed</t>
        </is>
      </c>
    </row>
    <row r="266" ht="16" customHeight="1">
      <c r="A266" s="5" t="inlineStr">
        <is>
          <t>THREMOLIA-S1-F020</t>
        </is>
      </c>
      <c r="B266" s="5" t="inlineStr">
        <is>
          <t>THREMOLIA</t>
        </is>
      </c>
      <c r="C266" s="5" t="inlineStr">
        <is>
          <t>S1</t>
        </is>
      </c>
      <c r="D266" s="21" t="str">
        <f>IFERROR(VLOOKUP($G266,'02_REFERENCE'!$A$2:$S$99,4,FALSE),"N/A")</f>
        <v>Spoofing</v>
      </c>
      <c r="E266" s="21" t="str">
        <f>IFERROR(VLOOKUP($G266,'02_REFERENCE'!$A$2:$S$99,15,FALSE),"N/A")</f>
        <v>Critical</v>
      </c>
      <c r="F266" s="21" t="str">
        <f>IFERROR(VLOOKUP($G266,'02_REFERENCE'!$A$2:$S$99,17,FALSE),"N/A")</f>
        <v>No</v>
      </c>
      <c r="G266" s="21" t="inlineStr">
        <is>
          <t>S1-RT-014</t>
        </is>
      </c>
      <c r="H266" s="21" t="inlineStr">
        <is>
          <t>Duplicate</t>
        </is>
      </c>
      <c r="I266" s="21" t="inlineStr">
        <is>
          <t>TP</t>
        </is>
      </c>
      <c r="J266" s="21" t="inlineStr">
        <is>
          <t>L</t>
        </is>
      </c>
      <c r="K266" s="21" t="inlineStr">
        <is>
          <t>N</t>
        </is>
      </c>
      <c r="L266" s="21" t="inlineStr">
        <is>
          <t>Yes</t>
        </is>
      </c>
      <c r="M266" s="21" t="inlineStr">
        <is>
          <t>THREMOLIA-S1-F041</t>
        </is>
      </c>
      <c r="N266" s="22" t="inlineStr">
        <is>
          <t>Mechanism class transit_token; evidence: tokens or sensitive session attributes are accidentally leak [Equivalence: restates THREMOLIA-S1-F041 — one-to-one rule applied.]</t>
        </is>
      </c>
      <c r="O266" s="5" t="inlineStr">
        <is>
          <t>transit_token</t>
        </is>
      </c>
      <c r="P266" s="16" t="inlineStr"/>
      <c r="Q266" s="16" t="inlineStr">
        <is>
          <t>P3: Session Management Module</t>
        </is>
      </c>
      <c r="R266" s="16" t="inlineStr"/>
      <c r="S266" s="5" t="inlineStr">
        <is>
          <t>Manual review</t>
        </is>
      </c>
    </row>
    <row r="267" ht="16" customHeight="1">
      <c r="A267" s="5" t="inlineStr">
        <is>
          <t>THREMOLIA-S1-F021</t>
        </is>
      </c>
      <c r="B267" s="5" t="inlineStr">
        <is>
          <t>THREMOLIA</t>
        </is>
      </c>
      <c r="C267" s="5" t="inlineStr">
        <is>
          <t>S1</t>
        </is>
      </c>
      <c r="D267" s="21" t="str">
        <f>IFERROR(VLOOKUP($G267,'02_REFERENCE'!$A$2:$S$99,4,FALSE),"N/A")</f>
        <v>Denial of Service</v>
      </c>
      <c r="E267" s="21" t="str">
        <f>IFERROR(VLOOKUP($G267,'02_REFERENCE'!$A$2:$S$99,15,FALSE),"N/A")</f>
        <v>Medium</v>
      </c>
      <c r="F267" s="21" t="str">
        <f>IFERROR(VLOOKUP($G267,'02_REFERENCE'!$A$2:$S$99,17,FALSE),"N/A")</f>
        <v>No</v>
      </c>
      <c r="G267" s="21" t="inlineStr">
        <is>
          <t>S1-RT-028</t>
        </is>
      </c>
      <c r="H267" s="21" t="inlineStr">
        <is>
          <t>Duplicate</t>
        </is>
      </c>
      <c r="I267" s="21" t="inlineStr">
        <is>
          <t>TP</t>
        </is>
      </c>
      <c r="J267" s="21" t="inlineStr">
        <is>
          <t>M</t>
        </is>
      </c>
      <c r="K267" s="21" t="inlineStr">
        <is>
          <t>N</t>
        </is>
      </c>
      <c r="L267" s="21" t="inlineStr">
        <is>
          <t>Yes</t>
        </is>
      </c>
      <c r="M267" s="21" t="inlineStr">
        <is>
          <t>THREMOLIA-S1-F038</t>
        </is>
      </c>
      <c r="N267" s="22" t="inlineStr">
        <is>
          <t>Mechanism class dos_service (victim-based DoS routing); evidence: exhaust [Equivalence: restates THREMOLIA-S1-F038 — one-to-one rule applied.]</t>
        </is>
      </c>
      <c r="O267" s="5" t="inlineStr">
        <is>
          <t>dos_service</t>
        </is>
      </c>
      <c r="P267" s="16" t="inlineStr"/>
      <c r="Q267" s="16" t="inlineStr">
        <is>
          <t>P3: Session Management Module</t>
        </is>
      </c>
      <c r="R267" s="16" t="inlineStr"/>
      <c r="S267" s="5" t="inlineStr">
        <is>
          <t>Confirmed</t>
        </is>
      </c>
    </row>
    <row r="268" ht="16" customHeight="1">
      <c r="A268" s="5" t="inlineStr">
        <is>
          <t>THREMOLIA-S1-F022</t>
        </is>
      </c>
      <c r="B268" s="5" t="inlineStr">
        <is>
          <t>THREMOLIA</t>
        </is>
      </c>
      <c r="C268" s="5" t="inlineStr">
        <is>
          <t>S1</t>
        </is>
      </c>
      <c r="D268" s="21" t="str">
        <f>IFERROR(VLOOKUP($G268,'02_REFERENCE'!$A$2:$S$99,4,FALSE),"N/A")</f>
        <v>Spoofing</v>
      </c>
      <c r="E268" s="21" t="str">
        <f>IFERROR(VLOOKUP($G268,'02_REFERENCE'!$A$2:$S$99,15,FALSE),"N/A")</f>
        <v>High</v>
      </c>
      <c r="F268" s="21" t="str">
        <f>IFERROR(VLOOKUP($G268,'02_REFERENCE'!$A$2:$S$99,17,FALSE),"N/A")</f>
        <v>No</v>
      </c>
      <c r="G268" s="21" t="inlineStr">
        <is>
          <t>S1-RT-013</t>
        </is>
      </c>
      <c r="H268" s="21" t="inlineStr">
        <is>
          <t>Primary TP</t>
        </is>
      </c>
      <c r="I268" s="21" t="inlineStr">
        <is>
          <t>TP</t>
        </is>
      </c>
      <c r="J268" s="21" t="inlineStr">
        <is>
          <t>M</t>
        </is>
      </c>
      <c r="K268" s="21" t="inlineStr">
        <is>
          <t>Y</t>
        </is>
      </c>
      <c r="L268" s="21" t="inlineStr">
        <is>
          <t>No</t>
        </is>
      </c>
      <c r="M268" s="21" t="inlineStr"/>
      <c r="N268" s="22" t="inlineStr">
        <is>
          <t>Mechanism class session_fixation; evidence: fixation; known session</t>
        </is>
      </c>
      <c r="O268" s="5" t="inlineStr">
        <is>
          <t>session_fixation</t>
        </is>
      </c>
      <c r="P268" s="16" t="inlineStr"/>
      <c r="Q268" s="16" t="inlineStr">
        <is>
          <t>P3: Session Management Module</t>
        </is>
      </c>
      <c r="R268" s="16" t="inlineStr"/>
      <c r="S268" s="5" t="inlineStr">
        <is>
          <t>Confirmed</t>
        </is>
      </c>
    </row>
    <row r="269" ht="16" customHeight="1">
      <c r="A269" s="5" t="inlineStr">
        <is>
          <t>THREMOLIA-S1-F023</t>
        </is>
      </c>
      <c r="B269" s="5" t="inlineStr">
        <is>
          <t>THREMOLIA</t>
        </is>
      </c>
      <c r="C269" s="5" t="inlineStr">
        <is>
          <t>S1</t>
        </is>
      </c>
      <c r="D269" s="21" t="str">
        <f>IFERROR(VLOOKUP($G269,'02_REFERENCE'!$A$2:$S$99,4,FALSE),"N/A")</f>
        <v>Information Disclosure</v>
      </c>
      <c r="E269" s="21" t="str">
        <f>IFERROR(VLOOKUP($G269,'02_REFERENCE'!$A$2:$S$99,15,FALSE),"N/A")</f>
        <v>Medium</v>
      </c>
      <c r="F269" s="21" t="str">
        <f>IFERROR(VLOOKUP($G269,'02_REFERENCE'!$A$2:$S$99,17,FALSE),"N/A")</f>
        <v>Yes</v>
      </c>
      <c r="G269" s="21" t="inlineStr">
        <is>
          <t>S1-RT-012</t>
        </is>
      </c>
      <c r="H269" s="21" t="inlineStr">
        <is>
          <t>Primary TP</t>
        </is>
      </c>
      <c r="I269" s="21" t="inlineStr">
        <is>
          <t>TP</t>
        </is>
      </c>
      <c r="J269" s="21" t="inlineStr">
        <is>
          <t>L</t>
        </is>
      </c>
      <c r="K269" s="21" t="inlineStr">
        <is>
          <t>Y</t>
        </is>
      </c>
      <c r="L269" s="21" t="inlineStr">
        <is>
          <t>No</t>
        </is>
      </c>
      <c r="M269" s="21" t="inlineStr"/>
      <c r="N269" s="22" t="inlineStr">
        <is>
          <t>Mechanism class context_gap; evidence: spoofing chatbot interaction context to present fabricated c</t>
        </is>
      </c>
      <c r="O269" s="5" t="inlineStr">
        <is>
          <t>context_gap</t>
        </is>
      </c>
      <c r="P269" s="16" t="inlineStr"/>
      <c r="Q269" s="16" t="inlineStr">
        <is>
          <t>P4: AI Chatbot Component</t>
        </is>
      </c>
      <c r="R269" s="16" t="inlineStr"/>
      <c r="S269" s="5" t="inlineStr">
        <is>
          <t>Manual review</t>
        </is>
      </c>
    </row>
    <row r="270" ht="16" customHeight="1">
      <c r="A270" s="5" t="inlineStr">
        <is>
          <t>THREMOLIA-S1-F024</t>
        </is>
      </c>
      <c r="B270" s="5" t="inlineStr">
        <is>
          <t>THREMOLIA</t>
        </is>
      </c>
      <c r="C270" s="5" t="inlineStr">
        <is>
          <t>S1</t>
        </is>
      </c>
      <c r="D270" s="21" t="str">
        <f>IFERROR(VLOOKUP($G270,'02_REFERENCE'!$A$2:$S$99,4,FALSE),"N/A")</f>
        <v>Tampering</v>
      </c>
      <c r="E270" s="21" t="str">
        <f>IFERROR(VLOOKUP($G270,'02_REFERENCE'!$A$2:$S$99,15,FALSE),"N/A")</f>
        <v>High</v>
      </c>
      <c r="F270" s="21" t="str">
        <f>IFERROR(VLOOKUP($G270,'02_REFERENCE'!$A$2:$S$99,17,FALSE),"N/A")</f>
        <v>Yes</v>
      </c>
      <c r="G270" s="21" t="inlineStr">
        <is>
          <t>S1-RT-022</t>
        </is>
      </c>
      <c r="H270" s="21" t="inlineStr">
        <is>
          <t>Primary TP</t>
        </is>
      </c>
      <c r="I270" s="21" t="inlineStr">
        <is>
          <t>TP</t>
        </is>
      </c>
      <c r="J270" s="21" t="inlineStr">
        <is>
          <t>H</t>
        </is>
      </c>
      <c r="K270" s="21" t="inlineStr">
        <is>
          <t>Y</t>
        </is>
      </c>
      <c r="L270" s="21" t="inlineStr">
        <is>
          <t>No</t>
        </is>
      </c>
      <c r="M270" s="21" t="inlineStr"/>
      <c r="N270" s="22" t="inlineStr">
        <is>
          <t>Mechanism class prompt_injection_direct; evidence: Direct prompt injection; prompt inject; injection via user chatbot question; prompt inject</t>
        </is>
      </c>
      <c r="O270" s="5" t="inlineStr">
        <is>
          <t>prompt_injection_direct</t>
        </is>
      </c>
      <c r="P270" s="16" t="inlineStr"/>
      <c r="Q270" s="16" t="inlineStr">
        <is>
          <t>P4: AI Chatbot Component</t>
        </is>
      </c>
      <c r="R270" s="16" t="inlineStr"/>
      <c r="S270" s="5" t="inlineStr">
        <is>
          <t>Confirmed</t>
        </is>
      </c>
    </row>
    <row r="271" ht="16" customHeight="1">
      <c r="A271" s="5" t="inlineStr">
        <is>
          <t>THREMOLIA-S1-F025</t>
        </is>
      </c>
      <c r="B271" s="5" t="inlineStr">
        <is>
          <t>THREMOLIA</t>
        </is>
      </c>
      <c r="C271" s="5" t="inlineStr">
        <is>
          <t>S1</t>
        </is>
      </c>
      <c r="D271" s="21" t="str">
        <f>IFERROR(VLOOKUP($G271,'02_REFERENCE'!$A$2:$S$99,4,FALSE),"N/A")</f>
        <v>Repudiation</v>
      </c>
      <c r="E271" s="21" t="str">
        <f>IFERROR(VLOOKUP($G271,'02_REFERENCE'!$A$2:$S$99,15,FALSE),"N/A")</f>
        <v>Medium</v>
      </c>
      <c r="F271" s="21" t="str">
        <f>IFERROR(VLOOKUP($G271,'02_REFERENCE'!$A$2:$S$99,17,FALSE),"N/A")</f>
        <v>No</v>
      </c>
      <c r="G271" s="21" t="inlineStr">
        <is>
          <t>S1-RT-021</t>
        </is>
      </c>
      <c r="H271" s="21" t="inlineStr">
        <is>
          <t>Duplicate</t>
        </is>
      </c>
      <c r="I271" s="21" t="inlineStr">
        <is>
          <t>TP</t>
        </is>
      </c>
      <c r="J271" s="21" t="inlineStr">
        <is>
          <t>M</t>
        </is>
      </c>
      <c r="K271" s="21" t="inlineStr">
        <is>
          <t>N</t>
        </is>
      </c>
      <c r="L271" s="21" t="inlineStr">
        <is>
          <t>Yes</t>
        </is>
      </c>
      <c r="M271" s="21" t="inlineStr">
        <is>
          <t>THREMOLIA-S1-F036</t>
        </is>
      </c>
      <c r="N271" s="22" t="inlineStr">
        <is>
          <t>Mechanism class repudiation; evidence: Absence of audit [Equivalence: restates THREMOLIA-S1-F036 — one-to-one rule applied.]</t>
        </is>
      </c>
      <c r="O271" s="5" t="inlineStr">
        <is>
          <t>repudiation</t>
        </is>
      </c>
      <c r="P271" s="16" t="inlineStr"/>
      <c r="Q271" s="16" t="inlineStr">
        <is>
          <t>P4: AI Chatbot Component</t>
        </is>
      </c>
      <c r="R271" s="16" t="inlineStr"/>
      <c r="S271" s="5" t="inlineStr">
        <is>
          <t>Confirmed</t>
        </is>
      </c>
    </row>
    <row r="272" ht="16" customHeight="1">
      <c r="A272" s="5" t="inlineStr">
        <is>
          <t>THREMOLIA-S1-F026</t>
        </is>
      </c>
      <c r="B272" s="5" t="inlineStr">
        <is>
          <t>THREMOLIA</t>
        </is>
      </c>
      <c r="C272" s="5" t="inlineStr">
        <is>
          <t>S1</t>
        </is>
      </c>
      <c r="D272" s="21" t="str">
        <f>IFERROR(VLOOKUP($G272,'02_REFERENCE'!$A$2:$S$99,4,FALSE),"N/A")</f>
        <v>N/A</v>
      </c>
      <c r="E272" s="21" t="str">
        <f>IFERROR(VLOOKUP($G272,'02_REFERENCE'!$A$2:$S$99,15,FALSE),"N/A")</f>
        <v>N/A</v>
      </c>
      <c r="F272" s="21" t="str">
        <f>IFERROR(VLOOKUP($G272,'02_REFERENCE'!$A$2:$S$99,17,FALSE),"N/A")</f>
        <v>N/A</v>
      </c>
      <c r="G272" s="21" t="inlineStr"/>
      <c r="H272" s="21" t="inlineStr">
        <is>
          <t>False Positive</t>
        </is>
      </c>
      <c r="I272" s="21" t="inlineStr">
        <is>
          <t>FP</t>
        </is>
      </c>
      <c r="J272" s="21" t="inlineStr">
        <is>
          <t>M</t>
        </is>
      </c>
      <c r="K272" s="21" t="inlineStr">
        <is>
          <t>N</t>
        </is>
      </c>
      <c r="L272" s="21" t="inlineStr">
        <is>
          <t>No</t>
        </is>
      </c>
      <c r="M272" s="21" t="inlineStr"/>
      <c r="N272" s="22" t="inlineStr">
        <is>
          <t>No reference threat corresponds to this finding's mechanism (scoring found no class with sufficient evidence).</t>
        </is>
      </c>
      <c r="O272" s="5" t="inlineStr"/>
      <c r="P272" s="16" t="inlineStr"/>
      <c r="Q272" s="16" t="inlineStr">
        <is>
          <t>P4: AI Chatbot Component</t>
        </is>
      </c>
      <c r="R272" s="16" t="inlineStr"/>
      <c r="S272" s="5" t="inlineStr">
        <is>
          <t>Confirmed</t>
        </is>
      </c>
    </row>
    <row r="273" ht="16" customHeight="1">
      <c r="A273" s="5" t="inlineStr">
        <is>
          <t>THREMOLIA-S1-F027</t>
        </is>
      </c>
      <c r="B273" s="5" t="inlineStr">
        <is>
          <t>THREMOLIA</t>
        </is>
      </c>
      <c r="C273" s="5" t="inlineStr">
        <is>
          <t>S1</t>
        </is>
      </c>
      <c r="D273" s="21" t="str">
        <f>IFERROR(VLOOKUP($G273,'02_REFERENCE'!$A$2:$S$99,4,FALSE),"N/A")</f>
        <v>Denial of Service</v>
      </c>
      <c r="E273" s="21" t="str">
        <f>IFERROR(VLOOKUP($G273,'02_REFERENCE'!$A$2:$S$99,15,FALSE),"N/A")</f>
        <v>Medium</v>
      </c>
      <c r="F273" s="21" t="str">
        <f>IFERROR(VLOOKUP($G273,'02_REFERENCE'!$A$2:$S$99,17,FALSE),"N/A")</f>
        <v>Yes</v>
      </c>
      <c r="G273" s="21" t="inlineStr">
        <is>
          <t>S1-RT-030</t>
        </is>
      </c>
      <c r="H273" s="21" t="inlineStr">
        <is>
          <t>Duplicate</t>
        </is>
      </c>
      <c r="I273" s="21" t="inlineStr">
        <is>
          <t>TP</t>
        </is>
      </c>
      <c r="J273" s="21" t="inlineStr">
        <is>
          <t>M</t>
        </is>
      </c>
      <c r="K273" s="21" t="inlineStr">
        <is>
          <t>N</t>
        </is>
      </c>
      <c r="L273" s="21" t="inlineStr">
        <is>
          <t>Yes</t>
        </is>
      </c>
      <c r="M273" s="21" t="inlineStr">
        <is>
          <t>THREMOLIA-S1-F088</t>
        </is>
      </c>
      <c r="N273" s="22" t="inlineStr">
        <is>
          <t>Mechanism class llm_consumption (victim-based DoS routing); evidence: excessive volume of long or complex queries to the chatbot [Equivalence: restates THREMOLIA-S1-F088 — one-to-one rule applied.]</t>
        </is>
      </c>
      <c r="O273" s="5" t="inlineStr">
        <is>
          <t>dos_service</t>
        </is>
      </c>
      <c r="P273" s="16" t="inlineStr"/>
      <c r="Q273" s="16" t="inlineStr">
        <is>
          <t>P4: AI Chatbot Component</t>
        </is>
      </c>
      <c r="R273" s="16" t="inlineStr"/>
      <c r="S273" s="5" t="inlineStr">
        <is>
          <t>Confirmed</t>
        </is>
      </c>
    </row>
    <row r="274" ht="16" customHeight="1">
      <c r="A274" s="5" t="inlineStr">
        <is>
          <t>THREMOLIA-S1-F028</t>
        </is>
      </c>
      <c r="B274" s="5" t="inlineStr">
        <is>
          <t>THREMOLIA</t>
        </is>
      </c>
      <c r="C274" s="5" t="inlineStr">
        <is>
          <t>S1</t>
        </is>
      </c>
      <c r="D274" s="21" t="str">
        <f>IFERROR(VLOOKUP($G274,'02_REFERENCE'!$A$2:$S$99,4,FALSE),"N/A")</f>
        <v>Tampering</v>
      </c>
      <c r="E274" s="21" t="str">
        <f>IFERROR(VLOOKUP($G274,'02_REFERENCE'!$A$2:$S$99,15,FALSE),"N/A")</f>
        <v>High</v>
      </c>
      <c r="F274" s="21" t="str">
        <f>IFERROR(VLOOKUP($G274,'02_REFERENCE'!$A$2:$S$99,17,FALSE),"N/A")</f>
        <v>Yes</v>
      </c>
      <c r="G274" s="21" t="inlineStr">
        <is>
          <t>S1-RT-034</t>
        </is>
      </c>
      <c r="H274" s="21" t="inlineStr">
        <is>
          <t>Primary TP</t>
        </is>
      </c>
      <c r="I274" s="21" t="inlineStr">
        <is>
          <t>TP</t>
        </is>
      </c>
      <c r="J274" s="21" t="inlineStr">
        <is>
          <t>L</t>
        </is>
      </c>
      <c r="K274" s="21" t="inlineStr">
        <is>
          <t>Y</t>
        </is>
      </c>
      <c r="L274" s="21" t="inlineStr">
        <is>
          <t>No</t>
        </is>
      </c>
      <c r="M274" s="21" t="inlineStr"/>
      <c r="N274" s="22" t="inlineStr">
        <is>
          <t>Mechanism class attacker_instructions; evidence: Chatbot is tricked by malicious prompts into providing instr</t>
        </is>
      </c>
      <c r="O274" s="5" t="inlineStr">
        <is>
          <t>attacker_instructions</t>
        </is>
      </c>
      <c r="P274" s="16" t="inlineStr"/>
      <c r="Q274" s="16" t="inlineStr">
        <is>
          <t>P4: AI Chatbot Component</t>
        </is>
      </c>
      <c r="R274" s="16" t="inlineStr"/>
      <c r="S274" s="5" t="inlineStr">
        <is>
          <t>Manual review</t>
        </is>
      </c>
    </row>
    <row r="275" ht="16" customHeight="1">
      <c r="A275" s="5" t="inlineStr">
        <is>
          <t>THREMOLIA-S1-F029</t>
        </is>
      </c>
      <c r="B275" s="5" t="inlineStr">
        <is>
          <t>THREMOLIA</t>
        </is>
      </c>
      <c r="C275" s="5" t="inlineStr">
        <is>
          <t>S1</t>
        </is>
      </c>
      <c r="D275" s="21" t="str">
        <f>IFERROR(VLOOKUP($G275,'02_REFERENCE'!$A$2:$S$99,4,FALSE),"N/A")</f>
        <v>Elevation of Privilege</v>
      </c>
      <c r="E275" s="21" t="str">
        <f>IFERROR(VLOOKUP($G275,'02_REFERENCE'!$A$2:$S$99,15,FALSE),"N/A")</f>
        <v>High</v>
      </c>
      <c r="F275" s="21" t="str">
        <f>IFERROR(VLOOKUP($G275,'02_REFERENCE'!$A$2:$S$99,17,FALSE),"N/A")</f>
        <v>No</v>
      </c>
      <c r="G275" s="21" t="inlineStr">
        <is>
          <t>S1-RT-011</t>
        </is>
      </c>
      <c r="H275" s="21" t="inlineStr">
        <is>
          <t>Primary TP</t>
        </is>
      </c>
      <c r="I275" s="21" t="inlineStr">
        <is>
          <t>TP</t>
        </is>
      </c>
      <c r="J275" s="21" t="inlineStr">
        <is>
          <t>H</t>
        </is>
      </c>
      <c r="K275" s="21" t="inlineStr">
        <is>
          <t>Y</t>
        </is>
      </c>
      <c r="L275" s="21" t="inlineStr">
        <is>
          <t>No</t>
        </is>
      </c>
      <c r="M275" s="21" t="inlineStr"/>
      <c r="N275" s="22" t="inlineStr">
        <is>
          <t>Mechanism class llm_access_noauthz; evidence: Unauthorized internal service or rogue client impersonates t; unauthenticated prompt requests to LLM</t>
        </is>
      </c>
      <c r="O275" s="5" t="inlineStr">
        <is>
          <t>llm_access_noauthz</t>
        </is>
      </c>
      <c r="P275" s="16" t="inlineStr"/>
      <c r="Q275" s="16" t="inlineStr">
        <is>
          <t>P5: LLM Integration Service</t>
        </is>
      </c>
      <c r="R275" s="16" t="inlineStr"/>
      <c r="S275" s="5" t="inlineStr">
        <is>
          <t>Confirmed</t>
        </is>
      </c>
    </row>
    <row r="276" ht="16" customHeight="1">
      <c r="A276" s="5" t="inlineStr">
        <is>
          <t>THREMOLIA-S1-F030</t>
        </is>
      </c>
      <c r="B276" s="5" t="inlineStr">
        <is>
          <t>THREMOLIA</t>
        </is>
      </c>
      <c r="C276" s="5" t="inlineStr">
        <is>
          <t>S1</t>
        </is>
      </c>
      <c r="D276" s="21" t="str">
        <f>IFERROR(VLOOKUP($G276,'02_REFERENCE'!$A$2:$S$99,4,FALSE),"N/A")</f>
        <v>N/A</v>
      </c>
      <c r="E276" s="21" t="str">
        <f>IFERROR(VLOOKUP($G276,'02_REFERENCE'!$A$2:$S$99,15,FALSE),"N/A")</f>
        <v>N/A</v>
      </c>
      <c r="F276" s="21" t="str">
        <f>IFERROR(VLOOKUP($G276,'02_REFERENCE'!$A$2:$S$99,17,FALSE),"N/A")</f>
        <v>N/A</v>
      </c>
      <c r="G276" s="21" t="inlineStr"/>
      <c r="H276" s="21" t="inlineStr">
        <is>
          <t>False Positive</t>
        </is>
      </c>
      <c r="I276" s="21" t="inlineStr">
        <is>
          <t>FP</t>
        </is>
      </c>
      <c r="J276" s="21" t="inlineStr">
        <is>
          <t>M</t>
        </is>
      </c>
      <c r="K276" s="21" t="inlineStr">
        <is>
          <t>N</t>
        </is>
      </c>
      <c r="L276" s="21" t="inlineStr">
        <is>
          <t>No</t>
        </is>
      </c>
      <c r="M276" s="21" t="inlineStr"/>
      <c r="N276" s="22" t="inlineStr">
        <is>
          <t>No reference threat corresponds to this finding's mechanism (scoring found no class with sufficient evidence).</t>
        </is>
      </c>
      <c r="O276" s="5" t="inlineStr"/>
      <c r="P276" s="16" t="inlineStr"/>
      <c r="Q276" s="16" t="inlineStr">
        <is>
          <t>P5: LLM Integration Service</t>
        </is>
      </c>
      <c r="R276" s="16" t="inlineStr"/>
      <c r="S276" s="5" t="inlineStr">
        <is>
          <t>Confirmed</t>
        </is>
      </c>
    </row>
    <row r="277" ht="16" customHeight="1">
      <c r="A277" s="5" t="inlineStr">
        <is>
          <t>THREMOLIA-S1-F031</t>
        </is>
      </c>
      <c r="B277" s="5" t="inlineStr">
        <is>
          <t>THREMOLIA</t>
        </is>
      </c>
      <c r="C277" s="5" t="inlineStr">
        <is>
          <t>S1</t>
        </is>
      </c>
      <c r="D277" s="21" t="str">
        <f>IFERROR(VLOOKUP($G277,'02_REFERENCE'!$A$2:$S$99,4,FALSE),"N/A")</f>
        <v>N/A</v>
      </c>
      <c r="E277" s="21" t="str">
        <f>IFERROR(VLOOKUP($G277,'02_REFERENCE'!$A$2:$S$99,15,FALSE),"N/A")</f>
        <v>N/A</v>
      </c>
      <c r="F277" s="21" t="str">
        <f>IFERROR(VLOOKUP($G277,'02_REFERENCE'!$A$2:$S$99,17,FALSE),"N/A")</f>
        <v>N/A</v>
      </c>
      <c r="G277" s="21" t="inlineStr"/>
      <c r="H277" s="21" t="inlineStr">
        <is>
          <t>False Positive</t>
        </is>
      </c>
      <c r="I277" s="21" t="inlineStr">
        <is>
          <t>FP</t>
        </is>
      </c>
      <c r="J277" s="21" t="inlineStr">
        <is>
          <t>M</t>
        </is>
      </c>
      <c r="K277" s="21" t="inlineStr">
        <is>
          <t>N</t>
        </is>
      </c>
      <c r="L277" s="21" t="inlineStr">
        <is>
          <t>No</t>
        </is>
      </c>
      <c r="M277" s="21" t="inlineStr"/>
      <c r="N277" s="22" t="inlineStr">
        <is>
          <t>No reference threat corresponds to this finding's mechanism (scoring found no class with sufficient evidence).</t>
        </is>
      </c>
      <c r="O277" s="5" t="inlineStr"/>
      <c r="P277" s="16" t="inlineStr"/>
      <c r="Q277" s="16" t="inlineStr">
        <is>
          <t>P5: LLM Integration Service</t>
        </is>
      </c>
      <c r="R277" s="16" t="inlineStr"/>
      <c r="S277" s="5" t="inlineStr">
        <is>
          <t>Confirmed</t>
        </is>
      </c>
    </row>
    <row r="278" ht="16" customHeight="1">
      <c r="A278" s="5" t="inlineStr">
        <is>
          <t>THREMOLIA-S1-F032</t>
        </is>
      </c>
      <c r="B278" s="5" t="inlineStr">
        <is>
          <t>THREMOLIA</t>
        </is>
      </c>
      <c r="C278" s="5" t="inlineStr">
        <is>
          <t>S1</t>
        </is>
      </c>
      <c r="D278" s="21" t="str">
        <f>IFERROR(VLOOKUP($G278,'02_REFERENCE'!$A$2:$S$99,4,FALSE),"N/A")</f>
        <v>Information Disclosure</v>
      </c>
      <c r="E278" s="21" t="str">
        <f>IFERROR(VLOOKUP($G278,'02_REFERENCE'!$A$2:$S$99,15,FALSE),"N/A")</f>
        <v>High</v>
      </c>
      <c r="F278" s="21" t="str">
        <f>IFERROR(VLOOKUP($G278,'02_REFERENCE'!$A$2:$S$99,17,FALSE),"N/A")</f>
        <v>No</v>
      </c>
      <c r="G278" s="21" t="inlineStr">
        <is>
          <t>S1-RT-020</t>
        </is>
      </c>
      <c r="H278" s="21" t="inlineStr">
        <is>
          <t>Primary TP</t>
        </is>
      </c>
      <c r="I278" s="21" t="inlineStr">
        <is>
          <t>TP</t>
        </is>
      </c>
      <c r="J278" s="21" t="inlineStr">
        <is>
          <t>L</t>
        </is>
      </c>
      <c r="K278" s="21" t="inlineStr">
        <is>
          <t>Y</t>
        </is>
      </c>
      <c r="L278" s="21" t="inlineStr">
        <is>
          <t>No</t>
        </is>
      </c>
      <c r="M278" s="21" t="inlineStr"/>
      <c r="N278" s="22" t="inlineStr">
        <is>
          <t>Mechanism class api_key; evidence: Exposure of server-side LLM provider API key</t>
        </is>
      </c>
      <c r="O278" s="5" t="inlineStr">
        <is>
          <t>api_key</t>
        </is>
      </c>
      <c r="P278" s="16" t="inlineStr"/>
      <c r="Q278" s="16" t="inlineStr">
        <is>
          <t>P5: LLM Integration Service</t>
        </is>
      </c>
      <c r="R278" s="16" t="inlineStr"/>
      <c r="S278" s="5" t="inlineStr">
        <is>
          <t>Manual review</t>
        </is>
      </c>
    </row>
    <row r="279" ht="16" customHeight="1">
      <c r="A279" s="5" t="inlineStr">
        <is>
          <t>THREMOLIA-S1-F033</t>
        </is>
      </c>
      <c r="B279" s="5" t="inlineStr">
        <is>
          <t>THREMOLIA</t>
        </is>
      </c>
      <c r="C279" s="5" t="inlineStr">
        <is>
          <t>S1</t>
        </is>
      </c>
      <c r="D279" s="21" t="str">
        <f>IFERROR(VLOOKUP($G279,'02_REFERENCE'!$A$2:$S$99,4,FALSE),"N/A")</f>
        <v>Denial of Service</v>
      </c>
      <c r="E279" s="21" t="str">
        <f>IFERROR(VLOOKUP($G279,'02_REFERENCE'!$A$2:$S$99,15,FALSE),"N/A")</f>
        <v>Medium</v>
      </c>
      <c r="F279" s="21" t="str">
        <f>IFERROR(VLOOKUP($G279,'02_REFERENCE'!$A$2:$S$99,17,FALSE),"N/A")</f>
        <v>Yes</v>
      </c>
      <c r="G279" s="21" t="inlineStr">
        <is>
          <t>S1-RT-029</t>
        </is>
      </c>
      <c r="H279" s="21" t="inlineStr">
        <is>
          <t>Primary TP</t>
        </is>
      </c>
      <c r="I279" s="21" t="inlineStr">
        <is>
          <t>TP</t>
        </is>
      </c>
      <c r="J279" s="21" t="inlineStr">
        <is>
          <t>M</t>
        </is>
      </c>
      <c r="K279" s="21" t="inlineStr">
        <is>
          <t>Y</t>
        </is>
      </c>
      <c r="L279" s="21" t="inlineStr">
        <is>
          <t>No</t>
        </is>
      </c>
      <c r="M279" s="21" t="inlineStr"/>
      <c r="N279" s="22" t="inlineStr">
        <is>
          <t>Mechanism class llm_unavailable; evidence: slow responses or lack of client backpressure.  P5: LLM</t>
        </is>
      </c>
      <c r="O279" s="5" t="inlineStr">
        <is>
          <t>llm_unavailable</t>
        </is>
      </c>
      <c r="P279" s="16" t="inlineStr"/>
      <c r="Q279" s="16" t="inlineStr">
        <is>
          <t>P5: LLM Integration Service</t>
        </is>
      </c>
      <c r="R279" s="16" t="inlineStr"/>
      <c r="S279" s="5" t="inlineStr">
        <is>
          <t>Confirmed</t>
        </is>
      </c>
    </row>
    <row r="280" ht="16" customHeight="1">
      <c r="A280" s="5" t="inlineStr">
        <is>
          <t>THREMOLIA-S1-F034</t>
        </is>
      </c>
      <c r="B280" s="5" t="inlineStr">
        <is>
          <t>THREMOLIA</t>
        </is>
      </c>
      <c r="C280" s="5" t="inlineStr">
        <is>
          <t>S1</t>
        </is>
      </c>
      <c r="D280" s="21" t="str">
        <f>IFERROR(VLOOKUP($G280,'02_REFERENCE'!$A$2:$S$99,4,FALSE),"N/A")</f>
        <v>Tampering</v>
      </c>
      <c r="E280" s="21" t="str">
        <f>IFERROR(VLOOKUP($G280,'02_REFERENCE'!$A$2:$S$99,15,FALSE),"N/A")</f>
        <v>Critical</v>
      </c>
      <c r="F280" s="21" t="str">
        <f>IFERROR(VLOOKUP($G280,'02_REFERENCE'!$A$2:$S$99,17,FALSE),"N/A")</f>
        <v>Yes</v>
      </c>
      <c r="G280" s="21" t="inlineStr">
        <is>
          <t>S1-RT-033</t>
        </is>
      </c>
      <c r="H280" s="21" t="inlineStr">
        <is>
          <t>Duplicate</t>
        </is>
      </c>
      <c r="I280" s="21" t="inlineStr">
        <is>
          <t>TP</t>
        </is>
      </c>
      <c r="J280" s="21" t="inlineStr">
        <is>
          <t>L</t>
        </is>
      </c>
      <c r="K280" s="21" t="inlineStr">
        <is>
          <t>N</t>
        </is>
      </c>
      <c r="L280" s="21" t="inlineStr">
        <is>
          <t>Yes</t>
        </is>
      </c>
      <c r="M280" s="21" t="inlineStr">
        <is>
          <t>THREMOLIA-S1-F006</t>
        </is>
      </c>
      <c r="N280" s="22" t="inlineStr">
        <is>
          <t>Mechanism class unsafe_output; evidence: LLM output commands or unvalidated deserializ [Equivalence: restates THREMOLIA-S1-F006 — one-to-one rule applied.]</t>
        </is>
      </c>
      <c r="O280" s="5" t="inlineStr">
        <is>
          <t>unsafe_output</t>
        </is>
      </c>
      <c r="P280" s="16" t="inlineStr"/>
      <c r="Q280" s="16" t="inlineStr">
        <is>
          <t>P5: LLM Integration Service</t>
        </is>
      </c>
      <c r="R280" s="16" t="inlineStr"/>
      <c r="S280" s="5" t="inlineStr">
        <is>
          <t>Manual review</t>
        </is>
      </c>
    </row>
    <row r="281" ht="16" customHeight="1">
      <c r="A281" s="5" t="inlineStr">
        <is>
          <t>THREMOLIA-S1-F035</t>
        </is>
      </c>
      <c r="B281" s="5" t="inlineStr">
        <is>
          <t>THREMOLIA</t>
        </is>
      </c>
      <c r="C281" s="5" t="inlineStr">
        <is>
          <t>S1</t>
        </is>
      </c>
      <c r="D281" s="21" t="str">
        <f>IFERROR(VLOOKUP($G281,'02_REFERENCE'!$A$2:$S$99,4,FALSE),"N/A")</f>
        <v>N/A</v>
      </c>
      <c r="E281" s="21" t="str">
        <f>IFERROR(VLOOKUP($G281,'02_REFERENCE'!$A$2:$S$99,15,FALSE),"N/A")</f>
        <v>N/A</v>
      </c>
      <c r="F281" s="21" t="str">
        <f>IFERROR(VLOOKUP($G281,'02_REFERENCE'!$A$2:$S$99,17,FALSE),"N/A")</f>
        <v>N/A</v>
      </c>
      <c r="G281" s="21" t="inlineStr"/>
      <c r="H281" s="21" t="inlineStr">
        <is>
          <t>False Positive</t>
        </is>
      </c>
      <c r="I281" s="21" t="inlineStr">
        <is>
          <t>FP</t>
        </is>
      </c>
      <c r="J281" s="21" t="inlineStr">
        <is>
          <t>M</t>
        </is>
      </c>
      <c r="K281" s="21" t="inlineStr">
        <is>
          <t>N</t>
        </is>
      </c>
      <c r="L281" s="21" t="inlineStr">
        <is>
          <t>No</t>
        </is>
      </c>
      <c r="M281" s="21" t="inlineStr"/>
      <c r="N281" s="22" t="inlineStr">
        <is>
          <t>No reference threat corresponds to this finding's mechanism (scoring found no class with sufficient evidence).</t>
        </is>
      </c>
      <c r="O281" s="5" t="inlineStr"/>
      <c r="P281" s="16" t="inlineStr"/>
      <c r="Q281" s="16" t="inlineStr">
        <is>
          <t>DS1: User Database</t>
        </is>
      </c>
      <c r="R281" s="16" t="inlineStr"/>
      <c r="S281" s="5" t="inlineStr">
        <is>
          <t>Confirmed</t>
        </is>
      </c>
    </row>
    <row r="282" ht="16" customHeight="1">
      <c r="A282" s="5" t="inlineStr">
        <is>
          <t>THREMOLIA-S1-F036</t>
        </is>
      </c>
      <c r="B282" s="5" t="inlineStr">
        <is>
          <t>THREMOLIA</t>
        </is>
      </c>
      <c r="C282" s="5" t="inlineStr">
        <is>
          <t>S1</t>
        </is>
      </c>
      <c r="D282" s="21" t="str">
        <f>IFERROR(VLOOKUP($G282,'02_REFERENCE'!$A$2:$S$99,4,FALSE),"N/A")</f>
        <v>Repudiation</v>
      </c>
      <c r="E282" s="21" t="str">
        <f>IFERROR(VLOOKUP($G282,'02_REFERENCE'!$A$2:$S$99,15,FALSE),"N/A")</f>
        <v>Medium</v>
      </c>
      <c r="F282" s="21" t="str">
        <f>IFERROR(VLOOKUP($G282,'02_REFERENCE'!$A$2:$S$99,17,FALSE),"N/A")</f>
        <v>No</v>
      </c>
      <c r="G282" s="21" t="inlineStr">
        <is>
          <t>S1-RT-021</t>
        </is>
      </c>
      <c r="H282" s="21" t="inlineStr">
        <is>
          <t>Primary TP</t>
        </is>
      </c>
      <c r="I282" s="21" t="inlineStr">
        <is>
          <t>TP</t>
        </is>
      </c>
      <c r="J282" s="21" t="inlineStr">
        <is>
          <t>H</t>
        </is>
      </c>
      <c r="K282" s="21" t="inlineStr">
        <is>
          <t>Y</t>
        </is>
      </c>
      <c r="L282" s="21" t="inlineStr">
        <is>
          <t>No</t>
        </is>
      </c>
      <c r="M282" s="21" t="inlineStr"/>
      <c r="N282" s="22" t="inlineStr">
        <is>
          <t>Mechanism class repudiation; evidence: audit logging, preventing; without immutable audit</t>
        </is>
      </c>
      <c r="O282" s="5" t="inlineStr">
        <is>
          <t>repudiation</t>
        </is>
      </c>
      <c r="P282" s="16" t="inlineStr"/>
      <c r="Q282" s="16" t="inlineStr">
        <is>
          <t>DS1: User Database</t>
        </is>
      </c>
      <c r="R282" s="16" t="inlineStr"/>
      <c r="S282" s="5" t="inlineStr">
        <is>
          <t>Confirmed</t>
        </is>
      </c>
    </row>
    <row r="283" ht="16" customHeight="1">
      <c r="A283" s="5" t="inlineStr">
        <is>
          <t>THREMOLIA-S1-F037</t>
        </is>
      </c>
      <c r="B283" s="5" t="inlineStr">
        <is>
          <t>THREMOLIA</t>
        </is>
      </c>
      <c r="C283" s="5" t="inlineStr">
        <is>
          <t>S1</t>
        </is>
      </c>
      <c r="D283" s="21" t="str">
        <f>IFERROR(VLOOKUP($G283,'02_REFERENCE'!$A$2:$S$99,4,FALSE),"N/A")</f>
        <v>Information Disclosure</v>
      </c>
      <c r="E283" s="21" t="str">
        <f>IFERROR(VLOOKUP($G283,'02_REFERENCE'!$A$2:$S$99,15,FALSE),"N/A")</f>
        <v>Critical</v>
      </c>
      <c r="F283" s="21" t="str">
        <f>IFERROR(VLOOKUP($G283,'02_REFERENCE'!$A$2:$S$99,17,FALSE),"N/A")</f>
        <v>No</v>
      </c>
      <c r="G283" s="21" t="inlineStr">
        <is>
          <t>S1-RT-018</t>
        </is>
      </c>
      <c r="H283" s="21" t="inlineStr">
        <is>
          <t>Primary TP</t>
        </is>
      </c>
      <c r="I283" s="21" t="inlineStr">
        <is>
          <t>TP</t>
        </is>
      </c>
      <c r="J283" s="21" t="inlineStr">
        <is>
          <t>M</t>
        </is>
      </c>
      <c r="K283" s="21" t="inlineStr">
        <is>
          <t>Y</t>
        </is>
      </c>
      <c r="L283" s="21" t="inlineStr">
        <is>
          <t>No</t>
        </is>
      </c>
      <c r="M283" s="21" t="inlineStr"/>
      <c r="N283" s="22" t="inlineStr">
        <is>
          <t>Mechanism class mass_disclosure; evidence: massive exfiltrat</t>
        </is>
      </c>
      <c r="O283" s="5" t="inlineStr">
        <is>
          <t>mass_disclosure</t>
        </is>
      </c>
      <c r="P283" s="16" t="inlineStr"/>
      <c r="Q283" s="16" t="inlineStr">
        <is>
          <t>DS1: User Database</t>
        </is>
      </c>
      <c r="R283" s="16" t="inlineStr"/>
      <c r="S283" s="5" t="inlineStr">
        <is>
          <t>Confirmed</t>
        </is>
      </c>
    </row>
    <row r="284" ht="16" customHeight="1">
      <c r="A284" s="5" t="inlineStr">
        <is>
          <t>THREMOLIA-S1-F038</t>
        </is>
      </c>
      <c r="B284" s="5" t="inlineStr">
        <is>
          <t>THREMOLIA</t>
        </is>
      </c>
      <c r="C284" s="5" t="inlineStr">
        <is>
          <t>S1</t>
        </is>
      </c>
      <c r="D284" s="21" t="str">
        <f>IFERROR(VLOOKUP($G284,'02_REFERENCE'!$A$2:$S$99,4,FALSE),"N/A")</f>
        <v>Denial of Service</v>
      </c>
      <c r="E284" s="21" t="str">
        <f>IFERROR(VLOOKUP($G284,'02_REFERENCE'!$A$2:$S$99,15,FALSE),"N/A")</f>
        <v>Medium</v>
      </c>
      <c r="F284" s="21" t="str">
        <f>IFERROR(VLOOKUP($G284,'02_REFERENCE'!$A$2:$S$99,17,FALSE),"N/A")</f>
        <v>No</v>
      </c>
      <c r="G284" s="21" t="inlineStr">
        <is>
          <t>S1-RT-028</t>
        </is>
      </c>
      <c r="H284" s="21" t="inlineStr">
        <is>
          <t>Primary TP</t>
        </is>
      </c>
      <c r="I284" s="21" t="inlineStr">
        <is>
          <t>TP</t>
        </is>
      </c>
      <c r="J284" s="21" t="inlineStr">
        <is>
          <t>H</t>
        </is>
      </c>
      <c r="K284" s="21" t="inlineStr">
        <is>
          <t>Y</t>
        </is>
      </c>
      <c r="L284" s="21" t="inlineStr">
        <is>
          <t>No</t>
        </is>
      </c>
      <c r="M284" s="21" t="inlineStr"/>
      <c r="N284" s="22" t="inlineStr">
        <is>
          <t>Mechanism class dos_service (victim-based DoS routing); evidence: Resource exhaustion; Resource exhaustion</t>
        </is>
      </c>
      <c r="O284" s="5" t="inlineStr">
        <is>
          <t>dos_service</t>
        </is>
      </c>
      <c r="P284" s="16" t="inlineStr"/>
      <c r="Q284" s="16" t="inlineStr">
        <is>
          <t>DS1: User Database</t>
        </is>
      </c>
      <c r="R284" s="16" t="inlineStr"/>
      <c r="S284" s="5" t="inlineStr">
        <is>
          <t>Confirmed</t>
        </is>
      </c>
    </row>
    <row r="285" ht="16" customHeight="1">
      <c r="A285" s="5" t="inlineStr">
        <is>
          <t>THREMOLIA-S1-F039</t>
        </is>
      </c>
      <c r="B285" s="5" t="inlineStr">
        <is>
          <t>THREMOLIA</t>
        </is>
      </c>
      <c r="C285" s="5" t="inlineStr">
        <is>
          <t>S1</t>
        </is>
      </c>
      <c r="D285" s="21" t="str">
        <f>IFERROR(VLOOKUP($G285,'02_REFERENCE'!$A$2:$S$99,4,FALSE),"N/A")</f>
        <v>Tampering</v>
      </c>
      <c r="E285" s="21" t="str">
        <f>IFERROR(VLOOKUP($G285,'02_REFERENCE'!$A$2:$S$99,15,FALSE),"N/A")</f>
        <v>High</v>
      </c>
      <c r="F285" s="21" t="str">
        <f>IFERROR(VLOOKUP($G285,'02_REFERENCE'!$A$2:$S$99,17,FALSE),"N/A")</f>
        <v>No</v>
      </c>
      <c r="G285" s="21" t="inlineStr">
        <is>
          <t>S1-RT-017</t>
        </is>
      </c>
      <c r="H285" s="21" t="inlineStr">
        <is>
          <t>Primary TP</t>
        </is>
      </c>
      <c r="I285" s="21" t="inlineStr">
        <is>
          <t>TP</t>
        </is>
      </c>
      <c r="J285" s="21" t="inlineStr">
        <is>
          <t>H</t>
        </is>
      </c>
      <c r="K285" s="21" t="inlineStr">
        <is>
          <t>Y</t>
        </is>
      </c>
      <c r="L285" s="21" t="inlineStr">
        <is>
          <t>No</t>
        </is>
      </c>
      <c r="M285" s="21" t="inlineStr"/>
      <c r="N285" s="22" t="inlineStr">
        <is>
          <t>Mechanism class session_store_tamper; evidence: session records in session cache/database to elevat; manipulation of active session records in session cache; manipulation of active session record</t>
        </is>
      </c>
      <c r="O285" s="5" t="inlineStr">
        <is>
          <t>session_store_tamper</t>
        </is>
      </c>
      <c r="P285" s="16" t="inlineStr"/>
      <c r="Q285" s="16" t="inlineStr">
        <is>
          <t>DS2: Session Storage</t>
        </is>
      </c>
      <c r="R285" s="16" t="inlineStr"/>
      <c r="S285" s="5" t="inlineStr">
        <is>
          <t>Confirmed</t>
        </is>
      </c>
    </row>
    <row r="286" ht="16" customHeight="1">
      <c r="A286" s="5" t="inlineStr">
        <is>
          <t>THREMOLIA-S1-F040</t>
        </is>
      </c>
      <c r="B286" s="5" t="inlineStr">
        <is>
          <t>THREMOLIA</t>
        </is>
      </c>
      <c r="C286" s="5" t="inlineStr">
        <is>
          <t>S1</t>
        </is>
      </c>
      <c r="D286" s="21" t="str">
        <f>IFERROR(VLOOKUP($G286,'02_REFERENCE'!$A$2:$S$99,4,FALSE),"N/A")</f>
        <v>Repudiation</v>
      </c>
      <c r="E286" s="21" t="str">
        <f>IFERROR(VLOOKUP($G286,'02_REFERENCE'!$A$2:$S$99,15,FALSE),"N/A")</f>
        <v>Medium</v>
      </c>
      <c r="F286" s="21" t="str">
        <f>IFERROR(VLOOKUP($G286,'02_REFERENCE'!$A$2:$S$99,17,FALSE),"N/A")</f>
        <v>No</v>
      </c>
      <c r="G286" s="21" t="inlineStr">
        <is>
          <t>S1-RT-021</t>
        </is>
      </c>
      <c r="H286" s="21" t="inlineStr">
        <is>
          <t>Duplicate</t>
        </is>
      </c>
      <c r="I286" s="21" t="inlineStr">
        <is>
          <t>TP</t>
        </is>
      </c>
      <c r="J286" s="21" t="inlineStr">
        <is>
          <t>H</t>
        </is>
      </c>
      <c r="K286" s="21" t="inlineStr">
        <is>
          <t>N</t>
        </is>
      </c>
      <c r="L286" s="21" t="inlineStr">
        <is>
          <t>Yes</t>
        </is>
      </c>
      <c r="M286" s="21" t="inlineStr">
        <is>
          <t>THREMOLIA-S1-F036</t>
        </is>
      </c>
      <c r="N286" s="22" t="inlineStr">
        <is>
          <t>Mechanism class repudiation; evidence: not recorded; events are not recorded [Equivalence: restates THREMOLIA-S1-F036 — one-to-one rule applied.]</t>
        </is>
      </c>
      <c r="O286" s="5" t="inlineStr">
        <is>
          <t>repudiation</t>
        </is>
      </c>
      <c r="P286" s="16" t="inlineStr"/>
      <c r="Q286" s="16" t="inlineStr">
        <is>
          <t>DS2: Session Storage</t>
        </is>
      </c>
      <c r="R286" s="16" t="inlineStr"/>
      <c r="S286" s="5" t="inlineStr">
        <is>
          <t>Confirmed</t>
        </is>
      </c>
    </row>
    <row r="287" ht="16" customHeight="1">
      <c r="A287" s="5" t="inlineStr">
        <is>
          <t>THREMOLIA-S1-F041</t>
        </is>
      </c>
      <c r="B287" s="5" t="inlineStr">
        <is>
          <t>THREMOLIA</t>
        </is>
      </c>
      <c r="C287" s="5" t="inlineStr">
        <is>
          <t>S1</t>
        </is>
      </c>
      <c r="D287" s="21" t="str">
        <f>IFERROR(VLOOKUP($G287,'02_REFERENCE'!$A$2:$S$99,4,FALSE),"N/A")</f>
        <v>Spoofing</v>
      </c>
      <c r="E287" s="21" t="str">
        <f>IFERROR(VLOOKUP($G287,'02_REFERENCE'!$A$2:$S$99,15,FALSE),"N/A")</f>
        <v>Critical</v>
      </c>
      <c r="F287" s="21" t="str">
        <f>IFERROR(VLOOKUP($G287,'02_REFERENCE'!$A$2:$S$99,17,FALSE),"N/A")</f>
        <v>No</v>
      </c>
      <c r="G287" s="21" t="inlineStr">
        <is>
          <t>S1-RT-014</t>
        </is>
      </c>
      <c r="H287" s="21" t="inlineStr">
        <is>
          <t>Primary TP</t>
        </is>
      </c>
      <c r="I287" s="21" t="inlineStr">
        <is>
          <t>TP</t>
        </is>
      </c>
      <c r="J287" s="21" t="inlineStr">
        <is>
          <t>M</t>
        </is>
      </c>
      <c r="K287" s="21" t="inlineStr">
        <is>
          <t>Y</t>
        </is>
      </c>
      <c r="L287" s="21" t="inlineStr">
        <is>
          <t>No</t>
        </is>
      </c>
      <c r="M287" s="21" t="inlineStr"/>
      <c r="N287" s="22" t="inlineStr">
        <is>
          <t>Mechanism class transit_token; evidence: discloses all active user session token; session store disclos</t>
        </is>
      </c>
      <c r="O287" s="5" t="inlineStr">
        <is>
          <t>transit_token</t>
        </is>
      </c>
      <c r="P287" s="16" t="inlineStr"/>
      <c r="Q287" s="16" t="inlineStr">
        <is>
          <t>DS2: Session Storage</t>
        </is>
      </c>
      <c r="R287" s="16" t="inlineStr"/>
      <c r="S287" s="5" t="inlineStr">
        <is>
          <t>Confirmed</t>
        </is>
      </c>
    </row>
    <row r="288" ht="16" customHeight="1">
      <c r="A288" s="5" t="inlineStr">
        <is>
          <t>THREMOLIA-S1-F042</t>
        </is>
      </c>
      <c r="B288" s="5" t="inlineStr">
        <is>
          <t>THREMOLIA</t>
        </is>
      </c>
      <c r="C288" s="5" t="inlineStr">
        <is>
          <t>S1</t>
        </is>
      </c>
      <c r="D288" s="21" t="str">
        <f>IFERROR(VLOOKUP($G288,'02_REFERENCE'!$A$2:$S$99,4,FALSE),"N/A")</f>
        <v>N/A</v>
      </c>
      <c r="E288" s="21" t="str">
        <f>IFERROR(VLOOKUP($G288,'02_REFERENCE'!$A$2:$S$99,15,FALSE),"N/A")</f>
        <v>N/A</v>
      </c>
      <c r="F288" s="21" t="str">
        <f>IFERROR(VLOOKUP($G288,'02_REFERENCE'!$A$2:$S$99,17,FALSE),"N/A")</f>
        <v>N/A</v>
      </c>
      <c r="G288" s="21" t="inlineStr"/>
      <c r="H288" s="21" t="inlineStr">
        <is>
          <t>False Positive</t>
        </is>
      </c>
      <c r="I288" s="21" t="inlineStr">
        <is>
          <t>FP</t>
        </is>
      </c>
      <c r="J288" s="21" t="inlineStr">
        <is>
          <t>M</t>
        </is>
      </c>
      <c r="K288" s="21" t="inlineStr">
        <is>
          <t>N</t>
        </is>
      </c>
      <c r="L288" s="21" t="inlineStr">
        <is>
          <t>No</t>
        </is>
      </c>
      <c r="M288" s="21" t="inlineStr"/>
      <c r="N288" s="22" t="inlineStr">
        <is>
          <t>No reference threat corresponds to this finding's mechanism (scoring found no class with sufficient evidence).</t>
        </is>
      </c>
      <c r="O288" s="5" t="inlineStr"/>
      <c r="P288" s="16" t="inlineStr"/>
      <c r="Q288" s="16" t="inlineStr">
        <is>
          <t>DS2: Session Storage</t>
        </is>
      </c>
      <c r="R288" s="16" t="inlineStr"/>
      <c r="S288" s="5" t="inlineStr">
        <is>
          <t>Confirmed</t>
        </is>
      </c>
    </row>
    <row r="289" ht="16" customHeight="1">
      <c r="A289" s="5" t="inlineStr">
        <is>
          <t>THREMOLIA-S1-F043</t>
        </is>
      </c>
      <c r="B289" s="5" t="inlineStr">
        <is>
          <t>THREMOLIA</t>
        </is>
      </c>
      <c r="C289" s="5" t="inlineStr">
        <is>
          <t>S1</t>
        </is>
      </c>
      <c r="D289" s="21" t="str">
        <f>IFERROR(VLOOKUP($G289,'02_REFERENCE'!$A$2:$S$99,4,FALSE),"N/A")</f>
        <v>Tampering</v>
      </c>
      <c r="E289" s="21" t="str">
        <f>IFERROR(VLOOKUP($G289,'02_REFERENCE'!$A$2:$S$99,15,FALSE),"N/A")</f>
        <v>High</v>
      </c>
      <c r="F289" s="21" t="str">
        <f>IFERROR(VLOOKUP($G289,'02_REFERENCE'!$A$2:$S$99,17,FALSE),"N/A")</f>
        <v>Yes</v>
      </c>
      <c r="G289" s="21" t="inlineStr">
        <is>
          <t>S1-RT-023</t>
        </is>
      </c>
      <c r="H289" s="21" t="inlineStr">
        <is>
          <t>Duplicate</t>
        </is>
      </c>
      <c r="I289" s="21" t="inlineStr">
        <is>
          <t>TP</t>
        </is>
      </c>
      <c r="J289" s="21" t="inlineStr">
        <is>
          <t>M</t>
        </is>
      </c>
      <c r="K289" s="21" t="inlineStr">
        <is>
          <t>N</t>
        </is>
      </c>
      <c r="L289" s="21" t="inlineStr">
        <is>
          <t>Yes</t>
        </is>
      </c>
      <c r="M289" s="21" t="inlineStr">
        <is>
          <t>THREMOLIA-S1-F092</t>
        </is>
      </c>
      <c r="N289" s="22" t="inlineStr">
        <is>
          <t>Mechanism class prompt_injection_indirect; evidence: Knowledge base poison [Equivalence: restates THREMOLIA-S1-F092 — one-to-one rule applied.]</t>
        </is>
      </c>
      <c r="O289" s="5" t="inlineStr">
        <is>
          <t>prompt_injection_indirect</t>
        </is>
      </c>
      <c r="P289" s="16" t="inlineStr"/>
      <c r="Q289" s="16" t="inlineStr">
        <is>
          <t>DS3: Knowledge Base / Context Repository</t>
        </is>
      </c>
      <c r="R289" s="16" t="inlineStr"/>
      <c r="S289" s="5" t="inlineStr">
        <is>
          <t>Confirmed</t>
        </is>
      </c>
    </row>
    <row r="290" ht="16" customHeight="1">
      <c r="A290" s="5" t="inlineStr">
        <is>
          <t>THREMOLIA-S1-F044</t>
        </is>
      </c>
      <c r="B290" s="5" t="inlineStr">
        <is>
          <t>THREMOLIA</t>
        </is>
      </c>
      <c r="C290" s="5" t="inlineStr">
        <is>
          <t>S1</t>
        </is>
      </c>
      <c r="D290" s="21" t="str">
        <f>IFERROR(VLOOKUP($G290,'02_REFERENCE'!$A$2:$S$99,4,FALSE),"N/A")</f>
        <v>Repudiation</v>
      </c>
      <c r="E290" s="21" t="str">
        <f>IFERROR(VLOOKUP($G290,'02_REFERENCE'!$A$2:$S$99,15,FALSE),"N/A")</f>
        <v>Medium</v>
      </c>
      <c r="F290" s="21" t="str">
        <f>IFERROR(VLOOKUP($G290,'02_REFERENCE'!$A$2:$S$99,17,FALSE),"N/A")</f>
        <v>No</v>
      </c>
      <c r="G290" s="21" t="inlineStr">
        <is>
          <t>S1-RT-021</t>
        </is>
      </c>
      <c r="H290" s="21" t="inlineStr">
        <is>
          <t>Duplicate</t>
        </is>
      </c>
      <c r="I290" s="21" t="inlineStr">
        <is>
          <t>TP</t>
        </is>
      </c>
      <c r="J290" s="21" t="inlineStr">
        <is>
          <t>M</t>
        </is>
      </c>
      <c r="K290" s="21" t="inlineStr">
        <is>
          <t>N</t>
        </is>
      </c>
      <c r="L290" s="21" t="inlineStr">
        <is>
          <t>Yes</t>
        </is>
      </c>
      <c r="M290" s="21" t="inlineStr">
        <is>
          <t>THREMOLIA-S1-F036</t>
        </is>
      </c>
      <c r="N290" s="22" t="inlineStr">
        <is>
          <t>Mechanism class repudiation; evidence: Unrecorded [Equivalence: restates THREMOLIA-S1-F036 — one-to-one rule applied.]</t>
        </is>
      </c>
      <c r="O290" s="5" t="inlineStr">
        <is>
          <t>repudiation</t>
        </is>
      </c>
      <c r="P290" s="16" t="inlineStr"/>
      <c r="Q290" s="16" t="inlineStr">
        <is>
          <t>DS3: Knowledge Base / Context Repository</t>
        </is>
      </c>
      <c r="R290" s="16" t="inlineStr"/>
      <c r="S290" s="5" t="inlineStr">
        <is>
          <t>Confirmed</t>
        </is>
      </c>
    </row>
    <row r="291" ht="16" customHeight="1">
      <c r="A291" s="5" t="inlineStr">
        <is>
          <t>THREMOLIA-S1-F045</t>
        </is>
      </c>
      <c r="B291" s="5" t="inlineStr">
        <is>
          <t>THREMOLIA</t>
        </is>
      </c>
      <c r="C291" s="5" t="inlineStr">
        <is>
          <t>S1</t>
        </is>
      </c>
      <c r="D291" s="21" t="str">
        <f>IFERROR(VLOOKUP($G291,'02_REFERENCE'!$A$2:$S$99,4,FALSE),"N/A")</f>
        <v>N/A</v>
      </c>
      <c r="E291" s="21" t="str">
        <f>IFERROR(VLOOKUP($G291,'02_REFERENCE'!$A$2:$S$99,15,FALSE),"N/A")</f>
        <v>N/A</v>
      </c>
      <c r="F291" s="21" t="str">
        <f>IFERROR(VLOOKUP($G291,'02_REFERENCE'!$A$2:$S$99,17,FALSE),"N/A")</f>
        <v>N/A</v>
      </c>
      <c r="G291" s="21" t="inlineStr"/>
      <c r="H291" s="21" t="inlineStr">
        <is>
          <t>False Positive</t>
        </is>
      </c>
      <c r="I291" s="21" t="inlineStr">
        <is>
          <t>FP</t>
        </is>
      </c>
      <c r="J291" s="21" t="inlineStr">
        <is>
          <t>M</t>
        </is>
      </c>
      <c r="K291" s="21" t="inlineStr">
        <is>
          <t>N</t>
        </is>
      </c>
      <c r="L291" s="21" t="inlineStr">
        <is>
          <t>No</t>
        </is>
      </c>
      <c r="M291" s="21" t="inlineStr"/>
      <c r="N291" s="22" t="inlineStr">
        <is>
          <t>No reference threat corresponds to this finding's mechanism (scoring found no class with sufficient evidence).</t>
        </is>
      </c>
      <c r="O291" s="5" t="inlineStr"/>
      <c r="P291" s="16" t="inlineStr"/>
      <c r="Q291" s="16" t="inlineStr">
        <is>
          <t>DS3: Knowledge Base / Context Repository</t>
        </is>
      </c>
      <c r="R291" s="16" t="inlineStr"/>
      <c r="S291" s="5" t="inlineStr">
        <is>
          <t>Confirmed</t>
        </is>
      </c>
    </row>
    <row r="292" ht="16" customHeight="1">
      <c r="A292" s="5" t="inlineStr">
        <is>
          <t>THREMOLIA-S1-F046</t>
        </is>
      </c>
      <c r="B292" s="5" t="inlineStr">
        <is>
          <t>THREMOLIA</t>
        </is>
      </c>
      <c r="C292" s="5" t="inlineStr">
        <is>
          <t>S1</t>
        </is>
      </c>
      <c r="D292" s="21" t="str">
        <f>IFERROR(VLOOKUP($G292,'02_REFERENCE'!$A$2:$S$99,4,FALSE),"N/A")</f>
        <v>Denial of Service</v>
      </c>
      <c r="E292" s="21" t="str">
        <f>IFERROR(VLOOKUP($G292,'02_REFERENCE'!$A$2:$S$99,15,FALSE),"N/A")</f>
        <v>Medium</v>
      </c>
      <c r="F292" s="21" t="str">
        <f>IFERROR(VLOOKUP($G292,'02_REFERENCE'!$A$2:$S$99,17,FALSE),"N/A")</f>
        <v>Yes</v>
      </c>
      <c r="G292" s="21" t="inlineStr">
        <is>
          <t>S1-RT-030</t>
        </is>
      </c>
      <c r="H292" s="21" t="inlineStr">
        <is>
          <t>Duplicate</t>
        </is>
      </c>
      <c r="I292" s="21" t="inlineStr">
        <is>
          <t>TP</t>
        </is>
      </c>
      <c r="J292" s="21" t="inlineStr">
        <is>
          <t>M</t>
        </is>
      </c>
      <c r="K292" s="21" t="inlineStr">
        <is>
          <t>N</t>
        </is>
      </c>
      <c r="L292" s="21" t="inlineStr">
        <is>
          <t>Yes</t>
        </is>
      </c>
      <c r="M292" s="21" t="inlineStr">
        <is>
          <t>THREMOLIA-S1-F088</t>
        </is>
      </c>
      <c r="N292" s="22" t="inlineStr">
        <is>
          <t>Mechanism class dos_service (victim-based DoS routing); evidence: starvation [Equivalence: restates THREMOLIA-S1-F088 — one-to-one rule applied.]</t>
        </is>
      </c>
      <c r="O292" s="5" t="inlineStr">
        <is>
          <t>dos_service</t>
        </is>
      </c>
      <c r="P292" s="16" t="inlineStr"/>
      <c r="Q292" s="16" t="inlineStr">
        <is>
          <t>DS3: Knowledge Base / Context Repository</t>
        </is>
      </c>
      <c r="R292" s="16" t="inlineStr"/>
      <c r="S292" s="5" t="inlineStr">
        <is>
          <t>Confirmed</t>
        </is>
      </c>
    </row>
    <row r="293" ht="16" customHeight="1">
      <c r="A293" s="5" t="inlineStr">
        <is>
          <t>THREMOLIA-S1-F047</t>
        </is>
      </c>
      <c r="B293" s="5" t="inlineStr">
        <is>
          <t>THREMOLIA</t>
        </is>
      </c>
      <c r="C293" s="5" t="inlineStr">
        <is>
          <t>S1</t>
        </is>
      </c>
      <c r="D293" s="21" t="str">
        <f>IFERROR(VLOOKUP($G293,'02_REFERENCE'!$A$2:$S$99,4,FALSE),"N/A")</f>
        <v>N/A</v>
      </c>
      <c r="E293" s="21" t="str">
        <f>IFERROR(VLOOKUP($G293,'02_REFERENCE'!$A$2:$S$99,15,FALSE),"N/A")</f>
        <v>N/A</v>
      </c>
      <c r="F293" s="21" t="str">
        <f>IFERROR(VLOOKUP($G293,'02_REFERENCE'!$A$2:$S$99,17,FALSE),"N/A")</f>
        <v>N/A</v>
      </c>
      <c r="G293" s="21" t="inlineStr"/>
      <c r="H293" s="21" t="inlineStr">
        <is>
          <t>False Positive</t>
        </is>
      </c>
      <c r="I293" s="21" t="inlineStr">
        <is>
          <t>FP</t>
        </is>
      </c>
      <c r="J293" s="21" t="inlineStr">
        <is>
          <t>M</t>
        </is>
      </c>
      <c r="K293" s="21" t="inlineStr">
        <is>
          <t>N</t>
        </is>
      </c>
      <c r="L293" s="21" t="inlineStr">
        <is>
          <t>No</t>
        </is>
      </c>
      <c r="M293" s="21" t="inlineStr"/>
      <c r="N293" s="22" t="inlineStr">
        <is>
          <t>No reference threat corresponds to this finding's mechanism (scoring found no class with sufficient evidence).</t>
        </is>
      </c>
      <c r="O293" s="5" t="inlineStr"/>
      <c r="P293" s="16" t="inlineStr"/>
      <c r="Q293" s="16" t="inlineStr">
        <is>
          <t>DF1: Registration Request</t>
        </is>
      </c>
      <c r="R293" s="16" t="inlineStr"/>
      <c r="S293" s="5" t="inlineStr">
        <is>
          <t>Confirmed</t>
        </is>
      </c>
    </row>
    <row r="294" ht="16" customHeight="1">
      <c r="A294" s="5" t="inlineStr">
        <is>
          <t>THREMOLIA-S1-F048</t>
        </is>
      </c>
      <c r="B294" s="5" t="inlineStr">
        <is>
          <t>THREMOLIA</t>
        </is>
      </c>
      <c r="C294" s="5" t="inlineStr">
        <is>
          <t>S1</t>
        </is>
      </c>
      <c r="D294" s="21" t="str">
        <f>IFERROR(VLOOKUP($G294,'02_REFERENCE'!$A$2:$S$99,4,FALSE),"N/A")</f>
        <v>Information Disclosure</v>
      </c>
      <c r="E294" s="21" t="str">
        <f>IFERROR(VLOOKUP($G294,'02_REFERENCE'!$A$2:$S$99,15,FALSE),"N/A")</f>
        <v>High</v>
      </c>
      <c r="F294" s="21" t="str">
        <f>IFERROR(VLOOKUP($G294,'02_REFERENCE'!$A$2:$S$99,17,FALSE),"N/A")</f>
        <v>No</v>
      </c>
      <c r="G294" s="21" t="inlineStr">
        <is>
          <t>S1-RT-006</t>
        </is>
      </c>
      <c r="H294" s="21" t="inlineStr">
        <is>
          <t>Duplicate</t>
        </is>
      </c>
      <c r="I294" s="21" t="inlineStr">
        <is>
          <t>TP</t>
        </is>
      </c>
      <c r="J294" s="21" t="inlineStr">
        <is>
          <t>M</t>
        </is>
      </c>
      <c r="K294" s="21" t="inlineStr">
        <is>
          <t>N</t>
        </is>
      </c>
      <c r="L294" s="21" t="inlineStr">
        <is>
          <t>Yes</t>
        </is>
      </c>
      <c r="M294" s="21" t="inlineStr">
        <is>
          <t>THREMOLIA-S1-F054</t>
        </is>
      </c>
      <c r="N294" s="22" t="inlineStr">
        <is>
          <t>Mechanism class transit_creds; evidence: passwords and registration info in transit [Equivalence: restates THREMOLIA-S1-F054 — one-to-one rule applied.]</t>
        </is>
      </c>
      <c r="O294" s="5" t="inlineStr">
        <is>
          <t>transit_creds</t>
        </is>
      </c>
      <c r="P294" s="16" t="inlineStr"/>
      <c r="Q294" s="16" t="inlineStr">
        <is>
          <t>DF1: Registration Request</t>
        </is>
      </c>
      <c r="R294" s="16" t="inlineStr"/>
      <c r="S294" s="5" t="inlineStr">
        <is>
          <t>Confirmed</t>
        </is>
      </c>
    </row>
    <row r="295" ht="16" customHeight="1">
      <c r="A295" s="5" t="inlineStr">
        <is>
          <t>THREMOLIA-S1-F049</t>
        </is>
      </c>
      <c r="B295" s="5" t="inlineStr">
        <is>
          <t>THREMOLIA</t>
        </is>
      </c>
      <c r="C295" s="5" t="inlineStr">
        <is>
          <t>S1</t>
        </is>
      </c>
      <c r="D295" s="21" t="str">
        <f>IFERROR(VLOOKUP($G295,'02_REFERENCE'!$A$2:$S$99,4,FALSE),"N/A")</f>
        <v>Denial of Service</v>
      </c>
      <c r="E295" s="21" t="str">
        <f>IFERROR(VLOOKUP($G295,'02_REFERENCE'!$A$2:$S$99,15,FALSE),"N/A")</f>
        <v>Medium</v>
      </c>
      <c r="F295" s="21" t="str">
        <f>IFERROR(VLOOKUP($G295,'02_REFERENCE'!$A$2:$S$99,17,FALSE),"N/A")</f>
        <v>No</v>
      </c>
      <c r="G295" s="21" t="inlineStr">
        <is>
          <t>S1-RT-028</t>
        </is>
      </c>
      <c r="H295" s="21" t="inlineStr">
        <is>
          <t>Duplicate</t>
        </is>
      </c>
      <c r="I295" s="21" t="inlineStr">
        <is>
          <t>TP</t>
        </is>
      </c>
      <c r="J295" s="21" t="inlineStr">
        <is>
          <t>M</t>
        </is>
      </c>
      <c r="K295" s="21" t="inlineStr">
        <is>
          <t>N</t>
        </is>
      </c>
      <c r="L295" s="21" t="inlineStr">
        <is>
          <t>Yes</t>
        </is>
      </c>
      <c r="M295" s="21" t="inlineStr">
        <is>
          <t>THREMOLIA-S1-F038</t>
        </is>
      </c>
      <c r="N295" s="22" t="inlineStr">
        <is>
          <t>Mechanism class dos_service (victim-based DoS routing); evidence: flood [Equivalence: restates THREMOLIA-S1-F038 — one-to-one rule applied.]</t>
        </is>
      </c>
      <c r="O295" s="5" t="inlineStr">
        <is>
          <t>dos_service</t>
        </is>
      </c>
      <c r="P295" s="16" t="inlineStr"/>
      <c r="Q295" s="16" t="inlineStr">
        <is>
          <t>DF1: Registration Request</t>
        </is>
      </c>
      <c r="R295" s="16" t="inlineStr"/>
      <c r="S295" s="5" t="inlineStr">
        <is>
          <t>Confirmed</t>
        </is>
      </c>
    </row>
    <row r="296" ht="16" customHeight="1">
      <c r="A296" s="5" t="inlineStr">
        <is>
          <t>THREMOLIA-S1-F050</t>
        </is>
      </c>
      <c r="B296" s="5" t="inlineStr">
        <is>
          <t>THREMOLIA</t>
        </is>
      </c>
      <c r="C296" s="5" t="inlineStr">
        <is>
          <t>S1</t>
        </is>
      </c>
      <c r="D296" s="21" t="str">
        <f>IFERROR(VLOOKUP($G296,'02_REFERENCE'!$A$2:$S$99,4,FALSE),"N/A")</f>
        <v>N/A</v>
      </c>
      <c r="E296" s="21" t="str">
        <f>IFERROR(VLOOKUP($G296,'02_REFERENCE'!$A$2:$S$99,15,FALSE),"N/A")</f>
        <v>N/A</v>
      </c>
      <c r="F296" s="21" t="str">
        <f>IFERROR(VLOOKUP($G296,'02_REFERENCE'!$A$2:$S$99,17,FALSE),"N/A")</f>
        <v>N/A</v>
      </c>
      <c r="G296" s="21" t="inlineStr"/>
      <c r="H296" s="21" t="inlineStr">
        <is>
          <t>False Positive</t>
        </is>
      </c>
      <c r="I296" s="21" t="inlineStr">
        <is>
          <t>FP</t>
        </is>
      </c>
      <c r="J296" s="21" t="inlineStr">
        <is>
          <t>M</t>
        </is>
      </c>
      <c r="K296" s="21" t="inlineStr">
        <is>
          <t>N</t>
        </is>
      </c>
      <c r="L296" s="21" t="inlineStr">
        <is>
          <t>No</t>
        </is>
      </c>
      <c r="M296" s="21" t="inlineStr"/>
      <c r="N296" s="22" t="inlineStr">
        <is>
          <t>No reference threat corresponds to this finding's mechanism (scoring found no class with sufficient evidence).</t>
        </is>
      </c>
      <c r="O296" s="5" t="inlineStr"/>
      <c r="P296" s="16" t="inlineStr"/>
      <c r="Q296" s="16" t="inlineStr">
        <is>
          <t>DF2: Registration Data</t>
        </is>
      </c>
      <c r="R296" s="16" t="inlineStr"/>
      <c r="S296" s="5" t="inlineStr">
        <is>
          <t>Confirmed</t>
        </is>
      </c>
    </row>
    <row r="297" ht="16" customHeight="1">
      <c r="A297" s="5" t="inlineStr">
        <is>
          <t>THREMOLIA-S1-F051</t>
        </is>
      </c>
      <c r="B297" s="5" t="inlineStr">
        <is>
          <t>THREMOLIA</t>
        </is>
      </c>
      <c r="C297" s="5" t="inlineStr">
        <is>
          <t>S1</t>
        </is>
      </c>
      <c r="D297" s="21" t="str">
        <f>IFERROR(VLOOKUP($G297,'02_REFERENCE'!$A$2:$S$99,4,FALSE),"N/A")</f>
        <v>Information Disclosure</v>
      </c>
      <c r="E297" s="21" t="str">
        <f>IFERROR(VLOOKUP($G297,'02_REFERENCE'!$A$2:$S$99,15,FALSE),"N/A")</f>
        <v>High</v>
      </c>
      <c r="F297" s="21" t="str">
        <f>IFERROR(VLOOKUP($G297,'02_REFERENCE'!$A$2:$S$99,17,FALSE),"N/A")</f>
        <v>No</v>
      </c>
      <c r="G297" s="21" t="inlineStr">
        <is>
          <t>S1-RT-006</t>
        </is>
      </c>
      <c r="H297" s="21" t="inlineStr">
        <is>
          <t>Duplicate</t>
        </is>
      </c>
      <c r="I297" s="21" t="inlineStr">
        <is>
          <t>TP</t>
        </is>
      </c>
      <c r="J297" s="21" t="inlineStr">
        <is>
          <t>M</t>
        </is>
      </c>
      <c r="K297" s="21" t="inlineStr">
        <is>
          <t>N</t>
        </is>
      </c>
      <c r="L297" s="21" t="inlineStr">
        <is>
          <t>Yes</t>
        </is>
      </c>
      <c r="M297" s="21" t="inlineStr">
        <is>
          <t>THREMOLIA-S1-F054</t>
        </is>
      </c>
      <c r="N297" s="22" t="inlineStr">
        <is>
          <t>Mechanism class transit_creds; evidence: intercepted on internal network segment disclosing raw user  [Equivalence: restates THREMOLIA-S1-F054 — one-to-one rule applied.]</t>
        </is>
      </c>
      <c r="O297" s="5" t="inlineStr">
        <is>
          <t>transit_creds</t>
        </is>
      </c>
      <c r="P297" s="16" t="inlineStr"/>
      <c r="Q297" s="16" t="inlineStr">
        <is>
          <t>DF2: Registration Data</t>
        </is>
      </c>
      <c r="R297" s="16" t="inlineStr"/>
      <c r="S297" s="5" t="inlineStr">
        <is>
          <t>Confirmed</t>
        </is>
      </c>
    </row>
    <row r="298" ht="16" customHeight="1">
      <c r="A298" s="5" t="inlineStr">
        <is>
          <t>THREMOLIA-S1-F052</t>
        </is>
      </c>
      <c r="B298" s="5" t="inlineStr">
        <is>
          <t>THREMOLIA</t>
        </is>
      </c>
      <c r="C298" s="5" t="inlineStr">
        <is>
          <t>S1</t>
        </is>
      </c>
      <c r="D298" s="21" t="str">
        <f>IFERROR(VLOOKUP($G298,'02_REFERENCE'!$A$2:$S$99,4,FALSE),"N/A")</f>
        <v>N/A</v>
      </c>
      <c r="E298" s="21" t="str">
        <f>IFERROR(VLOOKUP($G298,'02_REFERENCE'!$A$2:$S$99,15,FALSE),"N/A")</f>
        <v>N/A</v>
      </c>
      <c r="F298" s="21" t="str">
        <f>IFERROR(VLOOKUP($G298,'02_REFERENCE'!$A$2:$S$99,17,FALSE),"N/A")</f>
        <v>N/A</v>
      </c>
      <c r="G298" s="21" t="inlineStr"/>
      <c r="H298" s="21" t="inlineStr">
        <is>
          <t>False Positive</t>
        </is>
      </c>
      <c r="I298" s="21" t="inlineStr">
        <is>
          <t>FP</t>
        </is>
      </c>
      <c r="J298" s="21" t="inlineStr">
        <is>
          <t>M</t>
        </is>
      </c>
      <c r="K298" s="21" t="inlineStr">
        <is>
          <t>N</t>
        </is>
      </c>
      <c r="L298" s="21" t="inlineStr">
        <is>
          <t>No</t>
        </is>
      </c>
      <c r="M298" s="21" t="inlineStr"/>
      <c r="N298" s="22" t="inlineStr">
        <is>
          <t>No reference threat corresponds to this finding's mechanism (scoring found no class with sufficient evidence).</t>
        </is>
      </c>
      <c r="O298" s="5" t="inlineStr"/>
      <c r="P298" s="16" t="inlineStr"/>
      <c r="Q298" s="16" t="inlineStr">
        <is>
          <t>DF2: Registration Data</t>
        </is>
      </c>
      <c r="R298" s="16" t="inlineStr"/>
      <c r="S298" s="5" t="inlineStr">
        <is>
          <t>Confirmed</t>
        </is>
      </c>
    </row>
    <row r="299" ht="16" customHeight="1">
      <c r="A299" s="5" t="inlineStr">
        <is>
          <t>THREMOLIA-S1-F053</t>
        </is>
      </c>
      <c r="B299" s="5" t="inlineStr">
        <is>
          <t>THREMOLIA</t>
        </is>
      </c>
      <c r="C299" s="5" t="inlineStr">
        <is>
          <t>S1</t>
        </is>
      </c>
      <c r="D299" s="21" t="str">
        <f>IFERROR(VLOOKUP($G299,'02_REFERENCE'!$A$2:$S$99,4,FALSE),"N/A")</f>
        <v>N/A</v>
      </c>
      <c r="E299" s="21" t="str">
        <f>IFERROR(VLOOKUP($G299,'02_REFERENCE'!$A$2:$S$99,15,FALSE),"N/A")</f>
        <v>N/A</v>
      </c>
      <c r="F299" s="21" t="str">
        <f>IFERROR(VLOOKUP($G299,'02_REFERENCE'!$A$2:$S$99,17,FALSE),"N/A")</f>
        <v>N/A</v>
      </c>
      <c r="G299" s="21" t="inlineStr"/>
      <c r="H299" s="21" t="inlineStr">
        <is>
          <t>False Positive</t>
        </is>
      </c>
      <c r="I299" s="21" t="inlineStr">
        <is>
          <t>FP</t>
        </is>
      </c>
      <c r="J299" s="21" t="inlineStr">
        <is>
          <t>M</t>
        </is>
      </c>
      <c r="K299" s="21" t="inlineStr">
        <is>
          <t>N</t>
        </is>
      </c>
      <c r="L299" s="21" t="inlineStr">
        <is>
          <t>No</t>
        </is>
      </c>
      <c r="M299" s="21" t="inlineStr"/>
      <c r="N299" s="22" t="inlineStr">
        <is>
          <t>No reference threat corresponds to this finding's mechanism (scoring found no class with sufficient evidence).</t>
        </is>
      </c>
      <c r="O299" s="5" t="inlineStr"/>
      <c r="P299" s="16" t="inlineStr"/>
      <c r="Q299" s="16" t="inlineStr">
        <is>
          <t>DF3: Account Creation</t>
        </is>
      </c>
      <c r="R299" s="16" t="inlineStr"/>
      <c r="S299" s="5" t="inlineStr">
        <is>
          <t>Confirmed</t>
        </is>
      </c>
    </row>
    <row r="300" ht="16" customHeight="1">
      <c r="A300" s="5" t="inlineStr">
        <is>
          <t>THREMOLIA-S1-F054</t>
        </is>
      </c>
      <c r="B300" s="5" t="inlineStr">
        <is>
          <t>THREMOLIA</t>
        </is>
      </c>
      <c r="C300" s="5" t="inlineStr">
        <is>
          <t>S1</t>
        </is>
      </c>
      <c r="D300" s="21" t="str">
        <f>IFERROR(VLOOKUP($G300,'02_REFERENCE'!$A$2:$S$99,4,FALSE),"N/A")</f>
        <v>Information Disclosure</v>
      </c>
      <c r="E300" s="21" t="str">
        <f>IFERROR(VLOOKUP($G300,'02_REFERENCE'!$A$2:$S$99,15,FALSE),"N/A")</f>
        <v>High</v>
      </c>
      <c r="F300" s="21" t="str">
        <f>IFERROR(VLOOKUP($G300,'02_REFERENCE'!$A$2:$S$99,17,FALSE),"N/A")</f>
        <v>No</v>
      </c>
      <c r="G300" s="21" t="inlineStr">
        <is>
          <t>S1-RT-006</t>
        </is>
      </c>
      <c r="H300" s="21" t="inlineStr">
        <is>
          <t>Primary TP</t>
        </is>
      </c>
      <c r="I300" s="21" t="inlineStr">
        <is>
          <t>TP</t>
        </is>
      </c>
      <c r="J300" s="21" t="inlineStr">
        <is>
          <t>H</t>
        </is>
      </c>
      <c r="K300" s="21" t="inlineStr">
        <is>
          <t>Y</t>
        </is>
      </c>
      <c r="L300" s="21" t="inlineStr">
        <is>
          <t>No</t>
        </is>
      </c>
      <c r="M300" s="21" t="inlineStr"/>
      <c r="N300" s="22" t="inlineStr">
        <is>
          <t>Mechanism class transit_creds; evidence: password hashes in transit; sniffing intercepts new account records and password hash; Database network sniffing; password hashes in transit</t>
        </is>
      </c>
      <c r="O300" s="5" t="inlineStr">
        <is>
          <t>transit_creds</t>
        </is>
      </c>
      <c r="P300" s="16" t="inlineStr"/>
      <c r="Q300" s="16" t="inlineStr">
        <is>
          <t>DF3: Account Creation</t>
        </is>
      </c>
      <c r="R300" s="16" t="inlineStr"/>
      <c r="S300" s="5" t="inlineStr">
        <is>
          <t>Confirmed</t>
        </is>
      </c>
    </row>
    <row r="301" ht="16" customHeight="1">
      <c r="A301" s="5" t="inlineStr">
        <is>
          <t>THREMOLIA-S1-F055</t>
        </is>
      </c>
      <c r="B301" s="5" t="inlineStr">
        <is>
          <t>THREMOLIA</t>
        </is>
      </c>
      <c r="C301" s="5" t="inlineStr">
        <is>
          <t>S1</t>
        </is>
      </c>
      <c r="D301" s="21" t="str">
        <f>IFERROR(VLOOKUP($G301,'02_REFERENCE'!$A$2:$S$99,4,FALSE),"N/A")</f>
        <v>Denial of Service</v>
      </c>
      <c r="E301" s="21" t="str">
        <f>IFERROR(VLOOKUP($G301,'02_REFERENCE'!$A$2:$S$99,15,FALSE),"N/A")</f>
        <v>Medium</v>
      </c>
      <c r="F301" s="21" t="str">
        <f>IFERROR(VLOOKUP($G301,'02_REFERENCE'!$A$2:$S$99,17,FALSE),"N/A")</f>
        <v>No</v>
      </c>
      <c r="G301" s="21" t="inlineStr">
        <is>
          <t>S1-RT-028</t>
        </is>
      </c>
      <c r="H301" s="21" t="inlineStr">
        <is>
          <t>Duplicate</t>
        </is>
      </c>
      <c r="I301" s="21" t="inlineStr">
        <is>
          <t>TP</t>
        </is>
      </c>
      <c r="J301" s="21" t="inlineStr">
        <is>
          <t>M</t>
        </is>
      </c>
      <c r="K301" s="21" t="inlineStr">
        <is>
          <t>N</t>
        </is>
      </c>
      <c r="L301" s="21" t="inlineStr">
        <is>
          <t>Yes</t>
        </is>
      </c>
      <c r="M301" s="21" t="inlineStr">
        <is>
          <t>THREMOLIA-S1-F038</t>
        </is>
      </c>
      <c r="N301" s="22" t="inlineStr">
        <is>
          <t>Mechanism class dos_service (victim-based DoS routing); evidence: flood [Equivalence: restates THREMOLIA-S1-F038 — one-to-one rule applied.]</t>
        </is>
      </c>
      <c r="O301" s="5" t="inlineStr">
        <is>
          <t>dos_service</t>
        </is>
      </c>
      <c r="P301" s="16" t="inlineStr"/>
      <c r="Q301" s="16" t="inlineStr">
        <is>
          <t>DF3: Account Creation</t>
        </is>
      </c>
      <c r="R301" s="16" t="inlineStr"/>
      <c r="S301" s="5" t="inlineStr">
        <is>
          <t>Confirmed</t>
        </is>
      </c>
    </row>
    <row r="302" ht="16" customHeight="1">
      <c r="A302" s="5" t="inlineStr">
        <is>
          <t>THREMOLIA-S1-F056</t>
        </is>
      </c>
      <c r="B302" s="5" t="inlineStr">
        <is>
          <t>THREMOLIA</t>
        </is>
      </c>
      <c r="C302" s="5" t="inlineStr">
        <is>
          <t>S1</t>
        </is>
      </c>
      <c r="D302" s="21" t="str">
        <f>IFERROR(VLOOKUP($G302,'02_REFERENCE'!$A$2:$S$99,4,FALSE),"N/A")</f>
        <v>N/A</v>
      </c>
      <c r="E302" s="21" t="str">
        <f>IFERROR(VLOOKUP($G302,'02_REFERENCE'!$A$2:$S$99,15,FALSE),"N/A")</f>
        <v>N/A</v>
      </c>
      <c r="F302" s="21" t="str">
        <f>IFERROR(VLOOKUP($G302,'02_REFERENCE'!$A$2:$S$99,17,FALSE),"N/A")</f>
        <v>N/A</v>
      </c>
      <c r="G302" s="21" t="inlineStr"/>
      <c r="H302" s="21" t="inlineStr">
        <is>
          <t>False Positive</t>
        </is>
      </c>
      <c r="I302" s="21" t="inlineStr">
        <is>
          <t>FP</t>
        </is>
      </c>
      <c r="J302" s="21" t="inlineStr">
        <is>
          <t>M</t>
        </is>
      </c>
      <c r="K302" s="21" t="inlineStr">
        <is>
          <t>N</t>
        </is>
      </c>
      <c r="L302" s="21" t="inlineStr">
        <is>
          <t>No</t>
        </is>
      </c>
      <c r="M302" s="21" t="inlineStr"/>
      <c r="N302" s="22" t="inlineStr">
        <is>
          <t>No reference threat corresponds to this finding's mechanism (scoring found no class with sufficient evidence).</t>
        </is>
      </c>
      <c r="O302" s="5" t="inlineStr"/>
      <c r="P302" s="16" t="inlineStr"/>
      <c r="Q302" s="16" t="inlineStr">
        <is>
          <t>DF4: Registration Result</t>
        </is>
      </c>
      <c r="R302" s="16" t="inlineStr"/>
      <c r="S302" s="5" t="inlineStr">
        <is>
          <t>Confirmed</t>
        </is>
      </c>
    </row>
    <row r="303" ht="16" customHeight="1">
      <c r="A303" s="5" t="inlineStr">
        <is>
          <t>THREMOLIA-S1-F057</t>
        </is>
      </c>
      <c r="B303" s="5" t="inlineStr">
        <is>
          <t>THREMOLIA</t>
        </is>
      </c>
      <c r="C303" s="5" t="inlineStr">
        <is>
          <t>S1</t>
        </is>
      </c>
      <c r="D303" s="21" t="str">
        <f>IFERROR(VLOOKUP($G303,'02_REFERENCE'!$A$2:$S$99,4,FALSE),"N/A")</f>
        <v>Information Disclosure</v>
      </c>
      <c r="E303" s="21" t="str">
        <f>IFERROR(VLOOKUP($G303,'02_REFERENCE'!$A$2:$S$99,15,FALSE),"N/A")</f>
        <v>Medium</v>
      </c>
      <c r="F303" s="21" t="str">
        <f>IFERROR(VLOOKUP($G303,'02_REFERENCE'!$A$2:$S$99,17,FALSE),"N/A")</f>
        <v>No</v>
      </c>
      <c r="G303" s="21" t="inlineStr">
        <is>
          <t>S1-RT-019</t>
        </is>
      </c>
      <c r="H303" s="21" t="inlineStr">
        <is>
          <t>Primary TP</t>
        </is>
      </c>
      <c r="I303" s="21" t="inlineStr">
        <is>
          <t>TP</t>
        </is>
      </c>
      <c r="J303" s="21" t="inlineStr">
        <is>
          <t>H</t>
        </is>
      </c>
      <c r="K303" s="21" t="inlineStr">
        <is>
          <t>Y</t>
        </is>
      </c>
      <c r="L303" s="21" t="inlineStr">
        <is>
          <t>No</t>
        </is>
      </c>
      <c r="M303" s="21" t="inlineStr"/>
      <c r="N303" s="22" t="inlineStr">
        <is>
          <t>Mechanism class verbose_error; evidence: verbose; stack trace; internal database error</t>
        </is>
      </c>
      <c r="O303" s="5" t="inlineStr">
        <is>
          <t>verbose_error</t>
        </is>
      </c>
      <c r="P303" s="16" t="inlineStr"/>
      <c r="Q303" s="16" t="inlineStr">
        <is>
          <t>DF4: Registration Result</t>
        </is>
      </c>
      <c r="R303" s="16" t="inlineStr"/>
      <c r="S303" s="5" t="inlineStr">
        <is>
          <t>Confirmed</t>
        </is>
      </c>
    </row>
    <row r="304" ht="16" customHeight="1">
      <c r="A304" s="5" t="inlineStr">
        <is>
          <t>THREMOLIA-S1-F058</t>
        </is>
      </c>
      <c r="B304" s="5" t="inlineStr">
        <is>
          <t>THREMOLIA</t>
        </is>
      </c>
      <c r="C304" s="5" t="inlineStr">
        <is>
          <t>S1</t>
        </is>
      </c>
      <c r="D304" s="21" t="str">
        <f>IFERROR(VLOOKUP($G304,'02_REFERENCE'!$A$2:$S$99,4,FALSE),"N/A")</f>
        <v>N/A</v>
      </c>
      <c r="E304" s="21" t="str">
        <f>IFERROR(VLOOKUP($G304,'02_REFERENCE'!$A$2:$S$99,15,FALSE),"N/A")</f>
        <v>N/A</v>
      </c>
      <c r="F304" s="21" t="str">
        <f>IFERROR(VLOOKUP($G304,'02_REFERENCE'!$A$2:$S$99,17,FALSE),"N/A")</f>
        <v>N/A</v>
      </c>
      <c r="G304" s="21" t="inlineStr"/>
      <c r="H304" s="21" t="inlineStr">
        <is>
          <t>False Positive</t>
        </is>
      </c>
      <c r="I304" s="21" t="inlineStr">
        <is>
          <t>FP</t>
        </is>
      </c>
      <c r="J304" s="21" t="inlineStr">
        <is>
          <t>M</t>
        </is>
      </c>
      <c r="K304" s="21" t="inlineStr">
        <is>
          <t>N</t>
        </is>
      </c>
      <c r="L304" s="21" t="inlineStr">
        <is>
          <t>No</t>
        </is>
      </c>
      <c r="M304" s="21" t="inlineStr"/>
      <c r="N304" s="22" t="inlineStr">
        <is>
          <t>No reference threat corresponds to this finding's mechanism (scoring found no class with sufficient evidence).</t>
        </is>
      </c>
      <c r="O304" s="5" t="inlineStr"/>
      <c r="P304" s="16" t="inlineStr"/>
      <c r="Q304" s="16" t="inlineStr">
        <is>
          <t>DF4: Registration Result</t>
        </is>
      </c>
      <c r="R304" s="16" t="inlineStr"/>
      <c r="S304" s="5" t="inlineStr">
        <is>
          <t>Confirmed</t>
        </is>
      </c>
    </row>
    <row r="305" ht="16" customHeight="1">
      <c r="A305" s="5" t="inlineStr">
        <is>
          <t>THREMOLIA-S1-F059</t>
        </is>
      </c>
      <c r="B305" s="5" t="inlineStr">
        <is>
          <t>THREMOLIA</t>
        </is>
      </c>
      <c r="C305" s="5" t="inlineStr">
        <is>
          <t>S1</t>
        </is>
      </c>
      <c r="D305" s="21" t="str">
        <f>IFERROR(VLOOKUP($G305,'02_REFERENCE'!$A$2:$S$99,4,FALSE),"N/A")</f>
        <v>Information Disclosure</v>
      </c>
      <c r="E305" s="21" t="str">
        <f>IFERROR(VLOOKUP($G305,'02_REFERENCE'!$A$2:$S$99,15,FALSE),"N/A")</f>
        <v>High</v>
      </c>
      <c r="F305" s="21" t="str">
        <f>IFERROR(VLOOKUP($G305,'02_REFERENCE'!$A$2:$S$99,17,FALSE),"N/A")</f>
        <v>No</v>
      </c>
      <c r="G305" s="21" t="inlineStr">
        <is>
          <t>S1-RT-006</t>
        </is>
      </c>
      <c r="H305" s="21" t="inlineStr">
        <is>
          <t>Duplicate</t>
        </is>
      </c>
      <c r="I305" s="21" t="inlineStr">
        <is>
          <t>TP</t>
        </is>
      </c>
      <c r="J305" s="21" t="inlineStr">
        <is>
          <t>L</t>
        </is>
      </c>
      <c r="K305" s="21" t="inlineStr">
        <is>
          <t>N</t>
        </is>
      </c>
      <c r="L305" s="21" t="inlineStr">
        <is>
          <t>Yes</t>
        </is>
      </c>
      <c r="M305" s="21" t="inlineStr">
        <is>
          <t>THREMOLIA-S1-F054</t>
        </is>
      </c>
      <c r="N305" s="22" t="inlineStr">
        <is>
          <t>Mechanism class transit_creds; evidence: Interception and manipulation of login credential [Equivalence: restates THREMOLIA-S1-F054 — one-to-one rule applied.]</t>
        </is>
      </c>
      <c r="O305" s="5" t="inlineStr">
        <is>
          <t>transit_creds</t>
        </is>
      </c>
      <c r="P305" s="16" t="inlineStr"/>
      <c r="Q305" s="16" t="inlineStr">
        <is>
          <t>DF5: Login Request</t>
        </is>
      </c>
      <c r="R305" s="16" t="inlineStr"/>
      <c r="S305" s="5" t="inlineStr">
        <is>
          <t>Manual review</t>
        </is>
      </c>
    </row>
    <row r="306" ht="16" customHeight="1">
      <c r="A306" s="5" t="inlineStr">
        <is>
          <t>THREMOLIA-S1-F060</t>
        </is>
      </c>
      <c r="B306" s="5" t="inlineStr">
        <is>
          <t>THREMOLIA</t>
        </is>
      </c>
      <c r="C306" s="5" t="inlineStr">
        <is>
          <t>S1</t>
        </is>
      </c>
      <c r="D306" s="21" t="str">
        <f>IFERROR(VLOOKUP($G306,'02_REFERENCE'!$A$2:$S$99,4,FALSE),"N/A")</f>
        <v>Information Disclosure</v>
      </c>
      <c r="E306" s="21" t="str">
        <f>IFERROR(VLOOKUP($G306,'02_REFERENCE'!$A$2:$S$99,15,FALSE),"N/A")</f>
        <v>High</v>
      </c>
      <c r="F306" s="21" t="str">
        <f>IFERROR(VLOOKUP($G306,'02_REFERENCE'!$A$2:$S$99,17,FALSE),"N/A")</f>
        <v>No</v>
      </c>
      <c r="G306" s="21" t="inlineStr">
        <is>
          <t>S1-RT-006</t>
        </is>
      </c>
      <c r="H306" s="21" t="inlineStr">
        <is>
          <t>Duplicate</t>
        </is>
      </c>
      <c r="I306" s="21" t="inlineStr">
        <is>
          <t>TP</t>
        </is>
      </c>
      <c r="J306" s="21" t="inlineStr">
        <is>
          <t>H</t>
        </is>
      </c>
      <c r="K306" s="21" t="inlineStr">
        <is>
          <t>N</t>
        </is>
      </c>
      <c r="L306" s="21" t="inlineStr">
        <is>
          <t>Yes</t>
        </is>
      </c>
      <c r="M306" s="21" t="inlineStr">
        <is>
          <t>THREMOLIA-S1-F054</t>
        </is>
      </c>
      <c r="N306" s="22" t="inlineStr">
        <is>
          <t>Mechanism class transit_creds; evidence: Interception of plaintext credential; plaintext credential [Equivalence: restates THREMOLIA-S1-F054 — one-to-one rule applied.]</t>
        </is>
      </c>
      <c r="O306" s="5" t="inlineStr">
        <is>
          <t>transit_creds</t>
        </is>
      </c>
      <c r="P306" s="16" t="inlineStr"/>
      <c r="Q306" s="16" t="inlineStr">
        <is>
          <t>DF5: Login Request</t>
        </is>
      </c>
      <c r="R306" s="16" t="inlineStr"/>
      <c r="S306" s="5" t="inlineStr">
        <is>
          <t>Confirmed</t>
        </is>
      </c>
    </row>
    <row r="307" ht="16" customHeight="1">
      <c r="A307" s="5" t="inlineStr">
        <is>
          <t>THREMOLIA-S1-F061</t>
        </is>
      </c>
      <c r="B307" s="5" t="inlineStr">
        <is>
          <t>THREMOLIA</t>
        </is>
      </c>
      <c r="C307" s="5" t="inlineStr">
        <is>
          <t>S1</t>
        </is>
      </c>
      <c r="D307" s="21" t="str">
        <f>IFERROR(VLOOKUP($G307,'02_REFERENCE'!$A$2:$S$99,4,FALSE),"N/A")</f>
        <v>Denial of Service</v>
      </c>
      <c r="E307" s="21" t="str">
        <f>IFERROR(VLOOKUP($G307,'02_REFERENCE'!$A$2:$S$99,15,FALSE),"N/A")</f>
        <v>Medium</v>
      </c>
      <c r="F307" s="21" t="str">
        <f>IFERROR(VLOOKUP($G307,'02_REFERENCE'!$A$2:$S$99,17,FALSE),"N/A")</f>
        <v>No</v>
      </c>
      <c r="G307" s="21" t="inlineStr">
        <is>
          <t>S1-RT-028</t>
        </is>
      </c>
      <c r="H307" s="21" t="inlineStr">
        <is>
          <t>Duplicate</t>
        </is>
      </c>
      <c r="I307" s="21" t="inlineStr">
        <is>
          <t>TP</t>
        </is>
      </c>
      <c r="J307" s="21" t="inlineStr">
        <is>
          <t>M</t>
        </is>
      </c>
      <c r="K307" s="21" t="inlineStr">
        <is>
          <t>N</t>
        </is>
      </c>
      <c r="L307" s="21" t="inlineStr">
        <is>
          <t>Yes</t>
        </is>
      </c>
      <c r="M307" s="21" t="inlineStr">
        <is>
          <t>THREMOLIA-S1-F038</t>
        </is>
      </c>
      <c r="N307" s="22" t="inlineStr">
        <is>
          <t>Mechanism class dos_service (victim-based DoS routing); evidence: volume [Equivalence: restates THREMOLIA-S1-F038 — one-to-one rule applied.]</t>
        </is>
      </c>
      <c r="O307" s="5" t="inlineStr">
        <is>
          <t>dos_service</t>
        </is>
      </c>
      <c r="P307" s="16" t="inlineStr"/>
      <c r="Q307" s="16" t="inlineStr">
        <is>
          <t>DF5: Login Request</t>
        </is>
      </c>
      <c r="R307" s="16" t="inlineStr"/>
      <c r="S307" s="5" t="inlineStr">
        <is>
          <t>Confirmed</t>
        </is>
      </c>
    </row>
    <row r="308" ht="16" customHeight="1">
      <c r="A308" s="5" t="inlineStr">
        <is>
          <t>THREMOLIA-S1-F062</t>
        </is>
      </c>
      <c r="B308" s="5" t="inlineStr">
        <is>
          <t>THREMOLIA</t>
        </is>
      </c>
      <c r="C308" s="5" t="inlineStr">
        <is>
          <t>S1</t>
        </is>
      </c>
      <c r="D308" s="21" t="str">
        <f>IFERROR(VLOOKUP($G308,'02_REFERENCE'!$A$2:$S$99,4,FALSE),"N/A")</f>
        <v>N/A</v>
      </c>
      <c r="E308" s="21" t="str">
        <f>IFERROR(VLOOKUP($G308,'02_REFERENCE'!$A$2:$S$99,15,FALSE),"N/A")</f>
        <v>N/A</v>
      </c>
      <c r="F308" s="21" t="str">
        <f>IFERROR(VLOOKUP($G308,'02_REFERENCE'!$A$2:$S$99,17,FALSE),"N/A")</f>
        <v>N/A</v>
      </c>
      <c r="G308" s="21" t="inlineStr"/>
      <c r="H308" s="21" t="inlineStr">
        <is>
          <t>False Positive</t>
        </is>
      </c>
      <c r="I308" s="21" t="inlineStr">
        <is>
          <t>FP</t>
        </is>
      </c>
      <c r="J308" s="21" t="inlineStr">
        <is>
          <t>M</t>
        </is>
      </c>
      <c r="K308" s="21" t="inlineStr">
        <is>
          <t>N</t>
        </is>
      </c>
      <c r="L308" s="21" t="inlineStr">
        <is>
          <t>No</t>
        </is>
      </c>
      <c r="M308" s="21" t="inlineStr"/>
      <c r="N308" s="22" t="inlineStr">
        <is>
          <t>No reference threat corresponds to this finding's mechanism (scoring found no class with sufficient evidence).</t>
        </is>
      </c>
      <c r="O308" s="5" t="inlineStr"/>
      <c r="P308" s="16" t="inlineStr"/>
      <c r="Q308" s="16" t="inlineStr">
        <is>
          <t>DF6: Credential Submission</t>
        </is>
      </c>
      <c r="R308" s="16" t="inlineStr"/>
      <c r="S308" s="5" t="inlineStr">
        <is>
          <t>Confirmed</t>
        </is>
      </c>
    </row>
    <row r="309" ht="16" customHeight="1">
      <c r="A309" s="5" t="inlineStr">
        <is>
          <t>THREMOLIA-S1-F063</t>
        </is>
      </c>
      <c r="B309" s="5" t="inlineStr">
        <is>
          <t>THREMOLIA</t>
        </is>
      </c>
      <c r="C309" s="5" t="inlineStr">
        <is>
          <t>S1</t>
        </is>
      </c>
      <c r="D309" s="21" t="str">
        <f>IFERROR(VLOOKUP($G309,'02_REFERENCE'!$A$2:$S$99,4,FALSE),"N/A")</f>
        <v>Information Disclosure</v>
      </c>
      <c r="E309" s="21" t="str">
        <f>IFERROR(VLOOKUP($G309,'02_REFERENCE'!$A$2:$S$99,15,FALSE),"N/A")</f>
        <v>High</v>
      </c>
      <c r="F309" s="21" t="str">
        <f>IFERROR(VLOOKUP($G309,'02_REFERENCE'!$A$2:$S$99,17,FALSE),"N/A")</f>
        <v>No</v>
      </c>
      <c r="G309" s="21" t="inlineStr">
        <is>
          <t>S1-RT-006</t>
        </is>
      </c>
      <c r="H309" s="21" t="inlineStr">
        <is>
          <t>Duplicate</t>
        </is>
      </c>
      <c r="I309" s="21" t="inlineStr">
        <is>
          <t>TP</t>
        </is>
      </c>
      <c r="J309" s="21" t="inlineStr">
        <is>
          <t>H</t>
        </is>
      </c>
      <c r="K309" s="21" t="inlineStr">
        <is>
          <t>N</t>
        </is>
      </c>
      <c r="L309" s="21" t="inlineStr">
        <is>
          <t>Yes</t>
        </is>
      </c>
      <c r="M309" s="21" t="inlineStr">
        <is>
          <t>THREMOLIA-S1-F054</t>
        </is>
      </c>
      <c r="N309" s="22" t="inlineStr">
        <is>
          <t>Mechanism class transit_creds; evidence: passwords sent to; Eavesdropping on internal microservice network capturing cle; cleartext password [Equivalence: restates THREMOLIA-S1-F054 — one-to-one rule applied.]</t>
        </is>
      </c>
      <c r="O309" s="5" t="inlineStr">
        <is>
          <t>transit_creds</t>
        </is>
      </c>
      <c r="P309" s="16" t="inlineStr"/>
      <c r="Q309" s="16" t="inlineStr">
        <is>
          <t>DF6: Credential Submission</t>
        </is>
      </c>
      <c r="R309" s="16" t="inlineStr"/>
      <c r="S309" s="5" t="inlineStr">
        <is>
          <t>Confirmed</t>
        </is>
      </c>
    </row>
    <row r="310" ht="16" customHeight="1">
      <c r="A310" s="5" t="inlineStr">
        <is>
          <t>THREMOLIA-S1-F064</t>
        </is>
      </c>
      <c r="B310" s="5" t="inlineStr">
        <is>
          <t>THREMOLIA</t>
        </is>
      </c>
      <c r="C310" s="5" t="inlineStr">
        <is>
          <t>S1</t>
        </is>
      </c>
      <c r="D310" s="21" t="str">
        <f>IFERROR(VLOOKUP($G310,'02_REFERENCE'!$A$2:$S$99,4,FALSE),"N/A")</f>
        <v>Denial of Service</v>
      </c>
      <c r="E310" s="21" t="str">
        <f>IFERROR(VLOOKUP($G310,'02_REFERENCE'!$A$2:$S$99,15,FALSE),"N/A")</f>
        <v>Medium</v>
      </c>
      <c r="F310" s="21" t="str">
        <f>IFERROR(VLOOKUP($G310,'02_REFERENCE'!$A$2:$S$99,17,FALSE),"N/A")</f>
        <v>No</v>
      </c>
      <c r="G310" s="21" t="inlineStr">
        <is>
          <t>S1-RT-028</t>
        </is>
      </c>
      <c r="H310" s="21" t="inlineStr">
        <is>
          <t>Duplicate</t>
        </is>
      </c>
      <c r="I310" s="21" t="inlineStr">
        <is>
          <t>TP</t>
        </is>
      </c>
      <c r="J310" s="21" t="inlineStr">
        <is>
          <t>M</t>
        </is>
      </c>
      <c r="K310" s="21" t="inlineStr">
        <is>
          <t>N</t>
        </is>
      </c>
      <c r="L310" s="21" t="inlineStr">
        <is>
          <t>Yes</t>
        </is>
      </c>
      <c r="M310" s="21" t="inlineStr">
        <is>
          <t>THREMOLIA-S1-F038</t>
        </is>
      </c>
      <c r="N310" s="22" t="inlineStr">
        <is>
          <t>Mechanism class dos_service (victim-based DoS routing); evidence: Flood [Equivalence: restates THREMOLIA-S1-F038 — one-to-one rule applied.]</t>
        </is>
      </c>
      <c r="O310" s="5" t="inlineStr">
        <is>
          <t>dos_service</t>
        </is>
      </c>
      <c r="P310" s="16" t="inlineStr"/>
      <c r="Q310" s="16" t="inlineStr">
        <is>
          <t>DF6: Credential Submission</t>
        </is>
      </c>
      <c r="R310" s="16" t="inlineStr"/>
      <c r="S310" s="5" t="inlineStr">
        <is>
          <t>Confirmed</t>
        </is>
      </c>
    </row>
    <row r="311" ht="16" customHeight="1">
      <c r="A311" s="5" t="inlineStr">
        <is>
          <t>THREMOLIA-S1-F065</t>
        </is>
      </c>
      <c r="B311" s="5" t="inlineStr">
        <is>
          <t>THREMOLIA</t>
        </is>
      </c>
      <c r="C311" s="5" t="inlineStr">
        <is>
          <t>S1</t>
        </is>
      </c>
      <c r="D311" s="21" t="str">
        <f>IFERROR(VLOOKUP($G311,'02_REFERENCE'!$A$2:$S$99,4,FALSE),"N/A")</f>
        <v>Tampering</v>
      </c>
      <c r="E311" s="21" t="str">
        <f>IFERROR(VLOOKUP($G311,'02_REFERENCE'!$A$2:$S$99,15,FALSE),"N/A")</f>
        <v>Critical</v>
      </c>
      <c r="F311" s="21" t="str">
        <f>IFERROR(VLOOKUP($G311,'02_REFERENCE'!$A$2:$S$99,17,FALSE),"N/A")</f>
        <v>No</v>
      </c>
      <c r="G311" s="21" t="inlineStr">
        <is>
          <t>S1-RT-008</t>
        </is>
      </c>
      <c r="H311" s="21" t="inlineStr">
        <is>
          <t>Primary TP</t>
        </is>
      </c>
      <c r="I311" s="21" t="inlineStr">
        <is>
          <t>TP</t>
        </is>
      </c>
      <c r="J311" s="21" t="inlineStr">
        <is>
          <t>H</t>
        </is>
      </c>
      <c r="K311" s="21" t="inlineStr">
        <is>
          <t>Y</t>
        </is>
      </c>
      <c r="L311" s="21" t="inlineStr">
        <is>
          <t>No</t>
        </is>
      </c>
      <c r="M311" s="21" t="inlineStr"/>
      <c r="N311" s="22" t="inlineStr">
        <is>
          <t>Mechanism class injection_verification; evidence: SQL injection; injection / parameter tampering on credential verification; modifying query</t>
        </is>
      </c>
      <c r="O311" s="5" t="inlineStr">
        <is>
          <t>injection_verification</t>
        </is>
      </c>
      <c r="P311" s="16" t="inlineStr"/>
      <c r="Q311" s="16" t="inlineStr">
        <is>
          <t>DF7: Credential Verification Query</t>
        </is>
      </c>
      <c r="R311" s="16" t="inlineStr"/>
      <c r="S311" s="5" t="inlineStr">
        <is>
          <t>Confirmed</t>
        </is>
      </c>
    </row>
    <row r="312" ht="16" customHeight="1">
      <c r="A312" s="5" t="inlineStr">
        <is>
          <t>THREMOLIA-S1-F066</t>
        </is>
      </c>
      <c r="B312" s="5" t="inlineStr">
        <is>
          <t>THREMOLIA</t>
        </is>
      </c>
      <c r="C312" s="5" t="inlineStr">
        <is>
          <t>S1</t>
        </is>
      </c>
      <c r="D312" s="21" t="str">
        <f>IFERROR(VLOOKUP($G312,'02_REFERENCE'!$A$2:$S$99,4,FALSE),"N/A")</f>
        <v>N/A</v>
      </c>
      <c r="E312" s="21" t="str">
        <f>IFERROR(VLOOKUP($G312,'02_REFERENCE'!$A$2:$S$99,15,FALSE),"N/A")</f>
        <v>N/A</v>
      </c>
      <c r="F312" s="21" t="str">
        <f>IFERROR(VLOOKUP($G312,'02_REFERENCE'!$A$2:$S$99,17,FALSE),"N/A")</f>
        <v>N/A</v>
      </c>
      <c r="G312" s="21" t="inlineStr"/>
      <c r="H312" s="21" t="inlineStr">
        <is>
          <t>False Positive</t>
        </is>
      </c>
      <c r="I312" s="21" t="inlineStr">
        <is>
          <t>FP</t>
        </is>
      </c>
      <c r="J312" s="21" t="inlineStr">
        <is>
          <t>M</t>
        </is>
      </c>
      <c r="K312" s="21" t="inlineStr">
        <is>
          <t>N</t>
        </is>
      </c>
      <c r="L312" s="21" t="inlineStr">
        <is>
          <t>No</t>
        </is>
      </c>
      <c r="M312" s="21" t="inlineStr"/>
      <c r="N312" s="22" t="inlineStr">
        <is>
          <t>No reference threat corresponds to this finding's mechanism (scoring found no class with sufficient evidence).</t>
        </is>
      </c>
      <c r="O312" s="5" t="inlineStr"/>
      <c r="P312" s="16" t="inlineStr"/>
      <c r="Q312" s="16" t="inlineStr">
        <is>
          <t>DF7: Credential Verification Query</t>
        </is>
      </c>
      <c r="R312" s="16" t="inlineStr"/>
      <c r="S312" s="5" t="inlineStr">
        <is>
          <t>Confirmed</t>
        </is>
      </c>
    </row>
    <row r="313" ht="16" customHeight="1">
      <c r="A313" s="5" t="inlineStr">
        <is>
          <t>THREMOLIA-S1-F067</t>
        </is>
      </c>
      <c r="B313" s="5" t="inlineStr">
        <is>
          <t>THREMOLIA</t>
        </is>
      </c>
      <c r="C313" s="5" t="inlineStr">
        <is>
          <t>S1</t>
        </is>
      </c>
      <c r="D313" s="21" t="str">
        <f>IFERROR(VLOOKUP($G313,'02_REFERENCE'!$A$2:$S$99,4,FALSE),"N/A")</f>
        <v>Denial of Service</v>
      </c>
      <c r="E313" s="21" t="str">
        <f>IFERROR(VLOOKUP($G313,'02_REFERENCE'!$A$2:$S$99,15,FALSE),"N/A")</f>
        <v>Medium</v>
      </c>
      <c r="F313" s="21" t="str">
        <f>IFERROR(VLOOKUP($G313,'02_REFERENCE'!$A$2:$S$99,17,FALSE),"N/A")</f>
        <v>No</v>
      </c>
      <c r="G313" s="21" t="inlineStr">
        <is>
          <t>S1-RT-028</t>
        </is>
      </c>
      <c r="H313" s="21" t="inlineStr">
        <is>
          <t>Duplicate</t>
        </is>
      </c>
      <c r="I313" s="21" t="inlineStr">
        <is>
          <t>TP</t>
        </is>
      </c>
      <c r="J313" s="21" t="inlineStr">
        <is>
          <t>M</t>
        </is>
      </c>
      <c r="K313" s="21" t="inlineStr">
        <is>
          <t>N</t>
        </is>
      </c>
      <c r="L313" s="21" t="inlineStr">
        <is>
          <t>Yes</t>
        </is>
      </c>
      <c r="M313" s="21" t="inlineStr">
        <is>
          <t>THREMOLIA-S1-F038</t>
        </is>
      </c>
      <c r="N313" s="22" t="inlineStr">
        <is>
          <t>Mechanism class dos_service (victim-based DoS routing); evidence: Flood [Equivalence: restates THREMOLIA-S1-F038 — one-to-one rule applied.]</t>
        </is>
      </c>
      <c r="O313" s="5" t="inlineStr">
        <is>
          <t>dos_service</t>
        </is>
      </c>
      <c r="P313" s="16" t="inlineStr"/>
      <c r="Q313" s="16" t="inlineStr">
        <is>
          <t>DF7: Credential Verification Query</t>
        </is>
      </c>
      <c r="R313" s="16" t="inlineStr"/>
      <c r="S313" s="5" t="inlineStr">
        <is>
          <t>Confirmed</t>
        </is>
      </c>
    </row>
    <row r="314" ht="16" customHeight="1">
      <c r="A314" s="5" t="inlineStr">
        <is>
          <t>THREMOLIA-S1-F068</t>
        </is>
      </c>
      <c r="B314" s="5" t="inlineStr">
        <is>
          <t>THREMOLIA</t>
        </is>
      </c>
      <c r="C314" s="5" t="inlineStr">
        <is>
          <t>S1</t>
        </is>
      </c>
      <c r="D314" s="21" t="str">
        <f>IFERROR(VLOOKUP($G314,'02_REFERENCE'!$A$2:$S$99,4,FALSE),"N/A")</f>
        <v>Spoofing</v>
      </c>
      <c r="E314" s="21" t="str">
        <f>IFERROR(VLOOKUP($G314,'02_REFERENCE'!$A$2:$S$99,15,FALSE),"N/A")</f>
        <v>Critical</v>
      </c>
      <c r="F314" s="21" t="str">
        <f>IFERROR(VLOOKUP($G314,'02_REFERENCE'!$A$2:$S$99,17,FALSE),"N/A")</f>
        <v>No</v>
      </c>
      <c r="G314" s="21" t="inlineStr">
        <is>
          <t>S1-RT-004</t>
        </is>
      </c>
      <c r="H314" s="21" t="inlineStr">
        <is>
          <t>Duplicate</t>
        </is>
      </c>
      <c r="I314" s="21" t="inlineStr">
        <is>
          <t>TP</t>
        </is>
      </c>
      <c r="J314" s="21" t="inlineStr">
        <is>
          <t>M</t>
        </is>
      </c>
      <c r="K314" s="21" t="inlineStr">
        <is>
          <t>N</t>
        </is>
      </c>
      <c r="L314" s="21" t="inlineStr">
        <is>
          <t>Yes</t>
        </is>
      </c>
      <c r="M314" s="21" t="inlineStr">
        <is>
          <t>THREMOLIA-S1-F016</t>
        </is>
      </c>
      <c r="N314" s="22" t="inlineStr">
        <is>
          <t>Mechanism class auth_bypass_logic; evidence: altering database verification response; verification responses to simulat [Equivalence: restates THREMOLIA-S1-F016 — one-to-one rule applied.]</t>
        </is>
      </c>
      <c r="O314" s="5" t="inlineStr">
        <is>
          <t>auth_bypass_logic</t>
        </is>
      </c>
      <c r="P314" s="16" t="inlineStr"/>
      <c r="Q314" s="16" t="inlineStr">
        <is>
          <t>DF8: Authentication Verification Result</t>
        </is>
      </c>
      <c r="R314" s="16" t="inlineStr"/>
      <c r="S314" s="5" t="inlineStr">
        <is>
          <t>Confirmed</t>
        </is>
      </c>
    </row>
    <row r="315" ht="16" customHeight="1">
      <c r="A315" s="5" t="inlineStr">
        <is>
          <t>THREMOLIA-S1-F069</t>
        </is>
      </c>
      <c r="B315" s="5" t="inlineStr">
        <is>
          <t>THREMOLIA</t>
        </is>
      </c>
      <c r="C315" s="5" t="inlineStr">
        <is>
          <t>S1</t>
        </is>
      </c>
      <c r="D315" s="21" t="str">
        <f>IFERROR(VLOOKUP($G315,'02_REFERENCE'!$A$2:$S$99,4,FALSE),"N/A")</f>
        <v>Information Disclosure</v>
      </c>
      <c r="E315" s="21" t="str">
        <f>IFERROR(VLOOKUP($G315,'02_REFERENCE'!$A$2:$S$99,15,FALSE),"N/A")</f>
        <v>High</v>
      </c>
      <c r="F315" s="21" t="str">
        <f>IFERROR(VLOOKUP($G315,'02_REFERENCE'!$A$2:$S$99,17,FALSE),"N/A")</f>
        <v>No</v>
      </c>
      <c r="G315" s="21" t="inlineStr">
        <is>
          <t>S1-RT-006</t>
        </is>
      </c>
      <c r="H315" s="21" t="inlineStr">
        <is>
          <t>Duplicate</t>
        </is>
      </c>
      <c r="I315" s="21" t="inlineStr">
        <is>
          <t>TP</t>
        </is>
      </c>
      <c r="J315" s="21" t="inlineStr">
        <is>
          <t>H</t>
        </is>
      </c>
      <c r="K315" s="21" t="inlineStr">
        <is>
          <t>N</t>
        </is>
      </c>
      <c r="L315" s="21" t="inlineStr">
        <is>
          <t>Yes</t>
        </is>
      </c>
      <c r="M315" s="21" t="inlineStr">
        <is>
          <t>THREMOLIA-S1-F054</t>
        </is>
      </c>
      <c r="N315" s="22" t="inlineStr">
        <is>
          <t>Mechanism class transit_creds; evidence: Interception of database response containing stored password; password hashes crossing internal network [Equivalence: restates THREMOLIA-S1-F054 — one-to-one rule applied.]</t>
        </is>
      </c>
      <c r="O315" s="5" t="inlineStr">
        <is>
          <t>transit_creds</t>
        </is>
      </c>
      <c r="P315" s="16" t="inlineStr"/>
      <c r="Q315" s="16" t="inlineStr">
        <is>
          <t>DF8: Authentication Verification Result</t>
        </is>
      </c>
      <c r="R315" s="16" t="inlineStr"/>
      <c r="S315" s="5" t="inlineStr">
        <is>
          <t>Confirmed</t>
        </is>
      </c>
    </row>
    <row r="316" ht="16" customHeight="1">
      <c r="A316" s="5" t="inlineStr">
        <is>
          <t>THREMOLIA-S1-F070</t>
        </is>
      </c>
      <c r="B316" s="5" t="inlineStr">
        <is>
          <t>THREMOLIA</t>
        </is>
      </c>
      <c r="C316" s="5" t="inlineStr">
        <is>
          <t>S1</t>
        </is>
      </c>
      <c r="D316" s="21" t="str">
        <f>IFERROR(VLOOKUP($G316,'02_REFERENCE'!$A$2:$S$99,4,FALSE),"N/A")</f>
        <v>N/A</v>
      </c>
      <c r="E316" s="21" t="str">
        <f>IFERROR(VLOOKUP($G316,'02_REFERENCE'!$A$2:$S$99,15,FALSE),"N/A")</f>
        <v>N/A</v>
      </c>
      <c r="F316" s="21" t="str">
        <f>IFERROR(VLOOKUP($G316,'02_REFERENCE'!$A$2:$S$99,17,FALSE),"N/A")</f>
        <v>N/A</v>
      </c>
      <c r="G316" s="21" t="inlineStr"/>
      <c r="H316" s="21" t="inlineStr">
        <is>
          <t>False Positive</t>
        </is>
      </c>
      <c r="I316" s="21" t="inlineStr">
        <is>
          <t>FP</t>
        </is>
      </c>
      <c r="J316" s="21" t="inlineStr">
        <is>
          <t>M</t>
        </is>
      </c>
      <c r="K316" s="21" t="inlineStr">
        <is>
          <t>N</t>
        </is>
      </c>
      <c r="L316" s="21" t="inlineStr">
        <is>
          <t>No</t>
        </is>
      </c>
      <c r="M316" s="21" t="inlineStr"/>
      <c r="N316" s="22" t="inlineStr">
        <is>
          <t>No reference threat corresponds to this finding's mechanism (scoring found no class with sufficient evidence).</t>
        </is>
      </c>
      <c r="O316" s="5" t="inlineStr"/>
      <c r="P316" s="16" t="inlineStr"/>
      <c r="Q316" s="16" t="inlineStr">
        <is>
          <t>DF8: Authentication Verification Result</t>
        </is>
      </c>
      <c r="R316" s="16" t="inlineStr"/>
      <c r="S316" s="5" t="inlineStr">
        <is>
          <t>Confirmed</t>
        </is>
      </c>
    </row>
    <row r="317" ht="16" customHeight="1">
      <c r="A317" s="5" t="inlineStr">
        <is>
          <t>THREMOLIA-S1-F071</t>
        </is>
      </c>
      <c r="B317" s="5" t="inlineStr">
        <is>
          <t>THREMOLIA</t>
        </is>
      </c>
      <c r="C317" s="5" t="inlineStr">
        <is>
          <t>S1</t>
        </is>
      </c>
      <c r="D317" s="21" t="str">
        <f>IFERROR(VLOOKUP($G317,'02_REFERENCE'!$A$2:$S$99,4,FALSE),"N/A")</f>
        <v>Spoofing</v>
      </c>
      <c r="E317" s="21" t="str">
        <f>IFERROR(VLOOKUP($G317,'02_REFERENCE'!$A$2:$S$99,15,FALSE),"N/A")</f>
        <v>Critical</v>
      </c>
      <c r="F317" s="21" t="str">
        <f>IFERROR(VLOOKUP($G317,'02_REFERENCE'!$A$2:$S$99,17,FALSE),"N/A")</f>
        <v>No</v>
      </c>
      <c r="G317" s="21" t="inlineStr">
        <is>
          <t>S1-RT-004</t>
        </is>
      </c>
      <c r="H317" s="21" t="inlineStr">
        <is>
          <t>Duplicate</t>
        </is>
      </c>
      <c r="I317" s="21" t="inlineStr">
        <is>
          <t>TP</t>
        </is>
      </c>
      <c r="J317" s="21" t="inlineStr">
        <is>
          <t>M</t>
        </is>
      </c>
      <c r="K317" s="21" t="inlineStr">
        <is>
          <t>N</t>
        </is>
      </c>
      <c r="L317" s="21" t="inlineStr">
        <is>
          <t>Yes</t>
        </is>
      </c>
      <c r="M317" s="21" t="inlineStr">
        <is>
          <t>THREMOLIA-S1-F016</t>
        </is>
      </c>
      <c r="N317" s="22" t="inlineStr">
        <is>
          <t>Mechanism class auth_bypass_logic; evidence: Unauthorized injection or modification of session creation; session creation requests without prior credential [Equivalence: restates THREMOLIA-S1-F016 — one-to-one rule applied.]</t>
        </is>
      </c>
      <c r="O317" s="5" t="inlineStr">
        <is>
          <t>auth_bypass_logic</t>
        </is>
      </c>
      <c r="P317" s="16" t="inlineStr"/>
      <c r="Q317" s="16" t="inlineStr">
        <is>
          <t>DF9: Session Creation Request</t>
        </is>
      </c>
      <c r="R317" s="16" t="inlineStr"/>
      <c r="S317" s="5" t="inlineStr">
        <is>
          <t>Confirmed</t>
        </is>
      </c>
    </row>
    <row r="318" ht="16" customHeight="1">
      <c r="A318" s="5" t="inlineStr">
        <is>
          <t>THREMOLIA-S1-F072</t>
        </is>
      </c>
      <c r="B318" s="5" t="inlineStr">
        <is>
          <t>THREMOLIA</t>
        </is>
      </c>
      <c r="C318" s="5" t="inlineStr">
        <is>
          <t>S1</t>
        </is>
      </c>
      <c r="D318" s="21" t="str">
        <f>IFERROR(VLOOKUP($G318,'02_REFERENCE'!$A$2:$S$99,4,FALSE),"N/A")</f>
        <v>N/A</v>
      </c>
      <c r="E318" s="21" t="str">
        <f>IFERROR(VLOOKUP($G318,'02_REFERENCE'!$A$2:$S$99,15,FALSE),"N/A")</f>
        <v>N/A</v>
      </c>
      <c r="F318" s="21" t="str">
        <f>IFERROR(VLOOKUP($G318,'02_REFERENCE'!$A$2:$S$99,17,FALSE),"N/A")</f>
        <v>N/A</v>
      </c>
      <c r="G318" s="21" t="inlineStr"/>
      <c r="H318" s="21" t="inlineStr">
        <is>
          <t>False Positive</t>
        </is>
      </c>
      <c r="I318" s="21" t="inlineStr">
        <is>
          <t>FP</t>
        </is>
      </c>
      <c r="J318" s="21" t="inlineStr">
        <is>
          <t>M</t>
        </is>
      </c>
      <c r="K318" s="21" t="inlineStr">
        <is>
          <t>N</t>
        </is>
      </c>
      <c r="L318" s="21" t="inlineStr">
        <is>
          <t>No</t>
        </is>
      </c>
      <c r="M318" s="21" t="inlineStr"/>
      <c r="N318" s="22" t="inlineStr">
        <is>
          <t>Template-class transit_data_general (no reference threat): Sniffing internal session creation payload</t>
        </is>
      </c>
      <c r="O318" s="5" t="inlineStr">
        <is>
          <t>transit_data_general</t>
        </is>
      </c>
      <c r="P318" s="16" t="inlineStr"/>
      <c r="Q318" s="16" t="inlineStr">
        <is>
          <t>DF9: Session Creation Request</t>
        </is>
      </c>
      <c r="R318" s="16" t="inlineStr"/>
      <c r="S318" s="5" t="inlineStr">
        <is>
          <t>Confirmed</t>
        </is>
      </c>
    </row>
    <row r="319" ht="16" customHeight="1">
      <c r="A319" s="5" t="inlineStr">
        <is>
          <t>THREMOLIA-S1-F073</t>
        </is>
      </c>
      <c r="B319" s="5" t="inlineStr">
        <is>
          <t>THREMOLIA</t>
        </is>
      </c>
      <c r="C319" s="5" t="inlineStr">
        <is>
          <t>S1</t>
        </is>
      </c>
      <c r="D319" s="21" t="str">
        <f>IFERROR(VLOOKUP($G319,'02_REFERENCE'!$A$2:$S$99,4,FALSE),"N/A")</f>
        <v>Denial of Service</v>
      </c>
      <c r="E319" s="21" t="str">
        <f>IFERROR(VLOOKUP($G319,'02_REFERENCE'!$A$2:$S$99,15,FALSE),"N/A")</f>
        <v>Medium</v>
      </c>
      <c r="F319" s="21" t="str">
        <f>IFERROR(VLOOKUP($G319,'02_REFERENCE'!$A$2:$S$99,17,FALSE),"N/A")</f>
        <v>No</v>
      </c>
      <c r="G319" s="21" t="inlineStr">
        <is>
          <t>S1-RT-028</t>
        </is>
      </c>
      <c r="H319" s="21" t="inlineStr">
        <is>
          <t>Duplicate</t>
        </is>
      </c>
      <c r="I319" s="21" t="inlineStr">
        <is>
          <t>TP</t>
        </is>
      </c>
      <c r="J319" s="21" t="inlineStr">
        <is>
          <t>M</t>
        </is>
      </c>
      <c r="K319" s="21" t="inlineStr">
        <is>
          <t>N</t>
        </is>
      </c>
      <c r="L319" s="21" t="inlineStr">
        <is>
          <t>Yes</t>
        </is>
      </c>
      <c r="M319" s="21" t="inlineStr">
        <is>
          <t>THREMOLIA-S1-F038</t>
        </is>
      </c>
      <c r="N319" s="22" t="inlineStr">
        <is>
          <t>Mechanism class dos_service (victim-based DoS routing); evidence: Flood [Equivalence: restates THREMOLIA-S1-F038 — one-to-one rule applied.]</t>
        </is>
      </c>
      <c r="O319" s="5" t="inlineStr">
        <is>
          <t>dos_service</t>
        </is>
      </c>
      <c r="P319" s="16" t="inlineStr"/>
      <c r="Q319" s="16" t="inlineStr">
        <is>
          <t>DF9: Session Creation Request</t>
        </is>
      </c>
      <c r="R319" s="16" t="inlineStr"/>
      <c r="S319" s="5" t="inlineStr">
        <is>
          <t>Confirmed</t>
        </is>
      </c>
    </row>
    <row r="320" ht="16" customHeight="1">
      <c r="A320" s="5" t="inlineStr">
        <is>
          <t>THREMOLIA-S1-F074</t>
        </is>
      </c>
      <c r="B320" s="5" t="inlineStr">
        <is>
          <t>THREMOLIA</t>
        </is>
      </c>
      <c r="C320" s="5" t="inlineStr">
        <is>
          <t>S1</t>
        </is>
      </c>
      <c r="D320" s="21" t="str">
        <f>IFERROR(VLOOKUP($G320,'02_REFERENCE'!$A$2:$S$99,4,FALSE),"N/A")</f>
        <v>N/A</v>
      </c>
      <c r="E320" s="21" t="str">
        <f>IFERROR(VLOOKUP($G320,'02_REFERENCE'!$A$2:$S$99,15,FALSE),"N/A")</f>
        <v>N/A</v>
      </c>
      <c r="F320" s="21" t="str">
        <f>IFERROR(VLOOKUP($G320,'02_REFERENCE'!$A$2:$S$99,17,FALSE),"N/A")</f>
        <v>N/A</v>
      </c>
      <c r="G320" s="21" t="inlineStr"/>
      <c r="H320" s="21" t="inlineStr">
        <is>
          <t>False Positive</t>
        </is>
      </c>
      <c r="I320" s="21" t="inlineStr">
        <is>
          <t>FP</t>
        </is>
      </c>
      <c r="J320" s="21" t="inlineStr">
        <is>
          <t>M</t>
        </is>
      </c>
      <c r="K320" s="21" t="inlineStr">
        <is>
          <t>N</t>
        </is>
      </c>
      <c r="L320" s="21" t="inlineStr">
        <is>
          <t>No</t>
        </is>
      </c>
      <c r="M320" s="21" t="inlineStr"/>
      <c r="N320" s="22" t="inlineStr">
        <is>
          <t>No reference threat corresponds to this finding's mechanism (scoring found no class with sufficient evidence).</t>
        </is>
      </c>
      <c r="O320" s="5" t="inlineStr"/>
      <c r="P320" s="16" t="inlineStr"/>
      <c r="Q320" s="16" t="inlineStr">
        <is>
          <t>DF10: Session Token</t>
        </is>
      </c>
      <c r="R320" s="16" t="inlineStr"/>
      <c r="S320" s="5" t="inlineStr">
        <is>
          <t>Confirmed</t>
        </is>
      </c>
    </row>
    <row r="321" ht="16" customHeight="1">
      <c r="A321" s="5" t="inlineStr">
        <is>
          <t>THREMOLIA-S1-F075</t>
        </is>
      </c>
      <c r="B321" s="5" t="inlineStr">
        <is>
          <t>THREMOLIA</t>
        </is>
      </c>
      <c r="C321" s="5" t="inlineStr">
        <is>
          <t>S1</t>
        </is>
      </c>
      <c r="D321" s="21" t="str">
        <f>IFERROR(VLOOKUP($G321,'02_REFERENCE'!$A$2:$S$99,4,FALSE),"N/A")</f>
        <v>Spoofing</v>
      </c>
      <c r="E321" s="21" t="str">
        <f>IFERROR(VLOOKUP($G321,'02_REFERENCE'!$A$2:$S$99,15,FALSE),"N/A")</f>
        <v>Critical</v>
      </c>
      <c r="F321" s="21" t="str">
        <f>IFERROR(VLOOKUP($G321,'02_REFERENCE'!$A$2:$S$99,17,FALSE),"N/A")</f>
        <v>No</v>
      </c>
      <c r="G321" s="21" t="inlineStr">
        <is>
          <t>S1-RT-014</t>
        </is>
      </c>
      <c r="H321" s="21" t="inlineStr">
        <is>
          <t>Duplicate</t>
        </is>
      </c>
      <c r="I321" s="21" t="inlineStr">
        <is>
          <t>TP</t>
        </is>
      </c>
      <c r="J321" s="21" t="inlineStr">
        <is>
          <t>L</t>
        </is>
      </c>
      <c r="K321" s="21" t="inlineStr">
        <is>
          <t>N</t>
        </is>
      </c>
      <c r="L321" s="21" t="inlineStr">
        <is>
          <t>Yes</t>
        </is>
      </c>
      <c r="M321" s="21" t="inlineStr">
        <is>
          <t>THREMOLIA-S1-F041</t>
        </is>
      </c>
      <c r="N321" s="22" t="inlineStr">
        <is>
          <t>Mechanism class transit_token; evidence: Interception or leakage of newly generated session token [Equivalence: restates THREMOLIA-S1-F041 — one-to-one rule applied.]</t>
        </is>
      </c>
      <c r="O321" s="5" t="inlineStr">
        <is>
          <t>transit_token</t>
        </is>
      </c>
      <c r="P321" s="16" t="inlineStr"/>
      <c r="Q321" s="16" t="inlineStr">
        <is>
          <t>DF10: Session Token</t>
        </is>
      </c>
      <c r="R321" s="16" t="inlineStr"/>
      <c r="S321" s="5" t="inlineStr">
        <is>
          <t>Manual review</t>
        </is>
      </c>
    </row>
    <row r="322" ht="16" customHeight="1">
      <c r="A322" s="5" t="inlineStr">
        <is>
          <t>THREMOLIA-S1-F076</t>
        </is>
      </c>
      <c r="B322" s="5" t="inlineStr">
        <is>
          <t>THREMOLIA</t>
        </is>
      </c>
      <c r="C322" s="5" t="inlineStr">
        <is>
          <t>S1</t>
        </is>
      </c>
      <c r="D322" s="21" t="str">
        <f>IFERROR(VLOOKUP($G322,'02_REFERENCE'!$A$2:$S$99,4,FALSE),"N/A")</f>
        <v>N/A</v>
      </c>
      <c r="E322" s="21" t="str">
        <f>IFERROR(VLOOKUP($G322,'02_REFERENCE'!$A$2:$S$99,15,FALSE),"N/A")</f>
        <v>N/A</v>
      </c>
      <c r="F322" s="21" t="str">
        <f>IFERROR(VLOOKUP($G322,'02_REFERENCE'!$A$2:$S$99,17,FALSE),"N/A")</f>
        <v>N/A</v>
      </c>
      <c r="G322" s="21" t="inlineStr"/>
      <c r="H322" s="21" t="inlineStr">
        <is>
          <t>False Positive</t>
        </is>
      </c>
      <c r="I322" s="21" t="inlineStr">
        <is>
          <t>FP</t>
        </is>
      </c>
      <c r="J322" s="21" t="inlineStr">
        <is>
          <t>M</t>
        </is>
      </c>
      <c r="K322" s="21" t="inlineStr">
        <is>
          <t>N</t>
        </is>
      </c>
      <c r="L322" s="21" t="inlineStr">
        <is>
          <t>No</t>
        </is>
      </c>
      <c r="M322" s="21" t="inlineStr"/>
      <c r="N322" s="22" t="inlineStr">
        <is>
          <t>No reference threat corresponds to this finding's mechanism (scoring found no class with sufficient evidence).</t>
        </is>
      </c>
      <c r="O322" s="5" t="inlineStr"/>
      <c r="P322" s="16" t="inlineStr"/>
      <c r="Q322" s="16" t="inlineStr">
        <is>
          <t>DF10: Session Token</t>
        </is>
      </c>
      <c r="R322" s="16" t="inlineStr"/>
      <c r="S322" s="5" t="inlineStr">
        <is>
          <t>Confirmed</t>
        </is>
      </c>
    </row>
    <row r="323" ht="16" customHeight="1">
      <c r="A323" s="5" t="inlineStr">
        <is>
          <t>THREMOLIA-S1-F077</t>
        </is>
      </c>
      <c r="B323" s="5" t="inlineStr">
        <is>
          <t>THREMOLIA</t>
        </is>
      </c>
      <c r="C323" s="5" t="inlineStr">
        <is>
          <t>S1</t>
        </is>
      </c>
      <c r="D323" s="21" t="str">
        <f>IFERROR(VLOOKUP($G323,'02_REFERENCE'!$A$2:$S$99,4,FALSE),"N/A")</f>
        <v>Tampering</v>
      </c>
      <c r="E323" s="21" t="str">
        <f>IFERROR(VLOOKUP($G323,'02_REFERENCE'!$A$2:$S$99,15,FALSE),"N/A")</f>
        <v>High</v>
      </c>
      <c r="F323" s="21" t="str">
        <f>IFERROR(VLOOKUP($G323,'02_REFERENCE'!$A$2:$S$99,17,FALSE),"N/A")</f>
        <v>No</v>
      </c>
      <c r="G323" s="21" t="inlineStr">
        <is>
          <t>S1-RT-017</t>
        </is>
      </c>
      <c r="H323" s="21" t="inlineStr">
        <is>
          <t>Duplicate</t>
        </is>
      </c>
      <c r="I323" s="21" t="inlineStr">
        <is>
          <t>TP</t>
        </is>
      </c>
      <c r="J323" s="21" t="inlineStr">
        <is>
          <t>M</t>
        </is>
      </c>
      <c r="K323" s="21" t="inlineStr">
        <is>
          <t>N</t>
        </is>
      </c>
      <c r="L323" s="21" t="inlineStr">
        <is>
          <t>Yes</t>
        </is>
      </c>
      <c r="M323" s="21" t="inlineStr">
        <is>
          <t>THREMOLIA-S1-F039</t>
        </is>
      </c>
      <c r="N323" s="22" t="inlineStr">
        <is>
          <t>Mechanism class session_store_tamper; evidence: session storage read/write queries alter [Equivalence: restates THREMOLIA-S1-F039 — one-to-one rule applied.]</t>
        </is>
      </c>
      <c r="O323" s="5" t="inlineStr">
        <is>
          <t>session_store_tamper</t>
        </is>
      </c>
      <c r="P323" s="16" t="inlineStr"/>
      <c r="Q323" s="16" t="inlineStr">
        <is>
          <t>SF1: Session Persistence / Lookup</t>
        </is>
      </c>
      <c r="R323" s="16" t="inlineStr"/>
      <c r="S323" s="5" t="inlineStr">
        <is>
          <t>Confirmed</t>
        </is>
      </c>
    </row>
    <row r="324" ht="16" customHeight="1">
      <c r="A324" s="5" t="inlineStr">
        <is>
          <t>THREMOLIA-S1-F078</t>
        </is>
      </c>
      <c r="B324" s="5" t="inlineStr">
        <is>
          <t>THREMOLIA</t>
        </is>
      </c>
      <c r="C324" s="5" t="inlineStr">
        <is>
          <t>S1</t>
        </is>
      </c>
      <c r="D324" s="21" t="str">
        <f>IFERROR(VLOOKUP($G324,'02_REFERENCE'!$A$2:$S$99,4,FALSE),"N/A")</f>
        <v>Spoofing</v>
      </c>
      <c r="E324" s="21" t="str">
        <f>IFERROR(VLOOKUP($G324,'02_REFERENCE'!$A$2:$S$99,15,FALSE),"N/A")</f>
        <v>Critical</v>
      </c>
      <c r="F324" s="21" t="str">
        <f>IFERROR(VLOOKUP($G324,'02_REFERENCE'!$A$2:$S$99,17,FALSE),"N/A")</f>
        <v>No</v>
      </c>
      <c r="G324" s="21" t="inlineStr">
        <is>
          <t>S1-RT-014</t>
        </is>
      </c>
      <c r="H324" s="21" t="inlineStr">
        <is>
          <t>Duplicate</t>
        </is>
      </c>
      <c r="I324" s="21" t="inlineStr">
        <is>
          <t>TP</t>
        </is>
      </c>
      <c r="J324" s="21" t="inlineStr">
        <is>
          <t>L</t>
        </is>
      </c>
      <c r="K324" s="21" t="inlineStr">
        <is>
          <t>N</t>
        </is>
      </c>
      <c r="L324" s="21" t="inlineStr">
        <is>
          <t>Yes</t>
        </is>
      </c>
      <c r="M324" s="21" t="inlineStr">
        <is>
          <t>THREMOLIA-S1-F041</t>
        </is>
      </c>
      <c r="N324" s="22" t="inlineStr">
        <is>
          <t>Mechanism class transit_token; evidence: exposing all active session keys [Equivalence: restates THREMOLIA-S1-F041 — one-to-one rule applied.]</t>
        </is>
      </c>
      <c r="O324" s="5" t="inlineStr">
        <is>
          <t>transit_token</t>
        </is>
      </c>
      <c r="P324" s="16" t="inlineStr"/>
      <c r="Q324" s="16" t="inlineStr">
        <is>
          <t>SF1: Session Persistence / Lookup</t>
        </is>
      </c>
      <c r="R324" s="16" t="inlineStr"/>
      <c r="S324" s="5" t="inlineStr">
        <is>
          <t>Manual review</t>
        </is>
      </c>
    </row>
    <row r="325" ht="16" customHeight="1">
      <c r="A325" s="5" t="inlineStr">
        <is>
          <t>THREMOLIA-S1-F079</t>
        </is>
      </c>
      <c r="B325" s="5" t="inlineStr">
        <is>
          <t>THREMOLIA</t>
        </is>
      </c>
      <c r="C325" s="5" t="inlineStr">
        <is>
          <t>S1</t>
        </is>
      </c>
      <c r="D325" s="21" t="str">
        <f>IFERROR(VLOOKUP($G325,'02_REFERENCE'!$A$2:$S$99,4,FALSE),"N/A")</f>
        <v>Denial of Service</v>
      </c>
      <c r="E325" s="21" t="str">
        <f>IFERROR(VLOOKUP($G325,'02_REFERENCE'!$A$2:$S$99,15,FALSE),"N/A")</f>
        <v>Medium</v>
      </c>
      <c r="F325" s="21" t="str">
        <f>IFERROR(VLOOKUP($G325,'02_REFERENCE'!$A$2:$S$99,17,FALSE),"N/A")</f>
        <v>No</v>
      </c>
      <c r="G325" s="21" t="inlineStr">
        <is>
          <t>S1-RT-028</t>
        </is>
      </c>
      <c r="H325" s="21" t="inlineStr">
        <is>
          <t>Duplicate</t>
        </is>
      </c>
      <c r="I325" s="21" t="inlineStr">
        <is>
          <t>TP</t>
        </is>
      </c>
      <c r="J325" s="21" t="inlineStr">
        <is>
          <t>M</t>
        </is>
      </c>
      <c r="K325" s="21" t="inlineStr">
        <is>
          <t>N</t>
        </is>
      </c>
      <c r="L325" s="21" t="inlineStr">
        <is>
          <t>Yes</t>
        </is>
      </c>
      <c r="M325" s="21" t="inlineStr">
        <is>
          <t>THREMOLIA-S1-F038</t>
        </is>
      </c>
      <c r="N325" s="22" t="inlineStr">
        <is>
          <t>Mechanism class dos_service (victim-based DoS routing); evidence: Flood [Equivalence: restates THREMOLIA-S1-F038 — one-to-one rule applied.]</t>
        </is>
      </c>
      <c r="O325" s="5" t="inlineStr">
        <is>
          <t>dos_service</t>
        </is>
      </c>
      <c r="P325" s="16" t="inlineStr"/>
      <c r="Q325" s="16" t="inlineStr">
        <is>
          <t>SF1: Session Persistence / Lookup</t>
        </is>
      </c>
      <c r="R325" s="16" t="inlineStr"/>
      <c r="S325" s="5" t="inlineStr">
        <is>
          <t>Confirmed</t>
        </is>
      </c>
    </row>
    <row r="326" ht="16" customHeight="1">
      <c r="A326" s="5" t="inlineStr">
        <is>
          <t>THREMOLIA-S1-F080</t>
        </is>
      </c>
      <c r="B326" s="5" t="inlineStr">
        <is>
          <t>THREMOLIA</t>
        </is>
      </c>
      <c r="C326" s="5" t="inlineStr">
        <is>
          <t>S1</t>
        </is>
      </c>
      <c r="D326" s="21" t="str">
        <f>IFERROR(VLOOKUP($G326,'02_REFERENCE'!$A$2:$S$99,4,FALSE),"N/A")</f>
        <v>Spoofing</v>
      </c>
      <c r="E326" s="21" t="str">
        <f>IFERROR(VLOOKUP($G326,'02_REFERENCE'!$A$2:$S$99,15,FALSE),"N/A")</f>
        <v>High</v>
      </c>
      <c r="F326" s="21" t="str">
        <f>IFERROR(VLOOKUP($G326,'02_REFERENCE'!$A$2:$S$99,17,FALSE),"N/A")</f>
        <v>No</v>
      </c>
      <c r="G326" s="21" t="inlineStr">
        <is>
          <t>S1-RT-016</t>
        </is>
      </c>
      <c r="H326" s="21" t="inlineStr">
        <is>
          <t>Primary TP</t>
        </is>
      </c>
      <c r="I326" s="21" t="inlineStr">
        <is>
          <t>TP</t>
        </is>
      </c>
      <c r="J326" s="21" t="inlineStr">
        <is>
          <t>L</t>
        </is>
      </c>
      <c r="K326" s="21" t="inlineStr">
        <is>
          <t>Y</t>
        </is>
      </c>
      <c r="L326" s="21" t="inlineStr">
        <is>
          <t>No</t>
        </is>
      </c>
      <c r="M326" s="21" t="inlineStr"/>
      <c r="N326" s="22" t="inlineStr">
        <is>
          <t>Mechanism class token_replay; evidence: expired</t>
        </is>
      </c>
      <c r="O326" s="5" t="inlineStr">
        <is>
          <t>token_replay</t>
        </is>
      </c>
      <c r="P326" s="16" t="inlineStr"/>
      <c r="Q326" s="16" t="inlineStr">
        <is>
          <t>SF2: Session Record / Validation Result</t>
        </is>
      </c>
      <c r="R326" s="16" t="inlineStr"/>
      <c r="S326" s="5" t="inlineStr">
        <is>
          <t>Manual review</t>
        </is>
      </c>
    </row>
    <row r="327" ht="16" customHeight="1">
      <c r="A327" s="5" t="inlineStr">
        <is>
          <t>THREMOLIA-S1-F081</t>
        </is>
      </c>
      <c r="B327" s="5" t="inlineStr">
        <is>
          <t>THREMOLIA</t>
        </is>
      </c>
      <c r="C327" s="5" t="inlineStr">
        <is>
          <t>S1</t>
        </is>
      </c>
      <c r="D327" s="21" t="str">
        <f>IFERROR(VLOOKUP($G327,'02_REFERENCE'!$A$2:$S$99,4,FALSE),"N/A")</f>
        <v>Information Disclosure</v>
      </c>
      <c r="E327" s="21" t="str">
        <f>IFERROR(VLOOKUP($G327,'02_REFERENCE'!$A$2:$S$99,15,FALSE),"N/A")</f>
        <v>High</v>
      </c>
      <c r="F327" s="21" t="str">
        <f>IFERROR(VLOOKUP($G327,'02_REFERENCE'!$A$2:$S$99,17,FALSE),"N/A")</f>
        <v>Yes</v>
      </c>
      <c r="G327" s="21" t="inlineStr">
        <is>
          <t>S1-RT-024</t>
        </is>
      </c>
      <c r="H327" s="21" t="inlineStr">
        <is>
          <t>Primary TP</t>
        </is>
      </c>
      <c r="I327" s="21" t="inlineStr">
        <is>
          <t>TP</t>
        </is>
      </c>
      <c r="J327" s="21" t="inlineStr">
        <is>
          <t>M</t>
        </is>
      </c>
      <c r="K327" s="21" t="inlineStr">
        <is>
          <t>Y</t>
        </is>
      </c>
      <c r="L327" s="21" t="inlineStr">
        <is>
          <t>No</t>
        </is>
      </c>
      <c r="M327" s="21" t="inlineStr"/>
      <c r="N327" s="22" t="inlineStr">
        <is>
          <t>Mechanism class sensitive_to_llm; evidence: excessive session secrets to the AI Chatbot</t>
        </is>
      </c>
      <c r="O327" s="5" t="inlineStr">
        <is>
          <t>sensitive_to_llm</t>
        </is>
      </c>
      <c r="P327" s="16" t="inlineStr"/>
      <c r="Q327" s="16" t="inlineStr">
        <is>
          <t>SF2: Session Record / Validation Result</t>
        </is>
      </c>
      <c r="R327" s="16" t="inlineStr"/>
      <c r="S327" s="5" t="inlineStr">
        <is>
          <t>Confirmed</t>
        </is>
      </c>
    </row>
    <row r="328" ht="16" customHeight="1">
      <c r="A328" s="5" t="inlineStr">
        <is>
          <t>THREMOLIA-S1-F082</t>
        </is>
      </c>
      <c r="B328" s="5" t="inlineStr">
        <is>
          <t>THREMOLIA</t>
        </is>
      </c>
      <c r="C328" s="5" t="inlineStr">
        <is>
          <t>S1</t>
        </is>
      </c>
      <c r="D328" s="21" t="str">
        <f>IFERROR(VLOOKUP($G328,'02_REFERENCE'!$A$2:$S$99,4,FALSE),"N/A")</f>
        <v>N/A</v>
      </c>
      <c r="E328" s="21" t="str">
        <f>IFERROR(VLOOKUP($G328,'02_REFERENCE'!$A$2:$S$99,15,FALSE),"N/A")</f>
        <v>N/A</v>
      </c>
      <c r="F328" s="21" t="str">
        <f>IFERROR(VLOOKUP($G328,'02_REFERENCE'!$A$2:$S$99,17,FALSE),"N/A")</f>
        <v>N/A</v>
      </c>
      <c r="G328" s="21" t="inlineStr"/>
      <c r="H328" s="21" t="inlineStr">
        <is>
          <t>False Positive</t>
        </is>
      </c>
      <c r="I328" s="21" t="inlineStr">
        <is>
          <t>FP</t>
        </is>
      </c>
      <c r="J328" s="21" t="inlineStr">
        <is>
          <t>M</t>
        </is>
      </c>
      <c r="K328" s="21" t="inlineStr">
        <is>
          <t>N</t>
        </is>
      </c>
      <c r="L328" s="21" t="inlineStr">
        <is>
          <t>No</t>
        </is>
      </c>
      <c r="M328" s="21" t="inlineStr"/>
      <c r="N328" s="22" t="inlineStr">
        <is>
          <t>No reference threat corresponds to this finding's mechanism (scoring found no class with sufficient evidence).</t>
        </is>
      </c>
      <c r="O328" s="5" t="inlineStr"/>
      <c r="P328" s="16" t="inlineStr"/>
      <c r="Q328" s="16" t="inlineStr">
        <is>
          <t>SF2: Session Record / Validation Result</t>
        </is>
      </c>
      <c r="R328" s="16" t="inlineStr"/>
      <c r="S328" s="5" t="inlineStr">
        <is>
          <t>Confirmed</t>
        </is>
      </c>
    </row>
    <row r="329" ht="16" customHeight="1">
      <c r="A329" s="5" t="inlineStr">
        <is>
          <t>THREMOLIA-S1-F083</t>
        </is>
      </c>
      <c r="B329" s="5" t="inlineStr">
        <is>
          <t>THREMOLIA</t>
        </is>
      </c>
      <c r="C329" s="5" t="inlineStr">
        <is>
          <t>S1</t>
        </is>
      </c>
      <c r="D329" s="21" t="str">
        <f>IFERROR(VLOOKUP($G329,'02_REFERENCE'!$A$2:$S$99,4,FALSE),"N/A")</f>
        <v>Tampering</v>
      </c>
      <c r="E329" s="21" t="str">
        <f>IFERROR(VLOOKUP($G329,'02_REFERENCE'!$A$2:$S$99,15,FALSE),"N/A")</f>
        <v>High</v>
      </c>
      <c r="F329" s="21" t="str">
        <f>IFERROR(VLOOKUP($G329,'02_REFERENCE'!$A$2:$S$99,17,FALSE),"N/A")</f>
        <v>Yes</v>
      </c>
      <c r="G329" s="21" t="inlineStr">
        <is>
          <t>S1-RT-022</t>
        </is>
      </c>
      <c r="H329" s="21" t="inlineStr">
        <is>
          <t>Duplicate</t>
        </is>
      </c>
      <c r="I329" s="21" t="inlineStr">
        <is>
          <t>TP</t>
        </is>
      </c>
      <c r="J329" s="21" t="inlineStr">
        <is>
          <t>M</t>
        </is>
      </c>
      <c r="K329" s="21" t="inlineStr">
        <is>
          <t>N</t>
        </is>
      </c>
      <c r="L329" s="21" t="inlineStr">
        <is>
          <t>Yes</t>
        </is>
      </c>
      <c r="M329" s="21" t="inlineStr">
        <is>
          <t>THREMOLIA-S1-F024</t>
        </is>
      </c>
      <c r="N329" s="22" t="inlineStr">
        <is>
          <t>Mechanism class prompt_injection_direct; evidence: modified in transit or containing injected control directive [Equivalence: restates THREMOLIA-S1-F024 — one-to-one rule applied.]</t>
        </is>
      </c>
      <c r="O329" s="5" t="inlineStr">
        <is>
          <t>prompt_injection_direct</t>
        </is>
      </c>
      <c r="P329" s="16" t="inlineStr"/>
      <c r="Q329" s="16" t="inlineStr">
        <is>
          <t>DF11: Chatbot Question</t>
        </is>
      </c>
      <c r="R329" s="16" t="inlineStr"/>
      <c r="S329" s="5" t="inlineStr">
        <is>
          <t>Confirmed</t>
        </is>
      </c>
    </row>
    <row r="330" ht="16" customHeight="1">
      <c r="A330" s="5" t="inlineStr">
        <is>
          <t>THREMOLIA-S1-F084</t>
        </is>
      </c>
      <c r="B330" s="5" t="inlineStr">
        <is>
          <t>THREMOLIA</t>
        </is>
      </c>
      <c r="C330" s="5" t="inlineStr">
        <is>
          <t>S1</t>
        </is>
      </c>
      <c r="D330" s="21" t="str">
        <f>IFERROR(VLOOKUP($G330,'02_REFERENCE'!$A$2:$S$99,4,FALSE),"N/A")</f>
        <v>N/A</v>
      </c>
      <c r="E330" s="21" t="str">
        <f>IFERROR(VLOOKUP($G330,'02_REFERENCE'!$A$2:$S$99,15,FALSE),"N/A")</f>
        <v>N/A</v>
      </c>
      <c r="F330" s="21" t="str">
        <f>IFERROR(VLOOKUP($G330,'02_REFERENCE'!$A$2:$S$99,17,FALSE),"N/A")</f>
        <v>N/A</v>
      </c>
      <c r="G330" s="21" t="inlineStr"/>
      <c r="H330" s="21" t="inlineStr">
        <is>
          <t>False Positive</t>
        </is>
      </c>
      <c r="I330" s="21" t="inlineStr">
        <is>
          <t>FP</t>
        </is>
      </c>
      <c r="J330" s="21" t="inlineStr">
        <is>
          <t>M</t>
        </is>
      </c>
      <c r="K330" s="21" t="inlineStr">
        <is>
          <t>N</t>
        </is>
      </c>
      <c r="L330" s="21" t="inlineStr">
        <is>
          <t>No</t>
        </is>
      </c>
      <c r="M330" s="21" t="inlineStr"/>
      <c r="N330" s="22" t="inlineStr">
        <is>
          <t>Template-class transit_data_general (no reference threat): Eavesdropping on chatbot question</t>
        </is>
      </c>
      <c r="O330" s="5" t="inlineStr">
        <is>
          <t>transit_data_general</t>
        </is>
      </c>
      <c r="P330" s="16" t="inlineStr"/>
      <c r="Q330" s="16" t="inlineStr">
        <is>
          <t>DF11: Chatbot Question</t>
        </is>
      </c>
      <c r="R330" s="16" t="inlineStr"/>
      <c r="S330" s="5" t="inlineStr">
        <is>
          <t>Confirmed</t>
        </is>
      </c>
    </row>
    <row r="331" ht="16" customHeight="1">
      <c r="A331" s="5" t="inlineStr">
        <is>
          <t>THREMOLIA-S1-F085</t>
        </is>
      </c>
      <c r="B331" s="5" t="inlineStr">
        <is>
          <t>THREMOLIA</t>
        </is>
      </c>
      <c r="C331" s="5" t="inlineStr">
        <is>
          <t>S1</t>
        </is>
      </c>
      <c r="D331" s="21" t="str">
        <f>IFERROR(VLOOKUP($G331,'02_REFERENCE'!$A$2:$S$99,4,FALSE),"N/A")</f>
        <v>Denial of Service</v>
      </c>
      <c r="E331" s="21" t="str">
        <f>IFERROR(VLOOKUP($G331,'02_REFERENCE'!$A$2:$S$99,15,FALSE),"N/A")</f>
        <v>Medium</v>
      </c>
      <c r="F331" s="21" t="str">
        <f>IFERROR(VLOOKUP($G331,'02_REFERENCE'!$A$2:$S$99,17,FALSE),"N/A")</f>
        <v>Yes</v>
      </c>
      <c r="G331" s="21" t="inlineStr">
        <is>
          <t>S1-RT-030</t>
        </is>
      </c>
      <c r="H331" s="21" t="inlineStr">
        <is>
          <t>Duplicate</t>
        </is>
      </c>
      <c r="I331" s="21" t="inlineStr">
        <is>
          <t>TP</t>
        </is>
      </c>
      <c r="J331" s="21" t="inlineStr">
        <is>
          <t>M</t>
        </is>
      </c>
      <c r="K331" s="21" t="inlineStr">
        <is>
          <t>N</t>
        </is>
      </c>
      <c r="L331" s="21" t="inlineStr">
        <is>
          <t>Yes</t>
        </is>
      </c>
      <c r="M331" s="21" t="inlineStr">
        <is>
          <t>THREMOLIA-S1-F088</t>
        </is>
      </c>
      <c r="N331" s="22" t="inlineStr">
        <is>
          <t>Mechanism class llm_consumption (victim-based DoS routing); evidence: Flooding the chatbot question [Equivalence: restates THREMOLIA-S1-F088 — one-to-one rule applied.]</t>
        </is>
      </c>
      <c r="O331" s="5" t="inlineStr">
        <is>
          <t>dos_service</t>
        </is>
      </c>
      <c r="P331" s="16" t="inlineStr"/>
      <c r="Q331" s="16" t="inlineStr">
        <is>
          <t>DF11: Chatbot Question</t>
        </is>
      </c>
      <c r="R331" s="16" t="inlineStr"/>
      <c r="S331" s="5" t="inlineStr">
        <is>
          <t>Confirmed</t>
        </is>
      </c>
    </row>
    <row r="332" ht="16" customHeight="1">
      <c r="A332" s="5" t="inlineStr">
        <is>
          <t>THREMOLIA-S1-F086</t>
        </is>
      </c>
      <c r="B332" s="5" t="inlineStr">
        <is>
          <t>THREMOLIA</t>
        </is>
      </c>
      <c r="C332" s="5" t="inlineStr">
        <is>
          <t>S1</t>
        </is>
      </c>
      <c r="D332" s="21" t="str">
        <f>IFERROR(VLOOKUP($G332,'02_REFERENCE'!$A$2:$S$99,4,FALSE),"N/A")</f>
        <v>Spoofing</v>
      </c>
      <c r="E332" s="21" t="str">
        <f>IFERROR(VLOOKUP($G332,'02_REFERENCE'!$A$2:$S$99,15,FALSE),"N/A")</f>
        <v>High</v>
      </c>
      <c r="F332" s="21" t="str">
        <f>IFERROR(VLOOKUP($G332,'02_REFERENCE'!$A$2:$S$99,17,FALSE),"N/A")</f>
        <v>Yes</v>
      </c>
      <c r="G332" s="21" t="inlineStr">
        <is>
          <t>S1-RT-036</t>
        </is>
      </c>
      <c r="H332" s="21" t="inlineStr">
        <is>
          <t>Duplicate</t>
        </is>
      </c>
      <c r="I332" s="21" t="inlineStr">
        <is>
          <t>TP</t>
        </is>
      </c>
      <c r="J332" s="21" t="inlineStr">
        <is>
          <t>L</t>
        </is>
      </c>
      <c r="K332" s="21" t="inlineStr">
        <is>
          <t>N</t>
        </is>
      </c>
      <c r="L332" s="21" t="inlineStr">
        <is>
          <t>Yes</t>
        </is>
      </c>
      <c r="M332" s="21" t="inlineStr">
        <is>
          <t>THREMOLIA-S1-F003</t>
        </is>
      </c>
      <c r="N332" s="22" t="inlineStr">
        <is>
          <t>Mechanism class model_substitution; evidence: Tampering with assembled prompt request payload between AI C [Equivalence: restates THREMOLIA-S1-F003 — one-to-one rule applied.]</t>
        </is>
      </c>
      <c r="O332" s="5" t="inlineStr">
        <is>
          <t>model_substitution</t>
        </is>
      </c>
      <c r="P332" s="16" t="inlineStr"/>
      <c r="Q332" s="16" t="inlineStr">
        <is>
          <t>DF12: Prompt Request</t>
        </is>
      </c>
      <c r="R332" s="16" t="inlineStr"/>
      <c r="S332" s="5" t="inlineStr">
        <is>
          <t>Manual review</t>
        </is>
      </c>
    </row>
    <row r="333" ht="16" customHeight="1">
      <c r="A333" s="5" t="inlineStr">
        <is>
          <t>THREMOLIA-S1-F087</t>
        </is>
      </c>
      <c r="B333" s="5" t="inlineStr">
        <is>
          <t>THREMOLIA</t>
        </is>
      </c>
      <c r="C333" s="5" t="inlineStr">
        <is>
          <t>S1</t>
        </is>
      </c>
      <c r="D333" s="21" t="str">
        <f>IFERROR(VLOOKUP($G333,'02_REFERENCE'!$A$2:$S$99,4,FALSE),"N/A")</f>
        <v>Information Disclosure</v>
      </c>
      <c r="E333" s="21" t="str">
        <f>IFERROR(VLOOKUP($G333,'02_REFERENCE'!$A$2:$S$99,15,FALSE),"N/A")</f>
        <v>High</v>
      </c>
      <c r="F333" s="21" t="str">
        <f>IFERROR(VLOOKUP($G333,'02_REFERENCE'!$A$2:$S$99,17,FALSE),"N/A")</f>
        <v>Yes</v>
      </c>
      <c r="G333" s="21" t="inlineStr">
        <is>
          <t>S1-RT-024</t>
        </is>
      </c>
      <c r="H333" s="21" t="inlineStr">
        <is>
          <t>Duplicate</t>
        </is>
      </c>
      <c r="I333" s="21" t="inlineStr">
        <is>
          <t>TP</t>
        </is>
      </c>
      <c r="J333" s="21" t="inlineStr">
        <is>
          <t>M</t>
        </is>
      </c>
      <c r="K333" s="21" t="inlineStr">
        <is>
          <t>N</t>
        </is>
      </c>
      <c r="L333" s="21" t="inlineStr">
        <is>
          <t>Yes</t>
        </is>
      </c>
      <c r="M333" s="21" t="inlineStr">
        <is>
          <t>THREMOLIA-S1-F081</t>
        </is>
      </c>
      <c r="N333" s="22" t="inlineStr">
        <is>
          <t>Mechanism class sensitive_to_llm; evidence: inclusion of session tokens, passwords, or internal applicat [Equivalence: restates THREMOLIA-S1-F081 — one-to-one rule applied.]</t>
        </is>
      </c>
      <c r="O333" s="5" t="inlineStr">
        <is>
          <t>sensitive_to_llm</t>
        </is>
      </c>
      <c r="P333" s="16" t="inlineStr"/>
      <c r="Q333" s="16" t="inlineStr">
        <is>
          <t>DF12: Prompt Request</t>
        </is>
      </c>
      <c r="R333" s="16" t="inlineStr"/>
      <c r="S333" s="5" t="inlineStr">
        <is>
          <t>Confirmed</t>
        </is>
      </c>
    </row>
    <row r="334" ht="16" customHeight="1">
      <c r="A334" s="5" t="inlineStr">
        <is>
          <t>THREMOLIA-S1-F088</t>
        </is>
      </c>
      <c r="B334" s="5" t="inlineStr">
        <is>
          <t>THREMOLIA</t>
        </is>
      </c>
      <c r="C334" s="5" t="inlineStr">
        <is>
          <t>S1</t>
        </is>
      </c>
      <c r="D334" s="21" t="str">
        <f>IFERROR(VLOOKUP($G334,'02_REFERENCE'!$A$2:$S$99,4,FALSE),"N/A")</f>
        <v>Denial of Service</v>
      </c>
      <c r="E334" s="21" t="str">
        <f>IFERROR(VLOOKUP($G334,'02_REFERENCE'!$A$2:$S$99,15,FALSE),"N/A")</f>
        <v>Medium</v>
      </c>
      <c r="F334" s="21" t="str">
        <f>IFERROR(VLOOKUP($G334,'02_REFERENCE'!$A$2:$S$99,17,FALSE),"N/A")</f>
        <v>Yes</v>
      </c>
      <c r="G334" s="21" t="inlineStr">
        <is>
          <t>S1-RT-030</t>
        </is>
      </c>
      <c r="H334" s="21" t="inlineStr">
        <is>
          <t>Primary TP</t>
        </is>
      </c>
      <c r="I334" s="21" t="inlineStr">
        <is>
          <t>TP</t>
        </is>
      </c>
      <c r="J334" s="21" t="inlineStr">
        <is>
          <t>H</t>
        </is>
      </c>
      <c r="K334" s="21" t="inlineStr">
        <is>
          <t>Y</t>
        </is>
      </c>
      <c r="L334" s="21" t="inlineStr">
        <is>
          <t>No</t>
        </is>
      </c>
      <c r="M334" s="21" t="inlineStr"/>
      <c r="N334" s="22" t="inlineStr">
        <is>
          <t>Mechanism class llm_consumption (victim-based DoS routing); evidence: Rapid succession of prompt; prompt requests exhaust</t>
        </is>
      </c>
      <c r="O334" s="5" t="inlineStr">
        <is>
          <t>dos_service</t>
        </is>
      </c>
      <c r="P334" s="16" t="inlineStr"/>
      <c r="Q334" s="16" t="inlineStr">
        <is>
          <t>DF12: Prompt Request</t>
        </is>
      </c>
      <c r="R334" s="16" t="inlineStr"/>
      <c r="S334" s="5" t="inlineStr">
        <is>
          <t>Confirmed</t>
        </is>
      </c>
    </row>
    <row r="335" ht="16" customHeight="1">
      <c r="A335" s="5" t="inlineStr">
        <is>
          <t>THREMOLIA-S1-F089</t>
        </is>
      </c>
      <c r="B335" s="5" t="inlineStr">
        <is>
          <t>THREMOLIA</t>
        </is>
      </c>
      <c r="C335" s="5" t="inlineStr">
        <is>
          <t>S1</t>
        </is>
      </c>
      <c r="D335" s="21" t="str">
        <f>IFERROR(VLOOKUP($G335,'02_REFERENCE'!$A$2:$S$99,4,FALSE),"N/A")</f>
        <v>N/A</v>
      </c>
      <c r="E335" s="21" t="str">
        <f>IFERROR(VLOOKUP($G335,'02_REFERENCE'!$A$2:$S$99,15,FALSE),"N/A")</f>
        <v>N/A</v>
      </c>
      <c r="F335" s="21" t="str">
        <f>IFERROR(VLOOKUP($G335,'02_REFERENCE'!$A$2:$S$99,17,FALSE),"N/A")</f>
        <v>N/A</v>
      </c>
      <c r="G335" s="21" t="inlineStr"/>
      <c r="H335" s="21" t="inlineStr">
        <is>
          <t>False Positive</t>
        </is>
      </c>
      <c r="I335" s="21" t="inlineStr">
        <is>
          <t>FP</t>
        </is>
      </c>
      <c r="J335" s="21" t="inlineStr">
        <is>
          <t>M</t>
        </is>
      </c>
      <c r="K335" s="21" t="inlineStr">
        <is>
          <t>N</t>
        </is>
      </c>
      <c r="L335" s="21" t="inlineStr">
        <is>
          <t>No</t>
        </is>
      </c>
      <c r="M335" s="21" t="inlineStr"/>
      <c r="N335" s="22" t="inlineStr">
        <is>
          <t>No reference threat corresponds to this finding's mechanism (scoring found no class with sufficient evidence).</t>
        </is>
      </c>
      <c r="O335" s="5" t="inlineStr"/>
      <c r="P335" s="16" t="inlineStr"/>
      <c r="Q335" s="16" t="inlineStr">
        <is>
          <t>SF3: Approved Context Query</t>
        </is>
      </c>
      <c r="R335" s="16" t="inlineStr"/>
      <c r="S335" s="5" t="inlineStr">
        <is>
          <t>Confirmed</t>
        </is>
      </c>
    </row>
    <row r="336" ht="16" customHeight="1">
      <c r="A336" s="5" t="inlineStr">
        <is>
          <t>THREMOLIA-S1-F090</t>
        </is>
      </c>
      <c r="B336" s="5" t="inlineStr">
        <is>
          <t>THREMOLIA</t>
        </is>
      </c>
      <c r="C336" s="5" t="inlineStr">
        <is>
          <t>S1</t>
        </is>
      </c>
      <c r="D336" s="21" t="str">
        <f>IFERROR(VLOOKUP($G336,'02_REFERENCE'!$A$2:$S$99,4,FALSE),"N/A")</f>
        <v>N/A</v>
      </c>
      <c r="E336" s="21" t="str">
        <f>IFERROR(VLOOKUP($G336,'02_REFERENCE'!$A$2:$S$99,15,FALSE),"N/A")</f>
        <v>N/A</v>
      </c>
      <c r="F336" s="21" t="str">
        <f>IFERROR(VLOOKUP($G336,'02_REFERENCE'!$A$2:$S$99,17,FALSE),"N/A")</f>
        <v>N/A</v>
      </c>
      <c r="G336" s="21" t="inlineStr"/>
      <c r="H336" s="21" t="inlineStr">
        <is>
          <t>False Positive</t>
        </is>
      </c>
      <c r="I336" s="21" t="inlineStr">
        <is>
          <t>FP</t>
        </is>
      </c>
      <c r="J336" s="21" t="inlineStr">
        <is>
          <t>M</t>
        </is>
      </c>
      <c r="K336" s="21" t="inlineStr">
        <is>
          <t>N</t>
        </is>
      </c>
      <c r="L336" s="21" t="inlineStr">
        <is>
          <t>No</t>
        </is>
      </c>
      <c r="M336" s="21" t="inlineStr"/>
      <c r="N336" s="22" t="inlineStr">
        <is>
          <t>Template-class transit_data_general (no reference threat): Interception of context query</t>
        </is>
      </c>
      <c r="O336" s="5" t="inlineStr">
        <is>
          <t>transit_data_general</t>
        </is>
      </c>
      <c r="P336" s="16" t="inlineStr"/>
      <c r="Q336" s="16" t="inlineStr">
        <is>
          <t>SF3: Approved Context Query</t>
        </is>
      </c>
      <c r="R336" s="16" t="inlineStr"/>
      <c r="S336" s="5" t="inlineStr">
        <is>
          <t>Confirmed</t>
        </is>
      </c>
    </row>
    <row r="337" ht="16" customHeight="1">
      <c r="A337" s="5" t="inlineStr">
        <is>
          <t>THREMOLIA-S1-F091</t>
        </is>
      </c>
      <c r="B337" s="5" t="inlineStr">
        <is>
          <t>THREMOLIA</t>
        </is>
      </c>
      <c r="C337" s="5" t="inlineStr">
        <is>
          <t>S1</t>
        </is>
      </c>
      <c r="D337" s="21" t="str">
        <f>IFERROR(VLOOKUP($G337,'02_REFERENCE'!$A$2:$S$99,4,FALSE),"N/A")</f>
        <v>Denial of Service</v>
      </c>
      <c r="E337" s="21" t="str">
        <f>IFERROR(VLOOKUP($G337,'02_REFERENCE'!$A$2:$S$99,15,FALSE),"N/A")</f>
        <v>Medium</v>
      </c>
      <c r="F337" s="21" t="str">
        <f>IFERROR(VLOOKUP($G337,'02_REFERENCE'!$A$2:$S$99,17,FALSE),"N/A")</f>
        <v>Yes</v>
      </c>
      <c r="G337" s="21" t="inlineStr">
        <is>
          <t>S1-RT-030</t>
        </is>
      </c>
      <c r="H337" s="21" t="inlineStr">
        <is>
          <t>Duplicate</t>
        </is>
      </c>
      <c r="I337" s="21" t="inlineStr">
        <is>
          <t>TP</t>
        </is>
      </c>
      <c r="J337" s="21" t="inlineStr">
        <is>
          <t>M</t>
        </is>
      </c>
      <c r="K337" s="21" t="inlineStr">
        <is>
          <t>N</t>
        </is>
      </c>
      <c r="L337" s="21" t="inlineStr">
        <is>
          <t>Yes</t>
        </is>
      </c>
      <c r="M337" s="21" t="inlineStr">
        <is>
          <t>THREMOLIA-S1-F088</t>
        </is>
      </c>
      <c r="N337" s="22" t="inlineStr">
        <is>
          <t>Mechanism class dos_service (victim-based DoS routing); evidence: Flood [Equivalence: restates THREMOLIA-S1-F088 — one-to-one rule applied.]</t>
        </is>
      </c>
      <c r="O337" s="5" t="inlineStr">
        <is>
          <t>dos_service</t>
        </is>
      </c>
      <c r="P337" s="16" t="inlineStr"/>
      <c r="Q337" s="16" t="inlineStr">
        <is>
          <t>SF3: Approved Context Query</t>
        </is>
      </c>
      <c r="R337" s="16" t="inlineStr"/>
      <c r="S337" s="5" t="inlineStr">
        <is>
          <t>Confirmed</t>
        </is>
      </c>
    </row>
    <row r="338" ht="16" customHeight="1">
      <c r="A338" s="5" t="inlineStr">
        <is>
          <t>THREMOLIA-S1-F092</t>
        </is>
      </c>
      <c r="B338" s="5" t="inlineStr">
        <is>
          <t>THREMOLIA</t>
        </is>
      </c>
      <c r="C338" s="5" t="inlineStr">
        <is>
          <t>S1</t>
        </is>
      </c>
      <c r="D338" s="21" t="str">
        <f>IFERROR(VLOOKUP($G338,'02_REFERENCE'!$A$2:$S$99,4,FALSE),"N/A")</f>
        <v>Tampering</v>
      </c>
      <c r="E338" s="21" t="str">
        <f>IFERROR(VLOOKUP($G338,'02_REFERENCE'!$A$2:$S$99,15,FALSE),"N/A")</f>
        <v>High</v>
      </c>
      <c r="F338" s="21" t="str">
        <f>IFERROR(VLOOKUP($G338,'02_REFERENCE'!$A$2:$S$99,17,FALSE),"N/A")</f>
        <v>Yes</v>
      </c>
      <c r="G338" s="21" t="inlineStr">
        <is>
          <t>S1-RT-023</t>
        </is>
      </c>
      <c r="H338" s="21" t="inlineStr">
        <is>
          <t>Primary TP</t>
        </is>
      </c>
      <c r="I338" s="21" t="inlineStr">
        <is>
          <t>TP</t>
        </is>
      </c>
      <c r="J338" s="21" t="inlineStr">
        <is>
          <t>H</t>
        </is>
      </c>
      <c r="K338" s="21" t="inlineStr">
        <is>
          <t>Y</t>
        </is>
      </c>
      <c r="L338" s="21" t="inlineStr">
        <is>
          <t>No</t>
        </is>
      </c>
      <c r="M338" s="21" t="inlineStr"/>
      <c r="N338" s="22" t="inlineStr">
        <is>
          <t xml:space="preserve">Mechanism class prompt_injection_indirect; evidence: indirect prompt injection; knowledge base articles in transit to inject indirect prompt; Tampering with retrieved knowledge base articles in transit </t>
        </is>
      </c>
      <c r="O338" s="5" t="inlineStr">
        <is>
          <t>prompt_injection_indirect</t>
        </is>
      </c>
      <c r="P338" s="16" t="inlineStr"/>
      <c r="Q338" s="16" t="inlineStr">
        <is>
          <t>SF4: Approved Context Data</t>
        </is>
      </c>
      <c r="R338" s="16" t="inlineStr"/>
      <c r="S338" s="5" t="inlineStr">
        <is>
          <t>Confirmed</t>
        </is>
      </c>
    </row>
    <row r="339" ht="16" customHeight="1">
      <c r="A339" s="5" t="inlineStr">
        <is>
          <t>THREMOLIA-S1-F093</t>
        </is>
      </c>
      <c r="B339" s="5" t="inlineStr">
        <is>
          <t>THREMOLIA</t>
        </is>
      </c>
      <c r="C339" s="5" t="inlineStr">
        <is>
          <t>S1</t>
        </is>
      </c>
      <c r="D339" s="21" t="str">
        <f>IFERROR(VLOOKUP($G339,'02_REFERENCE'!$A$2:$S$99,4,FALSE),"N/A")</f>
        <v>N/A</v>
      </c>
      <c r="E339" s="21" t="str">
        <f>IFERROR(VLOOKUP($G339,'02_REFERENCE'!$A$2:$S$99,15,FALSE),"N/A")</f>
        <v>N/A</v>
      </c>
      <c r="F339" s="21" t="str">
        <f>IFERROR(VLOOKUP($G339,'02_REFERENCE'!$A$2:$S$99,17,FALSE),"N/A")</f>
        <v>N/A</v>
      </c>
      <c r="G339" s="21" t="inlineStr"/>
      <c r="H339" s="21" t="inlineStr">
        <is>
          <t>False Positive</t>
        </is>
      </c>
      <c r="I339" s="21" t="inlineStr">
        <is>
          <t>FP</t>
        </is>
      </c>
      <c r="J339" s="21" t="inlineStr">
        <is>
          <t>H</t>
        </is>
      </c>
      <c r="K339" s="21" t="inlineStr">
        <is>
          <t>N</t>
        </is>
      </c>
      <c r="L339" s="21" t="inlineStr">
        <is>
          <t>No</t>
        </is>
      </c>
      <c r="M339" s="21" t="inlineStr"/>
      <c r="N339" s="22" t="inlineStr">
        <is>
          <t>Template-class transit_data_general (no reference threat): in transit crossing internal trust boundaries.  SF4: Approve; articles in transit</t>
        </is>
      </c>
      <c r="O339" s="5" t="inlineStr">
        <is>
          <t>transit_data_general</t>
        </is>
      </c>
      <c r="P339" s="16" t="inlineStr"/>
      <c r="Q339" s="16" t="inlineStr">
        <is>
          <t>SF4: Approved Context Data</t>
        </is>
      </c>
      <c r="R339" s="16" t="inlineStr"/>
      <c r="S339" s="5" t="inlineStr">
        <is>
          <t>Confirmed</t>
        </is>
      </c>
    </row>
    <row r="340" ht="16" customHeight="1">
      <c r="A340" s="5" t="inlineStr">
        <is>
          <t>THREMOLIA-S1-F094</t>
        </is>
      </c>
      <c r="B340" s="5" t="inlineStr">
        <is>
          <t>THREMOLIA</t>
        </is>
      </c>
      <c r="C340" s="5" t="inlineStr">
        <is>
          <t>S1</t>
        </is>
      </c>
      <c r="D340" s="21" t="str">
        <f>IFERROR(VLOOKUP($G340,'02_REFERENCE'!$A$2:$S$99,4,FALSE),"N/A")</f>
        <v>Denial of Service</v>
      </c>
      <c r="E340" s="21" t="str">
        <f>IFERROR(VLOOKUP($G340,'02_REFERENCE'!$A$2:$S$99,15,FALSE),"N/A")</f>
        <v>Medium</v>
      </c>
      <c r="F340" s="21" t="str">
        <f>IFERROR(VLOOKUP($G340,'02_REFERENCE'!$A$2:$S$99,17,FALSE),"N/A")</f>
        <v>Yes</v>
      </c>
      <c r="G340" s="21" t="inlineStr">
        <is>
          <t>S1-RT-030</t>
        </is>
      </c>
      <c r="H340" s="21" t="inlineStr">
        <is>
          <t>Duplicate</t>
        </is>
      </c>
      <c r="I340" s="21" t="inlineStr">
        <is>
          <t>TP</t>
        </is>
      </c>
      <c r="J340" s="21" t="inlineStr">
        <is>
          <t>M</t>
        </is>
      </c>
      <c r="K340" s="21" t="inlineStr">
        <is>
          <t>N</t>
        </is>
      </c>
      <c r="L340" s="21" t="inlineStr">
        <is>
          <t>Yes</t>
        </is>
      </c>
      <c r="M340" s="21" t="inlineStr">
        <is>
          <t>THREMOLIA-S1-F088</t>
        </is>
      </c>
      <c r="N340" s="22" t="inlineStr">
        <is>
          <t>Mechanism class llm_consumption (victim-based DoS routing); evidence: excessive inter-service bandwidth.  SF4: Approved Context [Equivalence: restates THREMOLIA-S1-F088 — one-to-one rule applied.]</t>
        </is>
      </c>
      <c r="O340" s="5" t="inlineStr">
        <is>
          <t>dos_service</t>
        </is>
      </c>
      <c r="P340" s="16" t="inlineStr"/>
      <c r="Q340" s="16" t="inlineStr">
        <is>
          <t>SF4: Approved Context Data</t>
        </is>
      </c>
      <c r="R340" s="16" t="inlineStr"/>
      <c r="S340" s="5" t="inlineStr">
        <is>
          <t>Confirmed</t>
        </is>
      </c>
    </row>
    <row r="341" ht="16" customHeight="1">
      <c r="A341" s="5" t="inlineStr">
        <is>
          <t>THREMOLIA-S1-F095</t>
        </is>
      </c>
      <c r="B341" s="5" t="inlineStr">
        <is>
          <t>THREMOLIA</t>
        </is>
      </c>
      <c r="C341" s="5" t="inlineStr">
        <is>
          <t>S1</t>
        </is>
      </c>
      <c r="D341" s="21" t="str">
        <f>IFERROR(VLOOKUP($G341,'02_REFERENCE'!$A$2:$S$99,4,FALSE),"N/A")</f>
        <v>Information Disclosure</v>
      </c>
      <c r="E341" s="21" t="str">
        <f>IFERROR(VLOOKUP($G341,'02_REFERENCE'!$A$2:$S$99,15,FALSE),"N/A")</f>
        <v>High</v>
      </c>
      <c r="F341" s="21" t="str">
        <f>IFERROR(VLOOKUP($G341,'02_REFERENCE'!$A$2:$S$99,17,FALSE),"N/A")</f>
        <v>Yes</v>
      </c>
      <c r="G341" s="21" t="inlineStr">
        <is>
          <t>S1-RT-024</t>
        </is>
      </c>
      <c r="H341" s="21" t="inlineStr">
        <is>
          <t>Duplicate</t>
        </is>
      </c>
      <c r="I341" s="21" t="inlineStr">
        <is>
          <t>TP</t>
        </is>
      </c>
      <c r="J341" s="21" t="inlineStr">
        <is>
          <t>L</t>
        </is>
      </c>
      <c r="K341" s="21" t="inlineStr">
        <is>
          <t>N</t>
        </is>
      </c>
      <c r="L341" s="21" t="inlineStr">
        <is>
          <t>Yes</t>
        </is>
      </c>
      <c r="M341" s="21" t="inlineStr">
        <is>
          <t>THREMOLIA-S1-F081</t>
        </is>
      </c>
      <c r="N341" s="22" t="inlineStr">
        <is>
          <t>Mechanism class sensitive_to_llm; evidence: context data crossing TB2 boundary to the External [Equivalence: restates THREMOLIA-S1-F081 — one-to-one rule applied.]</t>
        </is>
      </c>
      <c r="O341" s="5" t="inlineStr">
        <is>
          <t>sensitive_to_llm</t>
        </is>
      </c>
      <c r="P341" s="16" t="inlineStr"/>
      <c r="Q341" s="16" t="inlineStr">
        <is>
          <t>DF13: Prompt and Context Data</t>
        </is>
      </c>
      <c r="R341" s="16" t="inlineStr"/>
      <c r="S341" s="5" t="inlineStr">
        <is>
          <t>Manual review</t>
        </is>
      </c>
    </row>
    <row r="342" ht="16" customHeight="1">
      <c r="A342" s="5" t="inlineStr">
        <is>
          <t>THREMOLIA-S1-F096</t>
        </is>
      </c>
      <c r="B342" s="5" t="inlineStr">
        <is>
          <t>THREMOLIA</t>
        </is>
      </c>
      <c r="C342" s="5" t="inlineStr">
        <is>
          <t>S1</t>
        </is>
      </c>
      <c r="D342" s="21" t="str">
        <f>IFERROR(VLOOKUP($G342,'02_REFERENCE'!$A$2:$S$99,4,FALSE),"N/A")</f>
        <v>Information Disclosure</v>
      </c>
      <c r="E342" s="21" t="str">
        <f>IFERROR(VLOOKUP($G342,'02_REFERENCE'!$A$2:$S$99,15,FALSE),"N/A")</f>
        <v>High</v>
      </c>
      <c r="F342" s="21" t="str">
        <f>IFERROR(VLOOKUP($G342,'02_REFERENCE'!$A$2:$S$99,17,FALSE),"N/A")</f>
        <v>Yes</v>
      </c>
      <c r="G342" s="21" t="inlineStr">
        <is>
          <t>S1-RT-024</t>
        </is>
      </c>
      <c r="H342" s="21" t="inlineStr">
        <is>
          <t>Duplicate</t>
        </is>
      </c>
      <c r="I342" s="21" t="inlineStr">
        <is>
          <t>TP</t>
        </is>
      </c>
      <c r="J342" s="21" t="inlineStr">
        <is>
          <t>M</t>
        </is>
      </c>
      <c r="K342" s="21" t="inlineStr">
        <is>
          <t>N</t>
        </is>
      </c>
      <c r="L342" s="21" t="inlineStr">
        <is>
          <t>Yes</t>
        </is>
      </c>
      <c r="M342" s="21" t="inlineStr">
        <is>
          <t>THREMOLIA-S1-F081</t>
        </is>
      </c>
      <c r="N342" s="22" t="inlineStr">
        <is>
          <t>Mechanism class sensitive_to_llm; evidence: confidential user PII to the third-party LLM provider [Equivalence: restates THREMOLIA-S1-F081 — one-to-one rule applied.]</t>
        </is>
      </c>
      <c r="O342" s="5" t="inlineStr">
        <is>
          <t>sensitive_to_llm</t>
        </is>
      </c>
      <c r="P342" s="16" t="inlineStr"/>
      <c r="Q342" s="16" t="inlineStr">
        <is>
          <t>DF13: Prompt and Context Data</t>
        </is>
      </c>
      <c r="R342" s="16" t="inlineStr"/>
      <c r="S342" s="5" t="inlineStr">
        <is>
          <t>Confirmed</t>
        </is>
      </c>
    </row>
    <row r="343" ht="16" customHeight="1">
      <c r="A343" s="5" t="inlineStr">
        <is>
          <t>THREMOLIA-S1-F097</t>
        </is>
      </c>
      <c r="B343" s="5" t="inlineStr">
        <is>
          <t>THREMOLIA</t>
        </is>
      </c>
      <c r="C343" s="5" t="inlineStr">
        <is>
          <t>S1</t>
        </is>
      </c>
      <c r="D343" s="21" t="str">
        <f>IFERROR(VLOOKUP($G343,'02_REFERENCE'!$A$2:$S$99,4,FALSE),"N/A")</f>
        <v>Denial of Service</v>
      </c>
      <c r="E343" s="21" t="str">
        <f>IFERROR(VLOOKUP($G343,'02_REFERENCE'!$A$2:$S$99,15,FALSE),"N/A")</f>
        <v>Medium</v>
      </c>
      <c r="F343" s="21" t="str">
        <f>IFERROR(VLOOKUP($G343,'02_REFERENCE'!$A$2:$S$99,17,FALSE),"N/A")</f>
        <v>Yes</v>
      </c>
      <c r="G343" s="21" t="inlineStr">
        <is>
          <t>S1-RT-029</t>
        </is>
      </c>
      <c r="H343" s="21" t="inlineStr">
        <is>
          <t>Duplicate</t>
        </is>
      </c>
      <c r="I343" s="21" t="inlineStr">
        <is>
          <t>TP</t>
        </is>
      </c>
      <c r="J343" s="21" t="inlineStr">
        <is>
          <t>M</t>
        </is>
      </c>
      <c r="K343" s="21" t="inlineStr">
        <is>
          <t>N</t>
        </is>
      </c>
      <c r="L343" s="21" t="inlineStr">
        <is>
          <t>Yes</t>
        </is>
      </c>
      <c r="M343" s="21" t="inlineStr">
        <is>
          <t>THREMOLIA-S1-F033</t>
        </is>
      </c>
      <c r="N343" s="22" t="inlineStr">
        <is>
          <t>Mechanism class llm_unavailable; evidence: Exhaustion of outbound API connection pool or third-party [Equivalence: restates THREMOLIA-S1-F033 — one-to-one rule applied.]</t>
        </is>
      </c>
      <c r="O343" s="5" t="inlineStr">
        <is>
          <t>llm_unavailable</t>
        </is>
      </c>
      <c r="P343" s="16" t="inlineStr"/>
      <c r="Q343" s="16" t="inlineStr">
        <is>
          <t>DF13: Prompt and Context Data</t>
        </is>
      </c>
      <c r="R343" s="16" t="inlineStr"/>
      <c r="S343" s="5" t="inlineStr">
        <is>
          <t>Confirmed</t>
        </is>
      </c>
    </row>
    <row r="344" ht="16" customHeight="1">
      <c r="A344" s="5" t="inlineStr">
        <is>
          <t>THREMOLIA-S1-F098</t>
        </is>
      </c>
      <c r="B344" s="5" t="inlineStr">
        <is>
          <t>THREMOLIA</t>
        </is>
      </c>
      <c r="C344" s="5" t="inlineStr">
        <is>
          <t>S1</t>
        </is>
      </c>
      <c r="D344" s="21" t="str">
        <f>IFERROR(VLOOKUP($G344,'02_REFERENCE'!$A$2:$S$99,4,FALSE),"N/A")</f>
        <v>Spoofing</v>
      </c>
      <c r="E344" s="21" t="str">
        <f>IFERROR(VLOOKUP($G344,'02_REFERENCE'!$A$2:$S$99,15,FALSE),"N/A")</f>
        <v>High</v>
      </c>
      <c r="F344" s="21" t="str">
        <f>IFERROR(VLOOKUP($G344,'02_REFERENCE'!$A$2:$S$99,17,FALSE),"N/A")</f>
        <v>Yes</v>
      </c>
      <c r="G344" s="21" t="inlineStr">
        <is>
          <t>S1-RT-036</t>
        </is>
      </c>
      <c r="H344" s="21" t="inlineStr">
        <is>
          <t>Duplicate</t>
        </is>
      </c>
      <c r="I344" s="21" t="inlineStr">
        <is>
          <t>TP</t>
        </is>
      </c>
      <c r="J344" s="21" t="inlineStr">
        <is>
          <t>H</t>
        </is>
      </c>
      <c r="K344" s="21" t="inlineStr">
        <is>
          <t>N</t>
        </is>
      </c>
      <c r="L344" s="21" t="inlineStr">
        <is>
          <t>Yes</t>
        </is>
      </c>
      <c r="M344" s="21" t="inlineStr">
        <is>
          <t>THREMOLIA-S1-F003</t>
        </is>
      </c>
      <c r="N344" s="22" t="inlineStr">
        <is>
          <t>Mechanism class model_substitution; evidence: tampering or provider; provider compromis; tampering or provider [Equivalence: restates THREMOLIA-S1-F003 — one-to-one rule applied.]</t>
        </is>
      </c>
      <c r="O344" s="5" t="inlineStr">
        <is>
          <t>model_substitution</t>
        </is>
      </c>
      <c r="P344" s="16" t="inlineStr"/>
      <c r="Q344" s="16" t="inlineStr">
        <is>
          <t>DF14: Generated Response</t>
        </is>
      </c>
      <c r="R344" s="16" t="inlineStr"/>
      <c r="S344" s="5" t="inlineStr">
        <is>
          <t>Confirmed</t>
        </is>
      </c>
    </row>
    <row r="345" ht="16" customHeight="1">
      <c r="A345" s="5" t="inlineStr">
        <is>
          <t>THREMOLIA-S1-F099</t>
        </is>
      </c>
      <c r="B345" s="5" t="inlineStr">
        <is>
          <t>THREMOLIA</t>
        </is>
      </c>
      <c r="C345" s="5" t="inlineStr">
        <is>
          <t>S1</t>
        </is>
      </c>
      <c r="D345" s="21" t="str">
        <f>IFERROR(VLOOKUP($G345,'02_REFERENCE'!$A$2:$S$99,4,FALSE),"N/A")</f>
        <v>Information Disclosure</v>
      </c>
      <c r="E345" s="21" t="str">
        <f>IFERROR(VLOOKUP($G345,'02_REFERENCE'!$A$2:$S$99,15,FALSE),"N/A")</f>
        <v>Medium</v>
      </c>
      <c r="F345" s="21" t="str">
        <f>IFERROR(VLOOKUP($G345,'02_REFERENCE'!$A$2:$S$99,17,FALSE),"N/A")</f>
        <v>Yes</v>
      </c>
      <c r="G345" s="21" t="inlineStr">
        <is>
          <t>S1-RT-026</t>
        </is>
      </c>
      <c r="H345" s="21" t="inlineStr">
        <is>
          <t>Primary TP</t>
        </is>
      </c>
      <c r="I345" s="21" t="inlineStr">
        <is>
          <t>TP</t>
        </is>
      </c>
      <c r="J345" s="21" t="inlineStr">
        <is>
          <t>M</t>
        </is>
      </c>
      <c r="K345" s="21" t="inlineStr">
        <is>
          <t>Y</t>
        </is>
      </c>
      <c r="L345" s="21" t="inlineStr">
        <is>
          <t>No</t>
        </is>
      </c>
      <c r="M345" s="21" t="inlineStr"/>
      <c r="N345" s="22" t="inlineStr">
        <is>
          <t>Mechanism class kb_disclosure; evidence: leaks model training</t>
        </is>
      </c>
      <c r="O345" s="5" t="inlineStr">
        <is>
          <t>kb_disclosure</t>
        </is>
      </c>
      <c r="P345" s="16" t="inlineStr"/>
      <c r="Q345" s="16" t="inlineStr">
        <is>
          <t>DF14: Generated Response</t>
        </is>
      </c>
      <c r="R345" s="16" t="inlineStr"/>
      <c r="S345" s="5" t="inlineStr">
        <is>
          <t>Confirmed</t>
        </is>
      </c>
    </row>
    <row r="346" ht="16" customHeight="1">
      <c r="A346" s="5" t="inlineStr">
        <is>
          <t>THREMOLIA-S1-F100</t>
        </is>
      </c>
      <c r="B346" s="5" t="inlineStr">
        <is>
          <t>THREMOLIA</t>
        </is>
      </c>
      <c r="C346" s="5" t="inlineStr">
        <is>
          <t>S1</t>
        </is>
      </c>
      <c r="D346" s="21" t="str">
        <f>IFERROR(VLOOKUP($G346,'02_REFERENCE'!$A$2:$S$99,4,FALSE),"N/A")</f>
        <v>Denial of Service</v>
      </c>
      <c r="E346" s="21" t="str">
        <f>IFERROR(VLOOKUP($G346,'02_REFERENCE'!$A$2:$S$99,15,FALSE),"N/A")</f>
        <v>Medium</v>
      </c>
      <c r="F346" s="21" t="str">
        <f>IFERROR(VLOOKUP($G346,'02_REFERENCE'!$A$2:$S$99,17,FALSE),"N/A")</f>
        <v>Yes</v>
      </c>
      <c r="G346" s="21" t="inlineStr">
        <is>
          <t>S1-RT-029</t>
        </is>
      </c>
      <c r="H346" s="21" t="inlineStr">
        <is>
          <t>Duplicate</t>
        </is>
      </c>
      <c r="I346" s="21" t="inlineStr">
        <is>
          <t>TP</t>
        </is>
      </c>
      <c r="J346" s="21" t="inlineStr">
        <is>
          <t>M</t>
        </is>
      </c>
      <c r="K346" s="21" t="inlineStr">
        <is>
          <t>N</t>
        </is>
      </c>
      <c r="L346" s="21" t="inlineStr">
        <is>
          <t>Yes</t>
        </is>
      </c>
      <c r="M346" s="21" t="inlineStr">
        <is>
          <t>THREMOLIA-S1-F033</t>
        </is>
      </c>
      <c r="N346" s="22" t="inlineStr">
        <is>
          <t>Mechanism class llm_unavailable; evidence: External LLM stream stalls or returns extremely slow [Equivalence: restates THREMOLIA-S1-F033 — one-to-one rule applied.]</t>
        </is>
      </c>
      <c r="O346" s="5" t="inlineStr">
        <is>
          <t>llm_unavailable</t>
        </is>
      </c>
      <c r="P346" s="16" t="inlineStr"/>
      <c r="Q346" s="16" t="inlineStr">
        <is>
          <t>DF14: Generated Response</t>
        </is>
      </c>
      <c r="R346" s="16" t="inlineStr"/>
      <c r="S346" s="5" t="inlineStr">
        <is>
          <t>Confirmed</t>
        </is>
      </c>
    </row>
    <row r="347" ht="16" customHeight="1">
      <c r="A347" s="5" t="inlineStr">
        <is>
          <t>THREMOLIA-S1-F101</t>
        </is>
      </c>
      <c r="B347" s="5" t="inlineStr">
        <is>
          <t>THREMOLIA</t>
        </is>
      </c>
      <c r="C347" s="5" t="inlineStr">
        <is>
          <t>S1</t>
        </is>
      </c>
      <c r="D347" s="21" t="str">
        <f>IFERROR(VLOOKUP($G347,'02_REFERENCE'!$A$2:$S$99,4,FALSE),"N/A")</f>
        <v>Spoofing</v>
      </c>
      <c r="E347" s="21" t="str">
        <f>IFERROR(VLOOKUP($G347,'02_REFERENCE'!$A$2:$S$99,15,FALSE),"N/A")</f>
        <v>High</v>
      </c>
      <c r="F347" s="21" t="str">
        <f>IFERROR(VLOOKUP($G347,'02_REFERENCE'!$A$2:$S$99,17,FALSE),"N/A")</f>
        <v>Yes</v>
      </c>
      <c r="G347" s="21" t="inlineStr">
        <is>
          <t>S1-RT-036</t>
        </is>
      </c>
      <c r="H347" s="21" t="inlineStr">
        <is>
          <t>Duplicate</t>
        </is>
      </c>
      <c r="I347" s="21" t="inlineStr">
        <is>
          <t>TP</t>
        </is>
      </c>
      <c r="J347" s="21" t="inlineStr">
        <is>
          <t>M</t>
        </is>
      </c>
      <c r="K347" s="21" t="inlineStr">
        <is>
          <t>N</t>
        </is>
      </c>
      <c r="L347" s="21" t="inlineStr">
        <is>
          <t>Yes</t>
        </is>
      </c>
      <c r="M347" s="21" t="inlineStr">
        <is>
          <t>THREMOLIA-S1-F003</t>
        </is>
      </c>
      <c r="N347" s="22" t="inlineStr">
        <is>
          <t>Mechanism class model_substitution; evidence: Tampering with sanitized response payload between LLM; Tampering with sanitized response payload between LLM [Equivalence: restates THREMOLIA-S1-F003 — one-to-one rule applied.]</t>
        </is>
      </c>
      <c r="O347" s="5" t="inlineStr">
        <is>
          <t>model_substitution</t>
        </is>
      </c>
      <c r="P347" s="16" t="inlineStr"/>
      <c r="Q347" s="16" t="inlineStr">
        <is>
          <t>DF15: Processed Response</t>
        </is>
      </c>
      <c r="R347" s="16" t="inlineStr"/>
      <c r="S347" s="5" t="inlineStr">
        <is>
          <t>Confirmed</t>
        </is>
      </c>
    </row>
    <row r="348" ht="16" customHeight="1">
      <c r="A348" s="5" t="inlineStr">
        <is>
          <t>THREMOLIA-S1-F102</t>
        </is>
      </c>
      <c r="B348" s="5" t="inlineStr">
        <is>
          <t>THREMOLIA</t>
        </is>
      </c>
      <c r="C348" s="5" t="inlineStr">
        <is>
          <t>S1</t>
        </is>
      </c>
      <c r="D348" s="21" t="str">
        <f>IFERROR(VLOOKUP($G348,'02_REFERENCE'!$A$2:$S$99,4,FALSE),"N/A")</f>
        <v>N/A</v>
      </c>
      <c r="E348" s="21" t="str">
        <f>IFERROR(VLOOKUP($G348,'02_REFERENCE'!$A$2:$S$99,15,FALSE),"N/A")</f>
        <v>N/A</v>
      </c>
      <c r="F348" s="21" t="str">
        <f>IFERROR(VLOOKUP($G348,'02_REFERENCE'!$A$2:$S$99,17,FALSE),"N/A")</f>
        <v>N/A</v>
      </c>
      <c r="G348" s="21" t="inlineStr"/>
      <c r="H348" s="21" t="inlineStr">
        <is>
          <t>False Positive</t>
        </is>
      </c>
      <c r="I348" s="21" t="inlineStr">
        <is>
          <t>FP</t>
        </is>
      </c>
      <c r="J348" s="21" t="inlineStr">
        <is>
          <t>M</t>
        </is>
      </c>
      <c r="K348" s="21" t="inlineStr">
        <is>
          <t>N</t>
        </is>
      </c>
      <c r="L348" s="21" t="inlineStr">
        <is>
          <t>No</t>
        </is>
      </c>
      <c r="M348" s="21" t="inlineStr"/>
      <c r="N348" s="22" t="inlineStr">
        <is>
          <t>Template-class transit_data_general (no reference threat): Sniffing internal processed response</t>
        </is>
      </c>
      <c r="O348" s="5" t="inlineStr">
        <is>
          <t>transit_data_general</t>
        </is>
      </c>
      <c r="P348" s="16" t="inlineStr"/>
      <c r="Q348" s="16" t="inlineStr">
        <is>
          <t>DF15: Processed Response</t>
        </is>
      </c>
      <c r="R348" s="16" t="inlineStr"/>
      <c r="S348" s="5" t="inlineStr">
        <is>
          <t>Confirmed</t>
        </is>
      </c>
    </row>
    <row r="349" ht="16" customHeight="1">
      <c r="A349" s="5" t="inlineStr">
        <is>
          <t>THREMOLIA-S1-F103</t>
        </is>
      </c>
      <c r="B349" s="5" t="inlineStr">
        <is>
          <t>THREMOLIA</t>
        </is>
      </c>
      <c r="C349" s="5" t="inlineStr">
        <is>
          <t>S1</t>
        </is>
      </c>
      <c r="D349" s="21" t="str">
        <f>IFERROR(VLOOKUP($G349,'02_REFERENCE'!$A$2:$S$99,4,FALSE),"N/A")</f>
        <v>N/A</v>
      </c>
      <c r="E349" s="21" t="str">
        <f>IFERROR(VLOOKUP($G349,'02_REFERENCE'!$A$2:$S$99,15,FALSE),"N/A")</f>
        <v>N/A</v>
      </c>
      <c r="F349" s="21" t="str">
        <f>IFERROR(VLOOKUP($G349,'02_REFERENCE'!$A$2:$S$99,17,FALSE),"N/A")</f>
        <v>N/A</v>
      </c>
      <c r="G349" s="21" t="inlineStr"/>
      <c r="H349" s="21" t="inlineStr">
        <is>
          <t>False Positive</t>
        </is>
      </c>
      <c r="I349" s="21" t="inlineStr">
        <is>
          <t>FP</t>
        </is>
      </c>
      <c r="J349" s="21" t="inlineStr">
        <is>
          <t>M</t>
        </is>
      </c>
      <c r="K349" s="21" t="inlineStr">
        <is>
          <t>N</t>
        </is>
      </c>
      <c r="L349" s="21" t="inlineStr">
        <is>
          <t>No</t>
        </is>
      </c>
      <c r="M349" s="21" t="inlineStr"/>
      <c r="N349" s="22" t="inlineStr">
        <is>
          <t>No reference threat corresponds to this finding's mechanism (scoring found no class with sufficient evidence).</t>
        </is>
      </c>
      <c r="O349" s="5" t="inlineStr"/>
      <c r="P349" s="16" t="inlineStr"/>
      <c r="Q349" s="16" t="inlineStr">
        <is>
          <t>DF15: Processed Response</t>
        </is>
      </c>
      <c r="R349" s="16" t="inlineStr"/>
      <c r="S349" s="5" t="inlineStr">
        <is>
          <t>Confirmed</t>
        </is>
      </c>
    </row>
    <row r="350" ht="16" customHeight="1">
      <c r="A350" s="5" t="inlineStr">
        <is>
          <t>THREMOLIA-S1-F104</t>
        </is>
      </c>
      <c r="B350" s="5" t="inlineStr">
        <is>
          <t>THREMOLIA</t>
        </is>
      </c>
      <c r="C350" s="5" t="inlineStr">
        <is>
          <t>S1</t>
        </is>
      </c>
      <c r="D350" s="21" t="str">
        <f>IFERROR(VLOOKUP($G350,'02_REFERENCE'!$A$2:$S$99,4,FALSE),"N/A")</f>
        <v>Tampering</v>
      </c>
      <c r="E350" s="21" t="str">
        <f>IFERROR(VLOOKUP($G350,'02_REFERENCE'!$A$2:$S$99,15,FALSE),"N/A")</f>
        <v>Critical</v>
      </c>
      <c r="F350" s="21" t="str">
        <f>IFERROR(VLOOKUP($G350,'02_REFERENCE'!$A$2:$S$99,17,FALSE),"N/A")</f>
        <v>Yes</v>
      </c>
      <c r="G350" s="21" t="inlineStr">
        <is>
          <t>S1-RT-033</t>
        </is>
      </c>
      <c r="H350" s="21" t="inlineStr">
        <is>
          <t>Duplicate</t>
        </is>
      </c>
      <c r="I350" s="21" t="inlineStr">
        <is>
          <t>TP</t>
        </is>
      </c>
      <c r="J350" s="21" t="inlineStr">
        <is>
          <t>M</t>
        </is>
      </c>
      <c r="K350" s="21" t="inlineStr">
        <is>
          <t>N</t>
        </is>
      </c>
      <c r="L350" s="21" t="inlineStr">
        <is>
          <t>Yes</t>
        </is>
      </c>
      <c r="M350" s="21" t="inlineStr">
        <is>
          <t>THREMOLIA-S1-F006</t>
        </is>
      </c>
      <c r="N350" s="22" t="inlineStr">
        <is>
          <t>Mechanism class unsafe_output; evidence: XSS [Equivalence: restates THREMOLIA-S1-F006 — one-to-one rule applied.]</t>
        </is>
      </c>
      <c r="O350" s="5" t="inlineStr">
        <is>
          <t>unsafe_output</t>
        </is>
      </c>
      <c r="P350" s="16" t="inlineStr"/>
      <c r="Q350" s="16" t="inlineStr">
        <is>
          <t>DF16: Chatbot Answer</t>
        </is>
      </c>
      <c r="R350" s="16" t="inlineStr"/>
      <c r="S350" s="5" t="inlineStr">
        <is>
          <t>Confirmed</t>
        </is>
      </c>
    </row>
    <row r="351" ht="16" customHeight="1">
      <c r="A351" s="5" t="inlineStr">
        <is>
          <t>THREMOLIA-S1-F105</t>
        </is>
      </c>
      <c r="B351" s="5" t="inlineStr">
        <is>
          <t>THREMOLIA</t>
        </is>
      </c>
      <c r="C351" s="5" t="inlineStr">
        <is>
          <t>S1</t>
        </is>
      </c>
      <c r="D351" s="21" t="str">
        <f>IFERROR(VLOOKUP($G351,'02_REFERENCE'!$A$2:$S$99,4,FALSE),"N/A")</f>
        <v>N/A</v>
      </c>
      <c r="E351" s="21" t="str">
        <f>IFERROR(VLOOKUP($G351,'02_REFERENCE'!$A$2:$S$99,15,FALSE),"N/A")</f>
        <v>N/A</v>
      </c>
      <c r="F351" s="21" t="str">
        <f>IFERROR(VLOOKUP($G351,'02_REFERENCE'!$A$2:$S$99,17,FALSE),"N/A")</f>
        <v>N/A</v>
      </c>
      <c r="G351" s="21" t="inlineStr"/>
      <c r="H351" s="21" t="inlineStr">
        <is>
          <t>False Positive</t>
        </is>
      </c>
      <c r="I351" s="21" t="inlineStr">
        <is>
          <t>FP</t>
        </is>
      </c>
      <c r="J351" s="21" t="inlineStr">
        <is>
          <t>H</t>
        </is>
      </c>
      <c r="K351" s="21" t="inlineStr">
        <is>
          <t>N</t>
        </is>
      </c>
      <c r="L351" s="21" t="inlineStr">
        <is>
          <t>No</t>
        </is>
      </c>
      <c r="M351" s="21" t="inlineStr"/>
      <c r="N351" s="22" t="inlineStr">
        <is>
          <t>Template-class transit_data_general (no reference threat): Eavesdropping on chatbot answer in transit exposing assistan; answer in transit</t>
        </is>
      </c>
      <c r="O351" s="5" t="inlineStr">
        <is>
          <t>transit_data_general</t>
        </is>
      </c>
      <c r="P351" s="16" t="inlineStr"/>
      <c r="Q351" s="16" t="inlineStr">
        <is>
          <t>DF16: Chatbot Answer</t>
        </is>
      </c>
      <c r="R351" s="16" t="inlineStr"/>
      <c r="S351" s="5" t="inlineStr">
        <is>
          <t>Confirmed</t>
        </is>
      </c>
    </row>
    <row r="352" ht="16" customHeight="1">
      <c r="A352" s="5" t="inlineStr">
        <is>
          <t>THREMOLIA-S1-F106</t>
        </is>
      </c>
      <c r="B352" s="5" t="inlineStr">
        <is>
          <t>THREMOLIA</t>
        </is>
      </c>
      <c r="C352" s="5" t="inlineStr">
        <is>
          <t>S1</t>
        </is>
      </c>
      <c r="D352" s="21" t="str">
        <f>IFERROR(VLOOKUP($G352,'02_REFERENCE'!$A$2:$S$99,4,FALSE),"N/A")</f>
        <v>Denial of Service</v>
      </c>
      <c r="E352" s="21" t="str">
        <f>IFERROR(VLOOKUP($G352,'02_REFERENCE'!$A$2:$S$99,15,FALSE),"N/A")</f>
        <v>Medium</v>
      </c>
      <c r="F352" s="21" t="str">
        <f>IFERROR(VLOOKUP($G352,'02_REFERENCE'!$A$2:$S$99,17,FALSE),"N/A")</f>
        <v>Yes</v>
      </c>
      <c r="G352" s="21" t="inlineStr">
        <is>
          <t>S1-RT-030</t>
        </is>
      </c>
      <c r="H352" s="21" t="inlineStr">
        <is>
          <t>Duplicate</t>
        </is>
      </c>
      <c r="I352" s="21" t="inlineStr">
        <is>
          <t>TP</t>
        </is>
      </c>
      <c r="J352" s="21" t="inlineStr">
        <is>
          <t>M</t>
        </is>
      </c>
      <c r="K352" s="21" t="inlineStr">
        <is>
          <t>N</t>
        </is>
      </c>
      <c r="L352" s="21" t="inlineStr">
        <is>
          <t>Yes</t>
        </is>
      </c>
      <c r="M352" s="21" t="inlineStr">
        <is>
          <t>THREMOLIA-S1-F088</t>
        </is>
      </c>
      <c r="N352" s="22" t="inlineStr">
        <is>
          <t>Mechanism class llm_consumption (victim-based DoS routing); evidence: Large answer payload flooding user browser render [Equivalence: restates THREMOLIA-S1-F088 — one-to-one rule applied.]</t>
        </is>
      </c>
      <c r="O352" s="5" t="inlineStr">
        <is>
          <t>dos_service</t>
        </is>
      </c>
      <c r="P352" s="16" t="inlineStr"/>
      <c r="Q352" s="16" t="inlineStr">
        <is>
          <t>DF16: Chatbot Answer</t>
        </is>
      </c>
      <c r="R352" s="16" t="inlineStr"/>
      <c r="S352" s="5" t="inlineStr">
        <is>
          <t>Confirmed</t>
        </is>
      </c>
    </row>
    <row r="353" ht="16" customHeight="1">
      <c r="A353" s="5" t="inlineStr">
        <is>
          <t>OWASP-S2-F001</t>
        </is>
      </c>
      <c r="B353" s="5" t="inlineStr">
        <is>
          <t>OWASP</t>
        </is>
      </c>
      <c r="C353" s="5" t="inlineStr">
        <is>
          <t>S2</t>
        </is>
      </c>
      <c r="D353" s="21" t="str">
        <f>IFERROR(VLOOKUP($G353,'02_REFERENCE'!$A$2:$S$99,4,FALSE),"N/A")</f>
        <v>N/A</v>
      </c>
      <c r="E353" s="21" t="str">
        <f>IFERROR(VLOOKUP($G353,'02_REFERENCE'!$A$2:$S$99,15,FALSE),"N/A")</f>
        <v>N/A</v>
      </c>
      <c r="F353" s="21" t="str">
        <f>IFERROR(VLOOKUP($G353,'02_REFERENCE'!$A$2:$S$99,17,FALSE),"N/A")</f>
        <v>N/A</v>
      </c>
      <c r="G353" s="21" t="inlineStr"/>
      <c r="H353" s="21" t="inlineStr">
        <is>
          <t>False Positive</t>
        </is>
      </c>
      <c r="I353" s="21" t="inlineStr">
        <is>
          <t>FP</t>
        </is>
      </c>
      <c r="J353" s="21" t="inlineStr">
        <is>
          <t>M</t>
        </is>
      </c>
      <c r="K353" s="21" t="inlineStr">
        <is>
          <t>N</t>
        </is>
      </c>
      <c r="L353" s="21" t="inlineStr">
        <is>
          <t>No</t>
        </is>
      </c>
      <c r="M353" s="21" t="inlineStr"/>
      <c r="N353" s="22" t="inlineStr">
        <is>
          <t>OWASP Automated Threat #9 (CAPTCHA defeat): the drawn architecture contains no CAPTCHA control; threat depends on absent functionality.</t>
        </is>
      </c>
      <c r="O353" s="5" t="inlineStr">
        <is>
          <t>captcha</t>
        </is>
      </c>
      <c r="P353" s="16" t="inlineStr">
        <is>
          <t>CAPTCHA defeat</t>
        </is>
      </c>
      <c r="Q353" s="16" t="inlineStr">
        <is>
          <t>EE1 End User (untrusted external client)</t>
        </is>
      </c>
      <c r="R353" s="16" t="inlineStr"/>
      <c r="S353" s="5" t="inlineStr">
        <is>
          <t>Confirmed</t>
        </is>
      </c>
    </row>
    <row r="354" ht="16" customHeight="1">
      <c r="A354" s="5" t="inlineStr">
        <is>
          <t>OWASP-S2-F002</t>
        </is>
      </c>
      <c r="B354" s="5" t="inlineStr">
        <is>
          <t>OWASP</t>
        </is>
      </c>
      <c r="C354" s="5" t="inlineStr">
        <is>
          <t>S2</t>
        </is>
      </c>
      <c r="D354" s="21" t="str">
        <f>IFERROR(VLOOKUP($G354,'02_REFERENCE'!$A$2:$S$99,4,FALSE),"N/A")</f>
        <v>N/A</v>
      </c>
      <c r="E354" s="21" t="str">
        <f>IFERROR(VLOOKUP($G354,'02_REFERENCE'!$A$2:$S$99,15,FALSE),"N/A")</f>
        <v>N/A</v>
      </c>
      <c r="F354" s="21" t="str">
        <f>IFERROR(VLOOKUP($G354,'02_REFERENCE'!$A$2:$S$99,17,FALSE),"N/A")</f>
        <v>N/A</v>
      </c>
      <c r="G354" s="21" t="inlineStr"/>
      <c r="H354" s="21" t="inlineStr">
        <is>
          <t>False Positive</t>
        </is>
      </c>
      <c r="I354" s="21" t="inlineStr">
        <is>
          <t>FP</t>
        </is>
      </c>
      <c r="J354" s="21" t="inlineStr">
        <is>
          <t>M</t>
        </is>
      </c>
      <c r="K354" s="21" t="inlineStr">
        <is>
          <t>N</t>
        </is>
      </c>
      <c r="L354" s="21" t="inlineStr">
        <is>
          <t>No</t>
        </is>
      </c>
      <c r="M354" s="21" t="inlineStr"/>
      <c r="N354" s="22" t="inlineStr">
        <is>
          <t>Credential-stuffing mechanism has no matching reference threat in this scenario baseline (S2-RT-002 covers theft of identity-assertion material at the user boundary, not replay of breached credential corpora).</t>
        </is>
      </c>
      <c r="O354" s="5" t="inlineStr">
        <is>
          <t>credential_stuffing</t>
        </is>
      </c>
      <c r="P354" s="16" t="inlineStr">
        <is>
          <t>Credential stuffing</t>
        </is>
      </c>
      <c r="Q354" s="16" t="inlineStr">
        <is>
          <t>EE1 End User (untrusted external client)</t>
        </is>
      </c>
      <c r="R354" s="16" t="inlineStr"/>
      <c r="S354" s="5" t="inlineStr">
        <is>
          <t>Confirmed</t>
        </is>
      </c>
    </row>
    <row r="355" ht="16" customHeight="1">
      <c r="A355" s="5" t="inlineStr">
        <is>
          <t>OWASP-S2-F003</t>
        </is>
      </c>
      <c r="B355" s="5" t="inlineStr">
        <is>
          <t>OWASP</t>
        </is>
      </c>
      <c r="C355" s="5" t="inlineStr">
        <is>
          <t>S2</t>
        </is>
      </c>
      <c r="D355" s="21" t="str">
        <f>IFERROR(VLOOKUP($G355,'02_REFERENCE'!$A$2:$S$99,4,FALSE),"N/A")</f>
        <v>N/A</v>
      </c>
      <c r="E355" s="21" t="str">
        <f>IFERROR(VLOOKUP($G355,'02_REFERENCE'!$A$2:$S$99,15,FALSE),"N/A")</f>
        <v>N/A</v>
      </c>
      <c r="F355" s="21" t="str">
        <f>IFERROR(VLOOKUP($G355,'02_REFERENCE'!$A$2:$S$99,17,FALSE),"N/A")</f>
        <v>N/A</v>
      </c>
      <c r="G355" s="21" t="inlineStr"/>
      <c r="H355" s="21" t="inlineStr">
        <is>
          <t>False Positive</t>
        </is>
      </c>
      <c r="I355" s="21" t="inlineStr">
        <is>
          <t>FP</t>
        </is>
      </c>
      <c r="J355" s="21" t="inlineStr">
        <is>
          <t>M</t>
        </is>
      </c>
      <c r="K355" s="21" t="inlineStr">
        <is>
          <t>N</t>
        </is>
      </c>
      <c r="L355" s="21" t="inlineStr">
        <is>
          <t>No</t>
        </is>
      </c>
      <c r="M355" s="21" t="inlineStr"/>
      <c r="N355" s="22" t="inlineStr">
        <is>
          <t>Generic least-privilege hardening template (horizontal/lateral EoP after compromise); no reference threat specifies this mechanism for this element.</t>
        </is>
      </c>
      <c r="O355" s="5" t="inlineStr">
        <is>
          <t>excessive_db_scope</t>
        </is>
      </c>
      <c r="P355" s="16" t="inlineStr">
        <is>
          <t>Least privilege</t>
        </is>
      </c>
      <c r="Q355" s="16" t="inlineStr">
        <is>
          <t>P1 Web Frontend Interface</t>
        </is>
      </c>
      <c r="R355" s="16" t="inlineStr"/>
      <c r="S355" s="5" t="inlineStr">
        <is>
          <t>Confirmed</t>
        </is>
      </c>
    </row>
    <row r="356" ht="16" customHeight="1">
      <c r="A356" s="5" t="inlineStr">
        <is>
          <t>OWASP-S2-F004</t>
        </is>
      </c>
      <c r="B356" s="5" t="inlineStr">
        <is>
          <t>OWASP</t>
        </is>
      </c>
      <c r="C356" s="5" t="inlineStr">
        <is>
          <t>S2</t>
        </is>
      </c>
      <c r="D356" s="21" t="str">
        <f>IFERROR(VLOOKUP($G356,'02_REFERENCE'!$A$2:$S$99,4,FALSE),"N/A")</f>
        <v>N/A</v>
      </c>
      <c r="E356" s="21" t="str">
        <f>IFERROR(VLOOKUP($G356,'02_REFERENCE'!$A$2:$S$99,15,FALSE),"N/A")</f>
        <v>N/A</v>
      </c>
      <c r="F356" s="21" t="str">
        <f>IFERROR(VLOOKUP($G356,'02_REFERENCE'!$A$2:$S$99,17,FALSE),"N/A")</f>
        <v>N/A</v>
      </c>
      <c r="G356" s="21" t="inlineStr"/>
      <c r="H356" s="21" t="inlineStr">
        <is>
          <t>False Positive</t>
        </is>
      </c>
      <c r="I356" s="21" t="inlineStr">
        <is>
          <t>FP</t>
        </is>
      </c>
      <c r="J356" s="21" t="inlineStr">
        <is>
          <t>M</t>
        </is>
      </c>
      <c r="K356" s="21" t="inlineStr">
        <is>
          <t>N</t>
        </is>
      </c>
      <c r="L356" s="21" t="inlineStr">
        <is>
          <t>No</t>
        </is>
      </c>
      <c r="M356" s="21" t="inlineStr"/>
      <c r="N356" s="22" t="inlineStr">
        <is>
          <t>Expedition (OWASP Automated Threat #6): generic automation/abuse-agility template; no single reference mechanism matches (brute force / stuffing are distinct specialist mechanisms).</t>
        </is>
      </c>
      <c r="O356" s="5" t="inlineStr">
        <is>
          <t>expedition</t>
        </is>
      </c>
      <c r="P356" s="16" t="inlineStr">
        <is>
          <t>Expedition</t>
        </is>
      </c>
      <c r="Q356" s="16" t="inlineStr">
        <is>
          <t>P1 Web Frontend Interface</t>
        </is>
      </c>
      <c r="R356" s="16" t="inlineStr"/>
      <c r="S356" s="5" t="inlineStr">
        <is>
          <t>Confirmed</t>
        </is>
      </c>
    </row>
    <row r="357" ht="16" customHeight="1">
      <c r="A357" s="5" t="inlineStr">
        <is>
          <t>OWASP-S2-F005</t>
        </is>
      </c>
      <c r="B357" s="5" t="inlineStr">
        <is>
          <t>OWASP</t>
        </is>
      </c>
      <c r="C357" s="5" t="inlineStr">
        <is>
          <t>S2</t>
        </is>
      </c>
      <c r="D357" s="21" t="str">
        <f>IFERROR(VLOOKUP($G357,'02_REFERENCE'!$A$2:$S$99,4,FALSE),"N/A")</f>
        <v>N/A</v>
      </c>
      <c r="E357" s="21" t="str">
        <f>IFERROR(VLOOKUP($G357,'02_REFERENCE'!$A$2:$S$99,15,FALSE),"N/A")</f>
        <v>N/A</v>
      </c>
      <c r="F357" s="21" t="str">
        <f>IFERROR(VLOOKUP($G357,'02_REFERENCE'!$A$2:$S$99,17,FALSE),"N/A")</f>
        <v>N/A</v>
      </c>
      <c r="G357" s="21" t="inlineStr"/>
      <c r="H357" s="21" t="inlineStr">
        <is>
          <t>False Positive</t>
        </is>
      </c>
      <c r="I357" s="21" t="inlineStr">
        <is>
          <t>FP</t>
        </is>
      </c>
      <c r="J357" s="21" t="inlineStr">
        <is>
          <t>M</t>
        </is>
      </c>
      <c r="K357" s="21" t="inlineStr">
        <is>
          <t>N</t>
        </is>
      </c>
      <c r="L357" s="21" t="inlineStr">
        <is>
          <t>No</t>
        </is>
      </c>
      <c r="M357" s="21" t="inlineStr"/>
      <c r="N357" s="22" t="inlineStr">
        <is>
          <t>Vulnerability scanning (OWASP Automated Threat #14): reconnaissance; not a security-failure mechanism present in the baseline.</t>
        </is>
      </c>
      <c r="O357" s="5" t="inlineStr">
        <is>
          <t>recon</t>
        </is>
      </c>
      <c r="P357" s="16" t="inlineStr">
        <is>
          <t>Vulnerability scanning</t>
        </is>
      </c>
      <c r="Q357" s="16" t="inlineStr">
        <is>
          <t>P1 Web Frontend Interface</t>
        </is>
      </c>
      <c r="R357" s="16" t="inlineStr"/>
      <c r="S357" s="5" t="inlineStr">
        <is>
          <t>Confirmed</t>
        </is>
      </c>
    </row>
    <row r="358" ht="16" customHeight="1">
      <c r="A358" s="5" t="inlineStr">
        <is>
          <t>OWASP-S2-F006</t>
        </is>
      </c>
      <c r="B358" s="5" t="inlineStr">
        <is>
          <t>OWASP</t>
        </is>
      </c>
      <c r="C358" s="5" t="inlineStr">
        <is>
          <t>S2</t>
        </is>
      </c>
      <c r="D358" s="21" t="str">
        <f>IFERROR(VLOOKUP($G358,'02_REFERENCE'!$A$2:$S$99,4,FALSE),"N/A")</f>
        <v>Denial of Service</v>
      </c>
      <c r="E358" s="21" t="str">
        <f>IFERROR(VLOOKUP($G358,'02_REFERENCE'!$A$2:$S$99,15,FALSE),"N/A")</f>
        <v>High</v>
      </c>
      <c r="F358" s="21" t="str">
        <f>IFERROR(VLOOKUP($G358,'02_REFERENCE'!$A$2:$S$99,17,FALSE),"N/A")</f>
        <v>No</v>
      </c>
      <c r="G358" s="21" t="inlineStr">
        <is>
          <t>S2-RT-031</t>
        </is>
      </c>
      <c r="H358" s="21" t="inlineStr">
        <is>
          <t>Primary TP</t>
        </is>
      </c>
      <c r="I358" s="21" t="inlineStr">
        <is>
          <t>TP</t>
        </is>
      </c>
      <c r="J358" s="21" t="inlineStr">
        <is>
          <t>M</t>
        </is>
      </c>
      <c r="K358" s="21" t="inlineStr">
        <is>
          <t>Y</t>
        </is>
      </c>
      <c r="L358" s="21" t="inlineStr">
        <is>
          <t>No</t>
        </is>
      </c>
      <c r="M358" s="21" t="inlineStr"/>
      <c r="N358" s="22" t="inlineStr">
        <is>
          <t>Resource-exhaustion template on the primary service path -&gt; reference S2-RT-031.</t>
        </is>
      </c>
      <c r="O358" s="5" t="inlineStr">
        <is>
          <t>dos_service</t>
        </is>
      </c>
      <c r="P358" s="16" t="inlineStr">
        <is>
          <t>Denial of Service</t>
        </is>
      </c>
      <c r="Q358" s="16" t="inlineStr">
        <is>
          <t>P1 Web Frontend Interface</t>
        </is>
      </c>
      <c r="R358" s="16" t="inlineStr"/>
      <c r="S358" s="5" t="inlineStr">
        <is>
          <t>Confirmed</t>
        </is>
      </c>
    </row>
    <row r="359" ht="16" customHeight="1">
      <c r="A359" s="5" t="inlineStr">
        <is>
          <t>OWASP-S2-F007</t>
        </is>
      </c>
      <c r="B359" s="5" t="inlineStr">
        <is>
          <t>OWASP</t>
        </is>
      </c>
      <c r="C359" s="5" t="inlineStr">
        <is>
          <t>S2</t>
        </is>
      </c>
      <c r="D359" s="21" t="str">
        <f>IFERROR(VLOOKUP($G359,'02_REFERENCE'!$A$2:$S$99,4,FALSE),"N/A")</f>
        <v>N/A</v>
      </c>
      <c r="E359" s="21" t="str">
        <f>IFERROR(VLOOKUP($G359,'02_REFERENCE'!$A$2:$S$99,15,FALSE),"N/A")</f>
        <v>N/A</v>
      </c>
      <c r="F359" s="21" t="str">
        <f>IFERROR(VLOOKUP($G359,'02_REFERENCE'!$A$2:$S$99,17,FALSE),"N/A")</f>
        <v>N/A</v>
      </c>
      <c r="G359" s="21" t="inlineStr"/>
      <c r="H359" s="21" t="inlineStr">
        <is>
          <t>False Positive</t>
        </is>
      </c>
      <c r="I359" s="21" t="inlineStr">
        <is>
          <t>FP</t>
        </is>
      </c>
      <c r="J359" s="21" t="inlineStr">
        <is>
          <t>M</t>
        </is>
      </c>
      <c r="K359" s="21" t="inlineStr">
        <is>
          <t>N</t>
        </is>
      </c>
      <c r="L359" s="21" t="inlineStr">
        <is>
          <t>No</t>
        </is>
      </c>
      <c r="M359" s="21" t="inlineStr"/>
      <c r="N359" s="22" t="inlineStr">
        <is>
          <t>Footprinting/Fingerprinting (OWASP Automated Threat #18/#4): reconnaissance; no reference mechanism.</t>
        </is>
      </c>
      <c r="O359" s="5" t="inlineStr">
        <is>
          <t>recon</t>
        </is>
      </c>
      <c r="P359" s="16" t="inlineStr">
        <is>
          <t>Footprinting</t>
        </is>
      </c>
      <c r="Q359" s="16" t="inlineStr">
        <is>
          <t>P1 Web Frontend Interface</t>
        </is>
      </c>
      <c r="R359" s="16" t="inlineStr"/>
      <c r="S359" s="5" t="inlineStr">
        <is>
          <t>Confirmed</t>
        </is>
      </c>
    </row>
    <row r="360" ht="16" customHeight="1">
      <c r="A360" s="5" t="inlineStr">
        <is>
          <t>OWASP-S2-F008</t>
        </is>
      </c>
      <c r="B360" s="5" t="inlineStr">
        <is>
          <t>OWASP</t>
        </is>
      </c>
      <c r="C360" s="5" t="inlineStr">
        <is>
          <t>S2</t>
        </is>
      </c>
      <c r="D360" s="21" t="str">
        <f>IFERROR(VLOOKUP($G360,'02_REFERENCE'!$A$2:$S$99,4,FALSE),"N/A")</f>
        <v>N/A</v>
      </c>
      <c r="E360" s="21" t="str">
        <f>IFERROR(VLOOKUP($G360,'02_REFERENCE'!$A$2:$S$99,15,FALSE),"N/A")</f>
        <v>N/A</v>
      </c>
      <c r="F360" s="21" t="str">
        <f>IFERROR(VLOOKUP($G360,'02_REFERENCE'!$A$2:$S$99,17,FALSE),"N/A")</f>
        <v>N/A</v>
      </c>
      <c r="G360" s="21" t="inlineStr"/>
      <c r="H360" s="21" t="inlineStr">
        <is>
          <t>False Positive</t>
        </is>
      </c>
      <c r="I360" s="21" t="inlineStr">
        <is>
          <t>FP</t>
        </is>
      </c>
      <c r="J360" s="21" t="inlineStr">
        <is>
          <t>M</t>
        </is>
      </c>
      <c r="K360" s="21" t="inlineStr">
        <is>
          <t>N</t>
        </is>
      </c>
      <c r="L360" s="21" t="inlineStr">
        <is>
          <t>No</t>
        </is>
      </c>
      <c r="M360" s="21" t="inlineStr"/>
      <c r="N360" s="22" t="inlineStr">
        <is>
          <t>Generic least-privilege hardening template (horizontal/lateral EoP after compromise); no reference threat specifies this mechanism for this element.</t>
        </is>
      </c>
      <c r="O360" s="5" t="inlineStr">
        <is>
          <t>excessive_db_scope</t>
        </is>
      </c>
      <c r="P360" s="16" t="inlineStr">
        <is>
          <t>Least privilege</t>
        </is>
      </c>
      <c r="Q360" s="16" t="inlineStr">
        <is>
          <t>P2 File Management Service</t>
        </is>
      </c>
      <c r="R360" s="16" t="inlineStr"/>
      <c r="S360" s="5" t="inlineStr">
        <is>
          <t>Confirmed</t>
        </is>
      </c>
    </row>
    <row r="361" ht="16" customHeight="1">
      <c r="A361" s="5" t="inlineStr">
        <is>
          <t>OWASP-S2-F009</t>
        </is>
      </c>
      <c r="B361" s="5" t="inlineStr">
        <is>
          <t>OWASP</t>
        </is>
      </c>
      <c r="C361" s="5" t="inlineStr">
        <is>
          <t>S2</t>
        </is>
      </c>
      <c r="D361" s="21" t="str">
        <f>IFERROR(VLOOKUP($G361,'02_REFERENCE'!$A$2:$S$99,4,FALSE),"N/A")</f>
        <v>N/A</v>
      </c>
      <c r="E361" s="21" t="str">
        <f>IFERROR(VLOOKUP($G361,'02_REFERENCE'!$A$2:$S$99,15,FALSE),"N/A")</f>
        <v>N/A</v>
      </c>
      <c r="F361" s="21" t="str">
        <f>IFERROR(VLOOKUP($G361,'02_REFERENCE'!$A$2:$S$99,17,FALSE),"N/A")</f>
        <v>N/A</v>
      </c>
      <c r="G361" s="21" t="inlineStr"/>
      <c r="H361" s="21" t="inlineStr">
        <is>
          <t>False Positive</t>
        </is>
      </c>
      <c r="I361" s="21" t="inlineStr">
        <is>
          <t>FP</t>
        </is>
      </c>
      <c r="J361" s="21" t="inlineStr">
        <is>
          <t>M</t>
        </is>
      </c>
      <c r="K361" s="21" t="inlineStr">
        <is>
          <t>N</t>
        </is>
      </c>
      <c r="L361" s="21" t="inlineStr">
        <is>
          <t>No</t>
        </is>
      </c>
      <c r="M361" s="21" t="inlineStr"/>
      <c r="N361" s="22" t="inlineStr">
        <is>
          <t>Expedition (OWASP Automated Threat #6): generic automation/abuse-agility template; no single reference mechanism matches (brute force / stuffing are distinct specialist mechanisms).</t>
        </is>
      </c>
      <c r="O361" s="5" t="inlineStr">
        <is>
          <t>expedition</t>
        </is>
      </c>
      <c r="P361" s="16" t="inlineStr">
        <is>
          <t>Expedition</t>
        </is>
      </c>
      <c r="Q361" s="16" t="inlineStr">
        <is>
          <t>P2 File Management Service</t>
        </is>
      </c>
      <c r="R361" s="16" t="inlineStr"/>
      <c r="S361" s="5" t="inlineStr">
        <is>
          <t>Confirmed</t>
        </is>
      </c>
    </row>
    <row r="362" ht="16" customHeight="1">
      <c r="A362" s="5" t="inlineStr">
        <is>
          <t>OWASP-S2-F010</t>
        </is>
      </c>
      <c r="B362" s="5" t="inlineStr">
        <is>
          <t>OWASP</t>
        </is>
      </c>
      <c r="C362" s="5" t="inlineStr">
        <is>
          <t>S2</t>
        </is>
      </c>
      <c r="D362" s="21" t="str">
        <f>IFERROR(VLOOKUP($G362,'02_REFERENCE'!$A$2:$S$99,4,FALSE),"N/A")</f>
        <v>N/A</v>
      </c>
      <c r="E362" s="21" t="str">
        <f>IFERROR(VLOOKUP($G362,'02_REFERENCE'!$A$2:$S$99,15,FALSE),"N/A")</f>
        <v>N/A</v>
      </c>
      <c r="F362" s="21" t="str">
        <f>IFERROR(VLOOKUP($G362,'02_REFERENCE'!$A$2:$S$99,17,FALSE),"N/A")</f>
        <v>N/A</v>
      </c>
      <c r="G362" s="21" t="inlineStr"/>
      <c r="H362" s="21" t="inlineStr">
        <is>
          <t>False Positive</t>
        </is>
      </c>
      <c r="I362" s="21" t="inlineStr">
        <is>
          <t>FP</t>
        </is>
      </c>
      <c r="J362" s="21" t="inlineStr">
        <is>
          <t>M</t>
        </is>
      </c>
      <c r="K362" s="21" t="inlineStr">
        <is>
          <t>N</t>
        </is>
      </c>
      <c r="L362" s="21" t="inlineStr">
        <is>
          <t>No</t>
        </is>
      </c>
      <c r="M362" s="21" t="inlineStr"/>
      <c r="N362" s="22" t="inlineStr">
        <is>
          <t>Vulnerability scanning (OWASP Automated Threat #14): reconnaissance; not a security-failure mechanism present in the baseline.</t>
        </is>
      </c>
      <c r="O362" s="5" t="inlineStr">
        <is>
          <t>recon</t>
        </is>
      </c>
      <c r="P362" s="16" t="inlineStr">
        <is>
          <t>Vulnerability scanning</t>
        </is>
      </c>
      <c r="Q362" s="16" t="inlineStr">
        <is>
          <t>P2 File Management Service</t>
        </is>
      </c>
      <c r="R362" s="16" t="inlineStr"/>
      <c r="S362" s="5" t="inlineStr">
        <is>
          <t>Confirmed</t>
        </is>
      </c>
    </row>
    <row r="363" ht="16" customHeight="1">
      <c r="A363" s="5" t="inlineStr">
        <is>
          <t>OWASP-S2-F011</t>
        </is>
      </c>
      <c r="B363" s="5" t="inlineStr">
        <is>
          <t>OWASP</t>
        </is>
      </c>
      <c r="C363" s="5" t="inlineStr">
        <is>
          <t>S2</t>
        </is>
      </c>
      <c r="D363" s="21" t="str">
        <f>IFERROR(VLOOKUP($G363,'02_REFERENCE'!$A$2:$S$99,4,FALSE),"N/A")</f>
        <v>Denial of Service</v>
      </c>
      <c r="E363" s="21" t="str">
        <f>IFERROR(VLOOKUP($G363,'02_REFERENCE'!$A$2:$S$99,15,FALSE),"N/A")</f>
        <v>High</v>
      </c>
      <c r="F363" s="21" t="str">
        <f>IFERROR(VLOOKUP($G363,'02_REFERENCE'!$A$2:$S$99,17,FALSE),"N/A")</f>
        <v>No</v>
      </c>
      <c r="G363" s="21" t="inlineStr">
        <is>
          <t>S2-RT-031</t>
        </is>
      </c>
      <c r="H363" s="21" t="inlineStr">
        <is>
          <t>Duplicate</t>
        </is>
      </c>
      <c r="I363" s="21" t="inlineStr">
        <is>
          <t>TP</t>
        </is>
      </c>
      <c r="J363" s="21" t="inlineStr">
        <is>
          <t>M</t>
        </is>
      </c>
      <c r="K363" s="21" t="inlineStr">
        <is>
          <t>N</t>
        </is>
      </c>
      <c r="L363" s="21" t="inlineStr">
        <is>
          <t>Yes</t>
        </is>
      </c>
      <c r="M363" s="21" t="inlineStr">
        <is>
          <t>OWASP-S2-F006</t>
        </is>
      </c>
      <c r="N363" s="22" t="inlineStr">
        <is>
          <t>Resource-exhaustion template on the primary service path -&gt; reference S2-RT-031. [Equivalence: restates OWASP-S2-F006 — one-to-one rule applied.]</t>
        </is>
      </c>
      <c r="O363" s="5" t="inlineStr">
        <is>
          <t>dos_service</t>
        </is>
      </c>
      <c r="P363" s="16" t="inlineStr">
        <is>
          <t>Denial of Service</t>
        </is>
      </c>
      <c r="Q363" s="16" t="inlineStr">
        <is>
          <t>P2 File Management Service</t>
        </is>
      </c>
      <c r="R363" s="16" t="inlineStr"/>
      <c r="S363" s="5" t="inlineStr">
        <is>
          <t>Confirmed</t>
        </is>
      </c>
    </row>
    <row r="364" ht="16" customHeight="1">
      <c r="A364" s="5" t="inlineStr">
        <is>
          <t>OWASP-S2-F012</t>
        </is>
      </c>
      <c r="B364" s="5" t="inlineStr">
        <is>
          <t>OWASP</t>
        </is>
      </c>
      <c r="C364" s="5" t="inlineStr">
        <is>
          <t>S2</t>
        </is>
      </c>
      <c r="D364" s="21" t="str">
        <f>IFERROR(VLOOKUP($G364,'02_REFERENCE'!$A$2:$S$99,4,FALSE),"N/A")</f>
        <v>N/A</v>
      </c>
      <c r="E364" s="21" t="str">
        <f>IFERROR(VLOOKUP($G364,'02_REFERENCE'!$A$2:$S$99,15,FALSE),"N/A")</f>
        <v>N/A</v>
      </c>
      <c r="F364" s="21" t="str">
        <f>IFERROR(VLOOKUP($G364,'02_REFERENCE'!$A$2:$S$99,17,FALSE),"N/A")</f>
        <v>N/A</v>
      </c>
      <c r="G364" s="21" t="inlineStr"/>
      <c r="H364" s="21" t="inlineStr">
        <is>
          <t>False Positive</t>
        </is>
      </c>
      <c r="I364" s="21" t="inlineStr">
        <is>
          <t>FP</t>
        </is>
      </c>
      <c r="J364" s="21" t="inlineStr">
        <is>
          <t>M</t>
        </is>
      </c>
      <c r="K364" s="21" t="inlineStr">
        <is>
          <t>N</t>
        </is>
      </c>
      <c r="L364" s="21" t="inlineStr">
        <is>
          <t>No</t>
        </is>
      </c>
      <c r="M364" s="21" t="inlineStr"/>
      <c r="N364" s="22" t="inlineStr">
        <is>
          <t>Footprinting/Fingerprinting (OWASP Automated Threat #18/#4): reconnaissance; no reference mechanism.</t>
        </is>
      </c>
      <c r="O364" s="5" t="inlineStr">
        <is>
          <t>recon</t>
        </is>
      </c>
      <c r="P364" s="16" t="inlineStr">
        <is>
          <t>Footprinting</t>
        </is>
      </c>
      <c r="Q364" s="16" t="inlineStr">
        <is>
          <t>P2 File Management Service</t>
        </is>
      </c>
      <c r="R364" s="16" t="inlineStr"/>
      <c r="S364" s="5" t="inlineStr">
        <is>
          <t>Confirmed</t>
        </is>
      </c>
    </row>
    <row r="365" ht="16" customHeight="1">
      <c r="A365" s="5" t="inlineStr">
        <is>
          <t>OWASP-S2-F013</t>
        </is>
      </c>
      <c r="B365" s="5" t="inlineStr">
        <is>
          <t>OWASP</t>
        </is>
      </c>
      <c r="C365" s="5" t="inlineStr">
        <is>
          <t>S2</t>
        </is>
      </c>
      <c r="D365" s="21" t="str">
        <f>IFERROR(VLOOKUP($G365,'02_REFERENCE'!$A$2:$S$99,4,FALSE),"N/A")</f>
        <v>Information Disclosure</v>
      </c>
      <c r="E365" s="21" t="str">
        <f>IFERROR(VLOOKUP($G365,'02_REFERENCE'!$A$2:$S$99,15,FALSE),"N/A")</f>
        <v>High</v>
      </c>
      <c r="F365" s="21" t="str">
        <f>IFERROR(VLOOKUP($G365,'02_REFERENCE'!$A$2:$S$99,17,FALSE),"N/A")</f>
        <v>No</v>
      </c>
      <c r="G365" s="21" t="inlineStr">
        <is>
          <t>S2-RT-017</t>
        </is>
      </c>
      <c r="H365" s="21" t="inlineStr">
        <is>
          <t>Primary TP</t>
        </is>
      </c>
      <c r="I365" s="21" t="inlineStr">
        <is>
          <t>TP</t>
        </is>
      </c>
      <c r="J365" s="21" t="inlineStr">
        <is>
          <t>M</t>
        </is>
      </c>
      <c r="K365" s="21" t="inlineStr">
        <is>
          <t>Y</t>
        </is>
      </c>
      <c r="L365" s="21" t="inlineStr">
        <is>
          <t>No</t>
        </is>
      </c>
      <c r="M365" s="21" t="inlineStr"/>
      <c r="N365" s="22" t="inlineStr">
        <is>
          <t>Weak/absent transport protection exposes sensitive data in transit -&gt; reference S2-RT-017.</t>
        </is>
      </c>
      <c r="O365" s="5" t="inlineStr">
        <is>
          <t>transit_creds</t>
        </is>
      </c>
      <c r="P365" s="16" t="inlineStr">
        <is>
          <t>Vulnerable transport protocol</t>
        </is>
      </c>
      <c r="Q365" s="16" t="inlineStr">
        <is>
          <t>P2 File Management Service</t>
        </is>
      </c>
      <c r="R365" s="16" t="inlineStr"/>
      <c r="S365" s="5" t="inlineStr">
        <is>
          <t>Confirmed</t>
        </is>
      </c>
    </row>
    <row r="366" ht="16" customHeight="1">
      <c r="A366" s="5" t="inlineStr">
        <is>
          <t>OWASP-S2-F014</t>
        </is>
      </c>
      <c r="B366" s="5" t="inlineStr">
        <is>
          <t>OWASP</t>
        </is>
      </c>
      <c r="C366" s="5" t="inlineStr">
        <is>
          <t>S2</t>
        </is>
      </c>
      <c r="D366" s="21" t="str">
        <f>IFERROR(VLOOKUP($G366,'02_REFERENCE'!$A$2:$S$99,4,FALSE),"N/A")</f>
        <v>N/A</v>
      </c>
      <c r="E366" s="21" t="str">
        <f>IFERROR(VLOOKUP($G366,'02_REFERENCE'!$A$2:$S$99,15,FALSE),"N/A")</f>
        <v>N/A</v>
      </c>
      <c r="F366" s="21" t="str">
        <f>IFERROR(VLOOKUP($G366,'02_REFERENCE'!$A$2:$S$99,17,FALSE),"N/A")</f>
        <v>N/A</v>
      </c>
      <c r="G366" s="21" t="inlineStr"/>
      <c r="H366" s="21" t="inlineStr">
        <is>
          <t>False Positive</t>
        </is>
      </c>
      <c r="I366" s="21" t="inlineStr">
        <is>
          <t>FP</t>
        </is>
      </c>
      <c r="J366" s="21" t="inlineStr">
        <is>
          <t>M</t>
        </is>
      </c>
      <c r="K366" s="21" t="inlineStr">
        <is>
          <t>N</t>
        </is>
      </c>
      <c r="L366" s="21" t="inlineStr">
        <is>
          <t>No</t>
        </is>
      </c>
      <c r="M366" s="21" t="inlineStr"/>
      <c r="N366" s="22" t="inlineStr">
        <is>
          <t>Footprinting/Fingerprinting (OWASP Automated Threat #18/#4): reconnaissance; no reference mechanism.</t>
        </is>
      </c>
      <c r="O366" s="5" t="inlineStr">
        <is>
          <t>recon</t>
        </is>
      </c>
      <c r="P366" s="16" t="inlineStr">
        <is>
          <t>Fingerprinting</t>
        </is>
      </c>
      <c r="Q366" s="16" t="inlineStr">
        <is>
          <t>P2 File Management Service</t>
        </is>
      </c>
      <c r="R366" s="16" t="inlineStr"/>
      <c r="S366" s="5" t="inlineStr">
        <is>
          <t>Confirmed</t>
        </is>
      </c>
    </row>
    <row r="367" ht="16" customHeight="1">
      <c r="A367" s="5" t="inlineStr">
        <is>
          <t>OWASP-S2-F015</t>
        </is>
      </c>
      <c r="B367" s="5" t="inlineStr">
        <is>
          <t>OWASP</t>
        </is>
      </c>
      <c r="C367" s="5" t="inlineStr">
        <is>
          <t>S2</t>
        </is>
      </c>
      <c r="D367" s="21" t="str">
        <f>IFERROR(VLOOKUP($G367,'02_REFERENCE'!$A$2:$S$99,4,FALSE),"N/A")</f>
        <v>Information Disclosure</v>
      </c>
      <c r="E367" s="21" t="str">
        <f>IFERROR(VLOOKUP($G367,'02_REFERENCE'!$A$2:$S$99,15,FALSE),"N/A")</f>
        <v>High</v>
      </c>
      <c r="F367" s="21" t="str">
        <f>IFERROR(VLOOKUP($G367,'02_REFERENCE'!$A$2:$S$99,17,FALSE),"N/A")</f>
        <v>No</v>
      </c>
      <c r="G367" s="21" t="inlineStr">
        <is>
          <t>S2-RT-017</t>
        </is>
      </c>
      <c r="H367" s="21" t="inlineStr">
        <is>
          <t>Duplicate</t>
        </is>
      </c>
      <c r="I367" s="21" t="inlineStr">
        <is>
          <t>TP</t>
        </is>
      </c>
      <c r="J367" s="21" t="inlineStr">
        <is>
          <t>M</t>
        </is>
      </c>
      <c r="K367" s="21" t="inlineStr">
        <is>
          <t>N</t>
        </is>
      </c>
      <c r="L367" s="21" t="inlineStr">
        <is>
          <t>Yes</t>
        </is>
      </c>
      <c r="M367" s="21" t="inlineStr">
        <is>
          <t>OWASP-S2-F013</t>
        </is>
      </c>
      <c r="N367" s="22" t="inlineStr">
        <is>
          <t>Weak/absent transport protection exposes sensitive data in transit -&gt; reference S2-RT-017. [Equivalence: restates OWASP-S2-F013 — one-to-one rule applied.]</t>
        </is>
      </c>
      <c r="O367" s="5" t="inlineStr">
        <is>
          <t>transit_creds</t>
        </is>
      </c>
      <c r="P367" s="16" t="inlineStr">
        <is>
          <t>Vulnerable transport protocol</t>
        </is>
      </c>
      <c r="Q367" s="16" t="inlineStr">
        <is>
          <t>P2 File Management Service</t>
        </is>
      </c>
      <c r="R367" s="16" t="inlineStr"/>
      <c r="S367" s="5" t="inlineStr">
        <is>
          <t>Confirmed</t>
        </is>
      </c>
    </row>
    <row r="368" ht="16" customHeight="1">
      <c r="A368" s="5" t="inlineStr">
        <is>
          <t>OWASP-S2-F016</t>
        </is>
      </c>
      <c r="B368" s="5" t="inlineStr">
        <is>
          <t>OWASP</t>
        </is>
      </c>
      <c r="C368" s="5" t="inlineStr">
        <is>
          <t>S2</t>
        </is>
      </c>
      <c r="D368" s="21" t="str">
        <f>IFERROR(VLOOKUP($G368,'02_REFERENCE'!$A$2:$S$99,4,FALSE),"N/A")</f>
        <v>N/A</v>
      </c>
      <c r="E368" s="21" t="str">
        <f>IFERROR(VLOOKUP($G368,'02_REFERENCE'!$A$2:$S$99,15,FALSE),"N/A")</f>
        <v>N/A</v>
      </c>
      <c r="F368" s="21" t="str">
        <f>IFERROR(VLOOKUP($G368,'02_REFERENCE'!$A$2:$S$99,17,FALSE),"N/A")</f>
        <v>N/A</v>
      </c>
      <c r="G368" s="21" t="inlineStr"/>
      <c r="H368" s="21" t="inlineStr">
        <is>
          <t>False Positive</t>
        </is>
      </c>
      <c r="I368" s="21" t="inlineStr">
        <is>
          <t>FP</t>
        </is>
      </c>
      <c r="J368" s="21" t="inlineStr">
        <is>
          <t>M</t>
        </is>
      </c>
      <c r="K368" s="21" t="inlineStr">
        <is>
          <t>N</t>
        </is>
      </c>
      <c r="L368" s="21" t="inlineStr">
        <is>
          <t>No</t>
        </is>
      </c>
      <c r="M368" s="21" t="inlineStr"/>
      <c r="N368" s="22" t="inlineStr">
        <is>
          <t>Footprinting/Fingerprinting (OWASP Automated Threat #18/#4): reconnaissance; no reference mechanism.</t>
        </is>
      </c>
      <c r="O368" s="5" t="inlineStr">
        <is>
          <t>recon</t>
        </is>
      </c>
      <c r="P368" s="16" t="inlineStr">
        <is>
          <t>Fingerprinting</t>
        </is>
      </c>
      <c r="Q368" s="16" t="inlineStr">
        <is>
          <t>P2 File Management Service</t>
        </is>
      </c>
      <c r="R368" s="16" t="inlineStr"/>
      <c r="S368" s="5" t="inlineStr">
        <is>
          <t>Confirmed</t>
        </is>
      </c>
    </row>
    <row r="369" ht="16" customHeight="1">
      <c r="A369" s="5" t="inlineStr">
        <is>
          <t>OWASP-S2-F017</t>
        </is>
      </c>
      <c r="B369" s="5" t="inlineStr">
        <is>
          <t>OWASP</t>
        </is>
      </c>
      <c r="C369" s="5" t="inlineStr">
        <is>
          <t>S2</t>
        </is>
      </c>
      <c r="D369" s="21" t="str">
        <f>IFERROR(VLOOKUP($G369,'02_REFERENCE'!$A$2:$S$99,4,FALSE),"N/A")</f>
        <v>Information Disclosure</v>
      </c>
      <c r="E369" s="21" t="str">
        <f>IFERROR(VLOOKUP($G369,'02_REFERENCE'!$A$2:$S$99,15,FALSE),"N/A")</f>
        <v>High</v>
      </c>
      <c r="F369" s="21" t="str">
        <f>IFERROR(VLOOKUP($G369,'02_REFERENCE'!$A$2:$S$99,17,FALSE),"N/A")</f>
        <v>No</v>
      </c>
      <c r="G369" s="21" t="inlineStr">
        <is>
          <t>S2-RT-017</t>
        </is>
      </c>
      <c r="H369" s="21" t="inlineStr">
        <is>
          <t>Duplicate</t>
        </is>
      </c>
      <c r="I369" s="21" t="inlineStr">
        <is>
          <t>TP</t>
        </is>
      </c>
      <c r="J369" s="21" t="inlineStr">
        <is>
          <t>M</t>
        </is>
      </c>
      <c r="K369" s="21" t="inlineStr">
        <is>
          <t>N</t>
        </is>
      </c>
      <c r="L369" s="21" t="inlineStr">
        <is>
          <t>Yes</t>
        </is>
      </c>
      <c r="M369" s="21" t="inlineStr">
        <is>
          <t>OWASP-S2-F013</t>
        </is>
      </c>
      <c r="N369" s="22" t="inlineStr">
        <is>
          <t>Weak/absent transport protection exposes sensitive data in transit -&gt; reference S2-RT-017. [Equivalence: restates OWASP-S2-F013 — one-to-one rule applied.]</t>
        </is>
      </c>
      <c r="O369" s="5" t="inlineStr">
        <is>
          <t>transit_creds</t>
        </is>
      </c>
      <c r="P369" s="16" t="inlineStr">
        <is>
          <t>Vulnerable transport protocol</t>
        </is>
      </c>
      <c r="Q369" s="16" t="inlineStr">
        <is>
          <t>P2 File Management Service</t>
        </is>
      </c>
      <c r="R369" s="16" t="inlineStr"/>
      <c r="S369" s="5" t="inlineStr">
        <is>
          <t>Confirmed</t>
        </is>
      </c>
    </row>
    <row r="370" ht="16" customHeight="1">
      <c r="A370" s="5" t="inlineStr">
        <is>
          <t>OWASP-S2-F018</t>
        </is>
      </c>
      <c r="B370" s="5" t="inlineStr">
        <is>
          <t>OWASP</t>
        </is>
      </c>
      <c r="C370" s="5" t="inlineStr">
        <is>
          <t>S2</t>
        </is>
      </c>
      <c r="D370" s="21" t="str">
        <f>IFERROR(VLOOKUP($G370,'02_REFERENCE'!$A$2:$S$99,4,FALSE),"N/A")</f>
        <v>N/A</v>
      </c>
      <c r="E370" s="21" t="str">
        <f>IFERROR(VLOOKUP($G370,'02_REFERENCE'!$A$2:$S$99,15,FALSE),"N/A")</f>
        <v>N/A</v>
      </c>
      <c r="F370" s="21" t="str">
        <f>IFERROR(VLOOKUP($G370,'02_REFERENCE'!$A$2:$S$99,17,FALSE),"N/A")</f>
        <v>N/A</v>
      </c>
      <c r="G370" s="21" t="inlineStr"/>
      <c r="H370" s="21" t="inlineStr">
        <is>
          <t>False Positive</t>
        </is>
      </c>
      <c r="I370" s="21" t="inlineStr">
        <is>
          <t>FP</t>
        </is>
      </c>
      <c r="J370" s="21" t="inlineStr">
        <is>
          <t>M</t>
        </is>
      </c>
      <c r="K370" s="21" t="inlineStr">
        <is>
          <t>N</t>
        </is>
      </c>
      <c r="L370" s="21" t="inlineStr">
        <is>
          <t>No</t>
        </is>
      </c>
      <c r="M370" s="21" t="inlineStr"/>
      <c r="N370" s="22" t="inlineStr">
        <is>
          <t>Footprinting/Fingerprinting (OWASP Automated Threat #18/#4): reconnaissance; no reference mechanism.</t>
        </is>
      </c>
      <c r="O370" s="5" t="inlineStr">
        <is>
          <t>recon</t>
        </is>
      </c>
      <c r="P370" s="16" t="inlineStr">
        <is>
          <t>Fingerprinting</t>
        </is>
      </c>
      <c r="Q370" s="16" t="inlineStr">
        <is>
          <t>P2 File Management Service</t>
        </is>
      </c>
      <c r="R370" s="16" t="inlineStr"/>
      <c r="S370" s="5" t="inlineStr">
        <is>
          <t>Confirmed</t>
        </is>
      </c>
    </row>
    <row r="371" ht="16" customHeight="1">
      <c r="A371" s="5" t="inlineStr">
        <is>
          <t>OWASP-S2-F019</t>
        </is>
      </c>
      <c r="B371" s="5" t="inlineStr">
        <is>
          <t>OWASP</t>
        </is>
      </c>
      <c r="C371" s="5" t="inlineStr">
        <is>
          <t>S2</t>
        </is>
      </c>
      <c r="D371" s="21" t="str">
        <f>IFERROR(VLOOKUP($G371,'02_REFERENCE'!$A$2:$S$99,4,FALSE),"N/A")</f>
        <v>Information Disclosure</v>
      </c>
      <c r="E371" s="21" t="str">
        <f>IFERROR(VLOOKUP($G371,'02_REFERENCE'!$A$2:$S$99,15,FALSE),"N/A")</f>
        <v>High</v>
      </c>
      <c r="F371" s="21" t="str">
        <f>IFERROR(VLOOKUP($G371,'02_REFERENCE'!$A$2:$S$99,17,FALSE),"N/A")</f>
        <v>No</v>
      </c>
      <c r="G371" s="21" t="inlineStr">
        <is>
          <t>S2-RT-017</t>
        </is>
      </c>
      <c r="H371" s="21" t="inlineStr">
        <is>
          <t>Duplicate</t>
        </is>
      </c>
      <c r="I371" s="21" t="inlineStr">
        <is>
          <t>TP</t>
        </is>
      </c>
      <c r="J371" s="21" t="inlineStr">
        <is>
          <t>M</t>
        </is>
      </c>
      <c r="K371" s="21" t="inlineStr">
        <is>
          <t>N</t>
        </is>
      </c>
      <c r="L371" s="21" t="inlineStr">
        <is>
          <t>Yes</t>
        </is>
      </c>
      <c r="M371" s="21" t="inlineStr">
        <is>
          <t>OWASP-S2-F013</t>
        </is>
      </c>
      <c r="N371" s="22" t="inlineStr">
        <is>
          <t>Weak/absent transport protection exposes sensitive data in transit -&gt; reference S2-RT-017. [Equivalence: restates OWASP-S2-F013 — one-to-one rule applied.]</t>
        </is>
      </c>
      <c r="O371" s="5" t="inlineStr">
        <is>
          <t>transit_creds</t>
        </is>
      </c>
      <c r="P371" s="16" t="inlineStr">
        <is>
          <t>Vulnerable transport protocol</t>
        </is>
      </c>
      <c r="Q371" s="16" t="inlineStr">
        <is>
          <t>P2 File Management Service</t>
        </is>
      </c>
      <c r="R371" s="16" t="inlineStr"/>
      <c r="S371" s="5" t="inlineStr">
        <is>
          <t>Confirmed</t>
        </is>
      </c>
    </row>
    <row r="372" ht="16" customHeight="1">
      <c r="A372" s="5" t="inlineStr">
        <is>
          <t>OWASP-S2-F020</t>
        </is>
      </c>
      <c r="B372" s="5" t="inlineStr">
        <is>
          <t>OWASP</t>
        </is>
      </c>
      <c r="C372" s="5" t="inlineStr">
        <is>
          <t>S2</t>
        </is>
      </c>
      <c r="D372" s="21" t="str">
        <f>IFERROR(VLOOKUP($G372,'02_REFERENCE'!$A$2:$S$99,4,FALSE),"N/A")</f>
        <v>N/A</v>
      </c>
      <c r="E372" s="21" t="str">
        <f>IFERROR(VLOOKUP($G372,'02_REFERENCE'!$A$2:$S$99,15,FALSE),"N/A")</f>
        <v>N/A</v>
      </c>
      <c r="F372" s="21" t="str">
        <f>IFERROR(VLOOKUP($G372,'02_REFERENCE'!$A$2:$S$99,17,FALSE),"N/A")</f>
        <v>N/A</v>
      </c>
      <c r="G372" s="21" t="inlineStr"/>
      <c r="H372" s="21" t="inlineStr">
        <is>
          <t>False Positive</t>
        </is>
      </c>
      <c r="I372" s="21" t="inlineStr">
        <is>
          <t>FP</t>
        </is>
      </c>
      <c r="J372" s="21" t="inlineStr">
        <is>
          <t>M</t>
        </is>
      </c>
      <c r="K372" s="21" t="inlineStr">
        <is>
          <t>N</t>
        </is>
      </c>
      <c r="L372" s="21" t="inlineStr">
        <is>
          <t>No</t>
        </is>
      </c>
      <c r="M372" s="21" t="inlineStr"/>
      <c r="N372" s="22" t="inlineStr">
        <is>
          <t>Threat Dragon produced no threat for this element (template placeholder).</t>
        </is>
      </c>
      <c r="O372" s="5" t="inlineStr">
        <is>
          <t>no_suggestion</t>
        </is>
      </c>
      <c r="P372" s="16" t="inlineStr">
        <is>
          <t>No Suggestions available</t>
        </is>
      </c>
      <c r="Q372" s="16" t="inlineStr">
        <is>
          <t>P2 File Management Service</t>
        </is>
      </c>
      <c r="R372" s="16" t="inlineStr"/>
      <c r="S372" s="5" t="inlineStr">
        <is>
          <t>Confirmed</t>
        </is>
      </c>
    </row>
    <row r="373" ht="16" customHeight="1">
      <c r="A373" s="5" t="inlineStr">
        <is>
          <t>OWASP-S2-F021</t>
        </is>
      </c>
      <c r="B373" s="5" t="inlineStr">
        <is>
          <t>OWASP</t>
        </is>
      </c>
      <c r="C373" s="5" t="inlineStr">
        <is>
          <t>S2</t>
        </is>
      </c>
      <c r="D373" s="21" t="str">
        <f>IFERROR(VLOOKUP($G373,'02_REFERENCE'!$A$2:$S$99,4,FALSE),"N/A")</f>
        <v>N/A</v>
      </c>
      <c r="E373" s="21" t="str">
        <f>IFERROR(VLOOKUP($G373,'02_REFERENCE'!$A$2:$S$99,15,FALSE),"N/A")</f>
        <v>N/A</v>
      </c>
      <c r="F373" s="21" t="str">
        <f>IFERROR(VLOOKUP($G373,'02_REFERENCE'!$A$2:$S$99,17,FALSE),"N/A")</f>
        <v>N/A</v>
      </c>
      <c r="G373" s="21" t="inlineStr"/>
      <c r="H373" s="21" t="inlineStr">
        <is>
          <t>False Positive</t>
        </is>
      </c>
      <c r="I373" s="21" t="inlineStr">
        <is>
          <t>FP</t>
        </is>
      </c>
      <c r="J373" s="21" t="inlineStr">
        <is>
          <t>M</t>
        </is>
      </c>
      <c r="K373" s="21" t="inlineStr">
        <is>
          <t>N</t>
        </is>
      </c>
      <c r="L373" s="21" t="inlineStr">
        <is>
          <t>No</t>
        </is>
      </c>
      <c r="M373" s="21" t="inlineStr"/>
      <c r="N373" s="22" t="inlineStr">
        <is>
          <t>Threat Dragon produced no threat for this element (template placeholder).</t>
        </is>
      </c>
      <c r="O373" s="5" t="inlineStr">
        <is>
          <t>no_suggestion</t>
        </is>
      </c>
      <c r="P373" s="16" t="inlineStr">
        <is>
          <t>No Suggestions available</t>
        </is>
      </c>
      <c r="Q373" s="16" t="inlineStr">
        <is>
          <t>P2 File Management Service</t>
        </is>
      </c>
      <c r="R373" s="16" t="inlineStr"/>
      <c r="S373" s="5" t="inlineStr">
        <is>
          <t>Confirmed</t>
        </is>
      </c>
    </row>
    <row r="374" ht="16" customHeight="1">
      <c r="A374" s="5" t="inlineStr">
        <is>
          <t>OWASP-S2-F022</t>
        </is>
      </c>
      <c r="B374" s="5" t="inlineStr">
        <is>
          <t>OWASP</t>
        </is>
      </c>
      <c r="C374" s="5" t="inlineStr">
        <is>
          <t>S2</t>
        </is>
      </c>
      <c r="D374" s="21" t="str">
        <f>IFERROR(VLOOKUP($G374,'02_REFERENCE'!$A$2:$S$99,4,FALSE),"N/A")</f>
        <v>N/A</v>
      </c>
      <c r="E374" s="21" t="str">
        <f>IFERROR(VLOOKUP($G374,'02_REFERENCE'!$A$2:$S$99,15,FALSE),"N/A")</f>
        <v>N/A</v>
      </c>
      <c r="F374" s="21" t="str">
        <f>IFERROR(VLOOKUP($G374,'02_REFERENCE'!$A$2:$S$99,17,FALSE),"N/A")</f>
        <v>N/A</v>
      </c>
      <c r="G374" s="21" t="inlineStr"/>
      <c r="H374" s="21" t="inlineStr">
        <is>
          <t>False Positive</t>
        </is>
      </c>
      <c r="I374" s="21" t="inlineStr">
        <is>
          <t>FP</t>
        </is>
      </c>
      <c r="J374" s="21" t="inlineStr">
        <is>
          <t>M</t>
        </is>
      </c>
      <c r="K374" s="21" t="inlineStr">
        <is>
          <t>N</t>
        </is>
      </c>
      <c r="L374" s="21" t="inlineStr">
        <is>
          <t>No</t>
        </is>
      </c>
      <c r="M374" s="21" t="inlineStr"/>
      <c r="N374" s="22" t="inlineStr">
        <is>
          <t>Generic least-privilege hardening template (horizontal/lateral EoP after compromise); no reference threat specifies this mechanism for this element.</t>
        </is>
      </c>
      <c r="O374" s="5" t="inlineStr">
        <is>
          <t>excessive_db_scope</t>
        </is>
      </c>
      <c r="P374" s="16" t="inlineStr">
        <is>
          <t>Least privilege</t>
        </is>
      </c>
      <c r="Q374" s="16" t="inlineStr">
        <is>
          <t>P3 File Validation Module</t>
        </is>
      </c>
      <c r="R374" s="16" t="inlineStr"/>
      <c r="S374" s="5" t="inlineStr">
        <is>
          <t>Confirmed</t>
        </is>
      </c>
    </row>
    <row r="375" ht="16" customHeight="1">
      <c r="A375" s="5" t="inlineStr">
        <is>
          <t>OWASP-S2-F023</t>
        </is>
      </c>
      <c r="B375" s="5" t="inlineStr">
        <is>
          <t>OWASP</t>
        </is>
      </c>
      <c r="C375" s="5" t="inlineStr">
        <is>
          <t>S2</t>
        </is>
      </c>
      <c r="D375" s="21" t="str">
        <f>IFERROR(VLOOKUP($G375,'02_REFERENCE'!$A$2:$S$99,4,FALSE),"N/A")</f>
        <v>N/A</v>
      </c>
      <c r="E375" s="21" t="str">
        <f>IFERROR(VLOOKUP($G375,'02_REFERENCE'!$A$2:$S$99,15,FALSE),"N/A")</f>
        <v>N/A</v>
      </c>
      <c r="F375" s="21" t="str">
        <f>IFERROR(VLOOKUP($G375,'02_REFERENCE'!$A$2:$S$99,17,FALSE),"N/A")</f>
        <v>N/A</v>
      </c>
      <c r="G375" s="21" t="inlineStr"/>
      <c r="H375" s="21" t="inlineStr">
        <is>
          <t>False Positive</t>
        </is>
      </c>
      <c r="I375" s="21" t="inlineStr">
        <is>
          <t>FP</t>
        </is>
      </c>
      <c r="J375" s="21" t="inlineStr">
        <is>
          <t>M</t>
        </is>
      </c>
      <c r="K375" s="21" t="inlineStr">
        <is>
          <t>N</t>
        </is>
      </c>
      <c r="L375" s="21" t="inlineStr">
        <is>
          <t>No</t>
        </is>
      </c>
      <c r="M375" s="21" t="inlineStr"/>
      <c r="N375" s="22" t="inlineStr">
        <is>
          <t>Expedition (OWASP Automated Threat #6): generic automation/abuse-agility template; no single reference mechanism matches (brute force / stuffing are distinct specialist mechanisms).</t>
        </is>
      </c>
      <c r="O375" s="5" t="inlineStr">
        <is>
          <t>expedition</t>
        </is>
      </c>
      <c r="P375" s="16" t="inlineStr">
        <is>
          <t>Expedition</t>
        </is>
      </c>
      <c r="Q375" s="16" t="inlineStr">
        <is>
          <t>P3 File Validation Module</t>
        </is>
      </c>
      <c r="R375" s="16" t="inlineStr"/>
      <c r="S375" s="5" t="inlineStr">
        <is>
          <t>Confirmed</t>
        </is>
      </c>
    </row>
    <row r="376" ht="16" customHeight="1">
      <c r="A376" s="5" t="inlineStr">
        <is>
          <t>OWASP-S2-F024</t>
        </is>
      </c>
      <c r="B376" s="5" t="inlineStr">
        <is>
          <t>OWASP</t>
        </is>
      </c>
      <c r="C376" s="5" t="inlineStr">
        <is>
          <t>S2</t>
        </is>
      </c>
      <c r="D376" s="21" t="str">
        <f>IFERROR(VLOOKUP($G376,'02_REFERENCE'!$A$2:$S$99,4,FALSE),"N/A")</f>
        <v>N/A</v>
      </c>
      <c r="E376" s="21" t="str">
        <f>IFERROR(VLOOKUP($G376,'02_REFERENCE'!$A$2:$S$99,15,FALSE),"N/A")</f>
        <v>N/A</v>
      </c>
      <c r="F376" s="21" t="str">
        <f>IFERROR(VLOOKUP($G376,'02_REFERENCE'!$A$2:$S$99,17,FALSE),"N/A")</f>
        <v>N/A</v>
      </c>
      <c r="G376" s="21" t="inlineStr"/>
      <c r="H376" s="21" t="inlineStr">
        <is>
          <t>False Positive</t>
        </is>
      </c>
      <c r="I376" s="21" t="inlineStr">
        <is>
          <t>FP</t>
        </is>
      </c>
      <c r="J376" s="21" t="inlineStr">
        <is>
          <t>M</t>
        </is>
      </c>
      <c r="K376" s="21" t="inlineStr">
        <is>
          <t>N</t>
        </is>
      </c>
      <c r="L376" s="21" t="inlineStr">
        <is>
          <t>No</t>
        </is>
      </c>
      <c r="M376" s="21" t="inlineStr"/>
      <c r="N376" s="22" t="inlineStr">
        <is>
          <t>Vulnerability scanning (OWASP Automated Threat #14): reconnaissance; not a security-failure mechanism present in the baseline.</t>
        </is>
      </c>
      <c r="O376" s="5" t="inlineStr">
        <is>
          <t>recon</t>
        </is>
      </c>
      <c r="P376" s="16" t="inlineStr">
        <is>
          <t>Vulnerability scanning</t>
        </is>
      </c>
      <c r="Q376" s="16" t="inlineStr">
        <is>
          <t>P3 File Validation Module</t>
        </is>
      </c>
      <c r="R376" s="16" t="inlineStr"/>
      <c r="S376" s="5" t="inlineStr">
        <is>
          <t>Confirmed</t>
        </is>
      </c>
    </row>
    <row r="377" ht="16" customHeight="1">
      <c r="A377" s="5" t="inlineStr">
        <is>
          <t>OWASP-S2-F025</t>
        </is>
      </c>
      <c r="B377" s="5" t="inlineStr">
        <is>
          <t>OWASP</t>
        </is>
      </c>
      <c r="C377" s="5" t="inlineStr">
        <is>
          <t>S2</t>
        </is>
      </c>
      <c r="D377" s="21" t="str">
        <f>IFERROR(VLOOKUP($G377,'02_REFERENCE'!$A$2:$S$99,4,FALSE),"N/A")</f>
        <v>Denial of Service</v>
      </c>
      <c r="E377" s="21" t="str">
        <f>IFERROR(VLOOKUP($G377,'02_REFERENCE'!$A$2:$S$99,15,FALSE),"N/A")</f>
        <v>High</v>
      </c>
      <c r="F377" s="21" t="str">
        <f>IFERROR(VLOOKUP($G377,'02_REFERENCE'!$A$2:$S$99,17,FALSE),"N/A")</f>
        <v>No</v>
      </c>
      <c r="G377" s="21" t="inlineStr">
        <is>
          <t>S2-RT-031</t>
        </is>
      </c>
      <c r="H377" s="21" t="inlineStr">
        <is>
          <t>Duplicate</t>
        </is>
      </c>
      <c r="I377" s="21" t="inlineStr">
        <is>
          <t>TP</t>
        </is>
      </c>
      <c r="J377" s="21" t="inlineStr">
        <is>
          <t>M</t>
        </is>
      </c>
      <c r="K377" s="21" t="inlineStr">
        <is>
          <t>N</t>
        </is>
      </c>
      <c r="L377" s="21" t="inlineStr">
        <is>
          <t>Yes</t>
        </is>
      </c>
      <c r="M377" s="21" t="inlineStr">
        <is>
          <t>OWASP-S2-F006</t>
        </is>
      </c>
      <c r="N377" s="22" t="inlineStr">
        <is>
          <t>Resource-exhaustion template on the primary service path -&gt; reference S2-RT-031. [Equivalence: restates OWASP-S2-F006 — one-to-one rule applied.]</t>
        </is>
      </c>
      <c r="O377" s="5" t="inlineStr">
        <is>
          <t>dos_service</t>
        </is>
      </c>
      <c r="P377" s="16" t="inlineStr">
        <is>
          <t>Denial of Service</t>
        </is>
      </c>
      <c r="Q377" s="16" t="inlineStr">
        <is>
          <t>P3 File Validation Module</t>
        </is>
      </c>
      <c r="R377" s="16" t="inlineStr"/>
      <c r="S377" s="5" t="inlineStr">
        <is>
          <t>Confirmed</t>
        </is>
      </c>
    </row>
    <row r="378" ht="16" customHeight="1">
      <c r="A378" s="5" t="inlineStr">
        <is>
          <t>OWASP-S2-F026</t>
        </is>
      </c>
      <c r="B378" s="5" t="inlineStr">
        <is>
          <t>OWASP</t>
        </is>
      </c>
      <c r="C378" s="5" t="inlineStr">
        <is>
          <t>S2</t>
        </is>
      </c>
      <c r="D378" s="21" t="str">
        <f>IFERROR(VLOOKUP($G378,'02_REFERENCE'!$A$2:$S$99,4,FALSE),"N/A")</f>
        <v>N/A</v>
      </c>
      <c r="E378" s="21" t="str">
        <f>IFERROR(VLOOKUP($G378,'02_REFERENCE'!$A$2:$S$99,15,FALSE),"N/A")</f>
        <v>N/A</v>
      </c>
      <c r="F378" s="21" t="str">
        <f>IFERROR(VLOOKUP($G378,'02_REFERENCE'!$A$2:$S$99,17,FALSE),"N/A")</f>
        <v>N/A</v>
      </c>
      <c r="G378" s="21" t="inlineStr"/>
      <c r="H378" s="21" t="inlineStr">
        <is>
          <t>False Positive</t>
        </is>
      </c>
      <c r="I378" s="21" t="inlineStr">
        <is>
          <t>FP</t>
        </is>
      </c>
      <c r="J378" s="21" t="inlineStr">
        <is>
          <t>M</t>
        </is>
      </c>
      <c r="K378" s="21" t="inlineStr">
        <is>
          <t>N</t>
        </is>
      </c>
      <c r="L378" s="21" t="inlineStr">
        <is>
          <t>No</t>
        </is>
      </c>
      <c r="M378" s="21" t="inlineStr"/>
      <c r="N378" s="22" t="inlineStr">
        <is>
          <t>Generic least-privilege hardening template (horizontal/lateral EoP after compromise); no reference threat specifies this mechanism for this element.</t>
        </is>
      </c>
      <c r="O378" s="5" t="inlineStr">
        <is>
          <t>excessive_db_scope</t>
        </is>
      </c>
      <c r="P378" s="16" t="inlineStr">
        <is>
          <t>Least privilege</t>
        </is>
      </c>
      <c r="Q378" s="16" t="inlineStr">
        <is>
          <t>AI File Assistant</t>
        </is>
      </c>
      <c r="R378" s="16" t="inlineStr"/>
      <c r="S378" s="5" t="inlineStr">
        <is>
          <t>Confirmed</t>
        </is>
      </c>
    </row>
    <row r="379" ht="16" customHeight="1">
      <c r="A379" s="5" t="inlineStr">
        <is>
          <t>OWASP-S2-F027</t>
        </is>
      </c>
      <c r="B379" s="5" t="inlineStr">
        <is>
          <t>OWASP</t>
        </is>
      </c>
      <c r="C379" s="5" t="inlineStr">
        <is>
          <t>S2</t>
        </is>
      </c>
      <c r="D379" s="21" t="str">
        <f>IFERROR(VLOOKUP($G379,'02_REFERENCE'!$A$2:$S$99,4,FALSE),"N/A")</f>
        <v>N/A</v>
      </c>
      <c r="E379" s="21" t="str">
        <f>IFERROR(VLOOKUP($G379,'02_REFERENCE'!$A$2:$S$99,15,FALSE),"N/A")</f>
        <v>N/A</v>
      </c>
      <c r="F379" s="21" t="str">
        <f>IFERROR(VLOOKUP($G379,'02_REFERENCE'!$A$2:$S$99,17,FALSE),"N/A")</f>
        <v>N/A</v>
      </c>
      <c r="G379" s="21" t="inlineStr"/>
      <c r="H379" s="21" t="inlineStr">
        <is>
          <t>False Positive</t>
        </is>
      </c>
      <c r="I379" s="21" t="inlineStr">
        <is>
          <t>FP</t>
        </is>
      </c>
      <c r="J379" s="21" t="inlineStr">
        <is>
          <t>M</t>
        </is>
      </c>
      <c r="K379" s="21" t="inlineStr">
        <is>
          <t>N</t>
        </is>
      </c>
      <c r="L379" s="21" t="inlineStr">
        <is>
          <t>No</t>
        </is>
      </c>
      <c r="M379" s="21" t="inlineStr"/>
      <c r="N379" s="22" t="inlineStr">
        <is>
          <t>Expedition (OWASP Automated Threat #6): generic automation/abuse-agility template; no single reference mechanism matches (brute force / stuffing are distinct specialist mechanisms).</t>
        </is>
      </c>
      <c r="O379" s="5" t="inlineStr">
        <is>
          <t>expedition</t>
        </is>
      </c>
      <c r="P379" s="16" t="inlineStr">
        <is>
          <t>Expedition</t>
        </is>
      </c>
      <c r="Q379" s="16" t="inlineStr">
        <is>
          <t>AI File Assistant</t>
        </is>
      </c>
      <c r="R379" s="16" t="inlineStr"/>
      <c r="S379" s="5" t="inlineStr">
        <is>
          <t>Confirmed</t>
        </is>
      </c>
    </row>
    <row r="380" ht="16" customHeight="1">
      <c r="A380" s="5" t="inlineStr">
        <is>
          <t>OWASP-S2-F028</t>
        </is>
      </c>
      <c r="B380" s="5" t="inlineStr">
        <is>
          <t>OWASP</t>
        </is>
      </c>
      <c r="C380" s="5" t="inlineStr">
        <is>
          <t>S2</t>
        </is>
      </c>
      <c r="D380" s="21" t="str">
        <f>IFERROR(VLOOKUP($G380,'02_REFERENCE'!$A$2:$S$99,4,FALSE),"N/A")</f>
        <v>N/A</v>
      </c>
      <c r="E380" s="21" t="str">
        <f>IFERROR(VLOOKUP($G380,'02_REFERENCE'!$A$2:$S$99,15,FALSE),"N/A")</f>
        <v>N/A</v>
      </c>
      <c r="F380" s="21" t="str">
        <f>IFERROR(VLOOKUP($G380,'02_REFERENCE'!$A$2:$S$99,17,FALSE),"N/A")</f>
        <v>N/A</v>
      </c>
      <c r="G380" s="21" t="inlineStr"/>
      <c r="H380" s="21" t="inlineStr">
        <is>
          <t>False Positive</t>
        </is>
      </c>
      <c r="I380" s="21" t="inlineStr">
        <is>
          <t>FP</t>
        </is>
      </c>
      <c r="J380" s="21" t="inlineStr">
        <is>
          <t>M</t>
        </is>
      </c>
      <c r="K380" s="21" t="inlineStr">
        <is>
          <t>N</t>
        </is>
      </c>
      <c r="L380" s="21" t="inlineStr">
        <is>
          <t>No</t>
        </is>
      </c>
      <c r="M380" s="21" t="inlineStr"/>
      <c r="N380" s="22" t="inlineStr">
        <is>
          <t>Vulnerability scanning (OWASP Automated Threat #14): reconnaissance; not a security-failure mechanism present in the baseline.</t>
        </is>
      </c>
      <c r="O380" s="5" t="inlineStr">
        <is>
          <t>recon</t>
        </is>
      </c>
      <c r="P380" s="16" t="inlineStr">
        <is>
          <t>Vulnerability scanning</t>
        </is>
      </c>
      <c r="Q380" s="16" t="inlineStr">
        <is>
          <t>AI File Assistant</t>
        </is>
      </c>
      <c r="R380" s="16" t="inlineStr"/>
      <c r="S380" s="5" t="inlineStr">
        <is>
          <t>Confirmed</t>
        </is>
      </c>
    </row>
    <row r="381" ht="16" customHeight="1">
      <c r="A381" s="5" t="inlineStr">
        <is>
          <t>OWASP-S2-F029</t>
        </is>
      </c>
      <c r="B381" s="5" t="inlineStr">
        <is>
          <t>OWASP</t>
        </is>
      </c>
      <c r="C381" s="5" t="inlineStr">
        <is>
          <t>S2</t>
        </is>
      </c>
      <c r="D381" s="21" t="str">
        <f>IFERROR(VLOOKUP($G381,'02_REFERENCE'!$A$2:$S$99,4,FALSE),"N/A")</f>
        <v>Denial of Service</v>
      </c>
      <c r="E381" s="21" t="str">
        <f>IFERROR(VLOOKUP($G381,'02_REFERENCE'!$A$2:$S$99,15,FALSE),"N/A")</f>
        <v>Medium</v>
      </c>
      <c r="F381" s="21" t="str">
        <f>IFERROR(VLOOKUP($G381,'02_REFERENCE'!$A$2:$S$99,17,FALSE),"N/A")</f>
        <v>Yes</v>
      </c>
      <c r="G381" s="21" t="inlineStr">
        <is>
          <t>S2-RT-033</t>
        </is>
      </c>
      <c r="H381" s="21" t="inlineStr">
        <is>
          <t>Primary TP</t>
        </is>
      </c>
      <c r="I381" s="21" t="inlineStr">
        <is>
          <t>TP</t>
        </is>
      </c>
      <c r="J381" s="21" t="inlineStr">
        <is>
          <t>M</t>
        </is>
      </c>
      <c r="K381" s="21" t="inlineStr">
        <is>
          <t>Y</t>
        </is>
      </c>
      <c r="L381" s="21" t="inlineStr">
        <is>
          <t>No</t>
        </is>
      </c>
      <c r="M381" s="21" t="inlineStr"/>
      <c r="N381" s="22" t="inlineStr">
        <is>
          <t>Resource-exhaustion template on the LLM pipeline component -&gt; reference S2-RT-033 (unbounded LLM pipeline consumption).</t>
        </is>
      </c>
      <c r="O381" s="5" t="inlineStr">
        <is>
          <t>llm_consumption</t>
        </is>
      </c>
      <c r="P381" s="16" t="inlineStr">
        <is>
          <t>Denial of Service</t>
        </is>
      </c>
      <c r="Q381" s="16" t="inlineStr">
        <is>
          <t>AI File Assistant</t>
        </is>
      </c>
      <c r="R381" s="16" t="inlineStr"/>
      <c r="S381" s="5" t="inlineStr">
        <is>
          <t>Confirmed</t>
        </is>
      </c>
    </row>
    <row r="382" ht="16" customHeight="1">
      <c r="A382" s="5" t="inlineStr">
        <is>
          <t>OWASP-S2-F030</t>
        </is>
      </c>
      <c r="B382" s="5" t="inlineStr">
        <is>
          <t>OWASP</t>
        </is>
      </c>
      <c r="C382" s="5" t="inlineStr">
        <is>
          <t>S2</t>
        </is>
      </c>
      <c r="D382" s="21" t="str">
        <f>IFERROR(VLOOKUP($G382,'02_REFERENCE'!$A$2:$S$99,4,FALSE),"N/A")</f>
        <v>N/A</v>
      </c>
      <c r="E382" s="21" t="str">
        <f>IFERROR(VLOOKUP($G382,'02_REFERENCE'!$A$2:$S$99,15,FALSE),"N/A")</f>
        <v>N/A</v>
      </c>
      <c r="F382" s="21" t="str">
        <f>IFERROR(VLOOKUP($G382,'02_REFERENCE'!$A$2:$S$99,17,FALSE),"N/A")</f>
        <v>N/A</v>
      </c>
      <c r="G382" s="21" t="inlineStr"/>
      <c r="H382" s="21" t="inlineStr">
        <is>
          <t>False Positive</t>
        </is>
      </c>
      <c r="I382" s="21" t="inlineStr">
        <is>
          <t>FP</t>
        </is>
      </c>
      <c r="J382" s="21" t="inlineStr">
        <is>
          <t>M</t>
        </is>
      </c>
      <c r="K382" s="21" t="inlineStr">
        <is>
          <t>N</t>
        </is>
      </c>
      <c r="L382" s="21" t="inlineStr">
        <is>
          <t>No</t>
        </is>
      </c>
      <c r="M382" s="21" t="inlineStr"/>
      <c r="N382" s="22" t="inlineStr">
        <is>
          <t>Footprinting/Fingerprinting (OWASP Automated Threat #18/#4): reconnaissance; no reference mechanism.</t>
        </is>
      </c>
      <c r="O382" s="5" t="inlineStr">
        <is>
          <t>recon</t>
        </is>
      </c>
      <c r="P382" s="16" t="inlineStr">
        <is>
          <t>Footprinting</t>
        </is>
      </c>
      <c r="Q382" s="16" t="inlineStr">
        <is>
          <t>AI File Assistant</t>
        </is>
      </c>
      <c r="R382" s="16" t="inlineStr"/>
      <c r="S382" s="5" t="inlineStr">
        <is>
          <t>Confirmed</t>
        </is>
      </c>
    </row>
    <row r="383" ht="16" customHeight="1">
      <c r="A383" s="5" t="inlineStr">
        <is>
          <t>OWASP-S2-F031</t>
        </is>
      </c>
      <c r="B383" s="5" t="inlineStr">
        <is>
          <t>OWASP</t>
        </is>
      </c>
      <c r="C383" s="5" t="inlineStr">
        <is>
          <t>S2</t>
        </is>
      </c>
      <c r="D383" s="21" t="str">
        <f>IFERROR(VLOOKUP($G383,'02_REFERENCE'!$A$2:$S$99,4,FALSE),"N/A")</f>
        <v>N/A</v>
      </c>
      <c r="E383" s="21" t="str">
        <f>IFERROR(VLOOKUP($G383,'02_REFERENCE'!$A$2:$S$99,15,FALSE),"N/A")</f>
        <v>N/A</v>
      </c>
      <c r="F383" s="21" t="str">
        <f>IFERROR(VLOOKUP($G383,'02_REFERENCE'!$A$2:$S$99,17,FALSE),"N/A")</f>
        <v>N/A</v>
      </c>
      <c r="G383" s="21" t="inlineStr"/>
      <c r="H383" s="21" t="inlineStr">
        <is>
          <t>False Positive</t>
        </is>
      </c>
      <c r="I383" s="21" t="inlineStr">
        <is>
          <t>FP</t>
        </is>
      </c>
      <c r="J383" s="21" t="inlineStr">
        <is>
          <t>M</t>
        </is>
      </c>
      <c r="K383" s="21" t="inlineStr">
        <is>
          <t>N</t>
        </is>
      </c>
      <c r="L383" s="21" t="inlineStr">
        <is>
          <t>No</t>
        </is>
      </c>
      <c r="M383" s="21" t="inlineStr"/>
      <c r="N383" s="22" t="inlineStr">
        <is>
          <t>Expedition (OWASP Automated Threat #6): generic automation/abuse-agility template; no single reference mechanism matches (brute force / stuffing are distinct specialist mechanisms).</t>
        </is>
      </c>
      <c r="O383" s="5" t="inlineStr">
        <is>
          <t>expedition</t>
        </is>
      </c>
      <c r="P383" s="16" t="inlineStr">
        <is>
          <t>Expedition</t>
        </is>
      </c>
      <c r="Q383" s="16" t="inlineStr">
        <is>
          <t>P5 LLM Integration Service</t>
        </is>
      </c>
      <c r="R383" s="16" t="inlineStr"/>
      <c r="S383" s="5" t="inlineStr">
        <is>
          <t>Confirmed</t>
        </is>
      </c>
    </row>
    <row r="384" ht="16" customHeight="1">
      <c r="A384" s="5" t="inlineStr">
        <is>
          <t>OWASP-S2-F032</t>
        </is>
      </c>
      <c r="B384" s="5" t="inlineStr">
        <is>
          <t>OWASP</t>
        </is>
      </c>
      <c r="C384" s="5" t="inlineStr">
        <is>
          <t>S2</t>
        </is>
      </c>
      <c r="D384" s="21" t="str">
        <f>IFERROR(VLOOKUP($G384,'02_REFERENCE'!$A$2:$S$99,4,FALSE),"N/A")</f>
        <v>N/A</v>
      </c>
      <c r="E384" s="21" t="str">
        <f>IFERROR(VLOOKUP($G384,'02_REFERENCE'!$A$2:$S$99,15,FALSE),"N/A")</f>
        <v>N/A</v>
      </c>
      <c r="F384" s="21" t="str">
        <f>IFERROR(VLOOKUP($G384,'02_REFERENCE'!$A$2:$S$99,17,FALSE),"N/A")</f>
        <v>N/A</v>
      </c>
      <c r="G384" s="21" t="inlineStr"/>
      <c r="H384" s="21" t="inlineStr">
        <is>
          <t>False Positive</t>
        </is>
      </c>
      <c r="I384" s="21" t="inlineStr">
        <is>
          <t>FP</t>
        </is>
      </c>
      <c r="J384" s="21" t="inlineStr">
        <is>
          <t>M</t>
        </is>
      </c>
      <c r="K384" s="21" t="inlineStr">
        <is>
          <t>N</t>
        </is>
      </c>
      <c r="L384" s="21" t="inlineStr">
        <is>
          <t>No</t>
        </is>
      </c>
      <c r="M384" s="21" t="inlineStr"/>
      <c r="N384" s="22" t="inlineStr">
        <is>
          <t>Vulnerability scanning (OWASP Automated Threat #14): reconnaissance; not a security-failure mechanism present in the baseline.</t>
        </is>
      </c>
      <c r="O384" s="5" t="inlineStr">
        <is>
          <t>recon</t>
        </is>
      </c>
      <c r="P384" s="16" t="inlineStr">
        <is>
          <t>Vulnerability scanning</t>
        </is>
      </c>
      <c r="Q384" s="16" t="inlineStr">
        <is>
          <t>P5 LLM Integration Service</t>
        </is>
      </c>
      <c r="R384" s="16" t="inlineStr"/>
      <c r="S384" s="5" t="inlineStr">
        <is>
          <t>Confirmed</t>
        </is>
      </c>
    </row>
    <row r="385" ht="16" customHeight="1">
      <c r="A385" s="5" t="inlineStr">
        <is>
          <t>OWASP-S2-F033</t>
        </is>
      </c>
      <c r="B385" s="5" t="inlineStr">
        <is>
          <t>OWASP</t>
        </is>
      </c>
      <c r="C385" s="5" t="inlineStr">
        <is>
          <t>S2</t>
        </is>
      </c>
      <c r="D385" s="21" t="str">
        <f>IFERROR(VLOOKUP($G385,'02_REFERENCE'!$A$2:$S$99,4,FALSE),"N/A")</f>
        <v>Denial of Service</v>
      </c>
      <c r="E385" s="21" t="str">
        <f>IFERROR(VLOOKUP($G385,'02_REFERENCE'!$A$2:$S$99,15,FALSE),"N/A")</f>
        <v>Medium</v>
      </c>
      <c r="F385" s="21" t="str">
        <f>IFERROR(VLOOKUP($G385,'02_REFERENCE'!$A$2:$S$99,17,FALSE),"N/A")</f>
        <v>Yes</v>
      </c>
      <c r="G385" s="21" t="inlineStr">
        <is>
          <t>S2-RT-033</t>
        </is>
      </c>
      <c r="H385" s="21" t="inlineStr">
        <is>
          <t>Duplicate</t>
        </is>
      </c>
      <c r="I385" s="21" t="inlineStr">
        <is>
          <t>TP</t>
        </is>
      </c>
      <c r="J385" s="21" t="inlineStr">
        <is>
          <t>M</t>
        </is>
      </c>
      <c r="K385" s="21" t="inlineStr">
        <is>
          <t>N</t>
        </is>
      </c>
      <c r="L385" s="21" t="inlineStr">
        <is>
          <t>Yes</t>
        </is>
      </c>
      <c r="M385" s="21" t="inlineStr">
        <is>
          <t>OWASP-S2-F029</t>
        </is>
      </c>
      <c r="N385" s="22" t="inlineStr">
        <is>
          <t>Resource-exhaustion template on the LLM pipeline component -&gt; reference S2-RT-033 (unbounded LLM pipeline consumption). [Equivalence: restates OWASP-S2-F029 — one-to-one rule applied.]</t>
        </is>
      </c>
      <c r="O385" s="5" t="inlineStr">
        <is>
          <t>llm_consumption</t>
        </is>
      </c>
      <c r="P385" s="16" t="inlineStr">
        <is>
          <t>Denial of Service</t>
        </is>
      </c>
      <c r="Q385" s="16" t="inlineStr">
        <is>
          <t>P5 LLM Integration Service</t>
        </is>
      </c>
      <c r="R385" s="16" t="inlineStr"/>
      <c r="S385" s="5" t="inlineStr">
        <is>
          <t>Confirmed</t>
        </is>
      </c>
    </row>
    <row r="386" ht="16" customHeight="1">
      <c r="A386" s="5" t="inlineStr">
        <is>
          <t>OWASP-S2-F034</t>
        </is>
      </c>
      <c r="B386" s="5" t="inlineStr">
        <is>
          <t>OWASP</t>
        </is>
      </c>
      <c r="C386" s="5" t="inlineStr">
        <is>
          <t>S2</t>
        </is>
      </c>
      <c r="D386" s="21" t="str">
        <f>IFERROR(VLOOKUP($G386,'02_REFERENCE'!$A$2:$S$99,4,FALSE),"N/A")</f>
        <v>Information Disclosure</v>
      </c>
      <c r="E386" s="21" t="str">
        <f>IFERROR(VLOOKUP($G386,'02_REFERENCE'!$A$2:$S$99,15,FALSE),"N/A")</f>
        <v>Critical</v>
      </c>
      <c r="F386" s="21" t="str">
        <f>IFERROR(VLOOKUP($G386,'02_REFERENCE'!$A$2:$S$99,17,FALSE),"N/A")</f>
        <v>No</v>
      </c>
      <c r="G386" s="21" t="inlineStr">
        <is>
          <t>S2-RT-015</t>
        </is>
      </c>
      <c r="H386" s="21" t="inlineStr">
        <is>
          <t>Primary TP</t>
        </is>
      </c>
      <c r="I386" s="21" t="inlineStr">
        <is>
          <t>TP</t>
        </is>
      </c>
      <c r="J386" s="21" t="inlineStr">
        <is>
          <t>M</t>
        </is>
      </c>
      <c r="K386" s="21" t="inlineStr">
        <is>
          <t>Y</t>
        </is>
      </c>
      <c r="L386" s="21" t="inlineStr">
        <is>
          <t>No</t>
        </is>
      </c>
      <c r="M386" s="21" t="inlineStr"/>
      <c r="N386" s="22" t="inlineStr">
        <is>
          <t>Scraping (OWASP Automated Threat #11) on the user-data-store element: automated bulk collection of stored user data corresponds to the mass-disclosure mechanism -&gt; reference S2-RT-015.</t>
        </is>
      </c>
      <c r="O386" s="5" t="inlineStr">
        <is>
          <t>mass_disclosure</t>
        </is>
      </c>
      <c r="P386" s="16" t="inlineStr">
        <is>
          <t>Scraping</t>
        </is>
      </c>
      <c r="Q386" s="16" t="inlineStr">
        <is>
          <t>DS2 User Permission Database</t>
        </is>
      </c>
      <c r="R386" s="16" t="inlineStr"/>
      <c r="S386" s="5" t="inlineStr">
        <is>
          <t>Confirmed</t>
        </is>
      </c>
    </row>
    <row r="387" ht="16" customHeight="1">
      <c r="A387" s="5" t="inlineStr">
        <is>
          <t>OWASP-S2-F035</t>
        </is>
      </c>
      <c r="B387" s="5" t="inlineStr">
        <is>
          <t>OWASP</t>
        </is>
      </c>
      <c r="C387" s="5" t="inlineStr">
        <is>
          <t>S2</t>
        </is>
      </c>
      <c r="D387" s="21" t="str">
        <f>IFERROR(VLOOKUP($G387,'02_REFERENCE'!$A$2:$S$99,4,FALSE),"N/A")</f>
        <v>N/A</v>
      </c>
      <c r="E387" s="21" t="str">
        <f>IFERROR(VLOOKUP($G387,'02_REFERENCE'!$A$2:$S$99,15,FALSE),"N/A")</f>
        <v>N/A</v>
      </c>
      <c r="F387" s="21" t="str">
        <f>IFERROR(VLOOKUP($G387,'02_REFERENCE'!$A$2:$S$99,17,FALSE),"N/A")</f>
        <v>N/A</v>
      </c>
      <c r="G387" s="21" t="inlineStr"/>
      <c r="H387" s="21" t="inlineStr">
        <is>
          <t>False Positive</t>
        </is>
      </c>
      <c r="I387" s="21" t="inlineStr">
        <is>
          <t>FP</t>
        </is>
      </c>
      <c r="J387" s="21" t="inlineStr">
        <is>
          <t>M</t>
        </is>
      </c>
      <c r="K387" s="21" t="inlineStr">
        <is>
          <t>N</t>
        </is>
      </c>
      <c r="L387" s="21" t="inlineStr">
        <is>
          <t>No</t>
        </is>
      </c>
      <c r="M387" s="21" t="inlineStr"/>
      <c r="N387" s="22" t="inlineStr">
        <is>
          <t>Skewing (OWASP Automated Threat #16): metric-frequency gaming; no matching reference mechanism.</t>
        </is>
      </c>
      <c r="O387" s="5" t="inlineStr">
        <is>
          <t>skew_spam</t>
        </is>
      </c>
      <c r="P387" s="16" t="inlineStr">
        <is>
          <t>Skewing</t>
        </is>
      </c>
      <c r="Q387" s="16" t="inlineStr">
        <is>
          <t>DS2 User Permission Database</t>
        </is>
      </c>
      <c r="R387" s="16" t="inlineStr"/>
      <c r="S387" s="5" t="inlineStr">
        <is>
          <t>Confirmed</t>
        </is>
      </c>
    </row>
    <row r="388" ht="16" customHeight="1">
      <c r="A388" s="5" t="inlineStr">
        <is>
          <t>OWASP-S2-F036</t>
        </is>
      </c>
      <c r="B388" s="5" t="inlineStr">
        <is>
          <t>OWASP</t>
        </is>
      </c>
      <c r="C388" s="5" t="inlineStr">
        <is>
          <t>S2</t>
        </is>
      </c>
      <c r="D388" s="21" t="str">
        <f>IFERROR(VLOOKUP($G388,'02_REFERENCE'!$A$2:$S$99,4,FALSE),"N/A")</f>
        <v>Tampering</v>
      </c>
      <c r="E388" s="21" t="str">
        <f>IFERROR(VLOOKUP($G388,'02_REFERENCE'!$A$2:$S$99,15,FALSE),"N/A")</f>
        <v>High</v>
      </c>
      <c r="F388" s="21" t="str">
        <f>IFERROR(VLOOKUP($G388,'02_REFERENCE'!$A$2:$S$99,17,FALSE),"N/A")</f>
        <v>No</v>
      </c>
      <c r="G388" s="21" t="inlineStr">
        <is>
          <t>S2-RT-011</t>
        </is>
      </c>
      <c r="H388" s="21" t="inlineStr">
        <is>
          <t>Primary TP</t>
        </is>
      </c>
      <c r="I388" s="21" t="inlineStr">
        <is>
          <t>TP</t>
        </is>
      </c>
      <c r="J388" s="21" t="inlineStr">
        <is>
          <t>M</t>
        </is>
      </c>
      <c r="K388" s="21" t="inlineStr">
        <is>
          <t>Y</t>
        </is>
      </c>
      <c r="L388" s="21" t="inlineStr">
        <is>
          <t>No</t>
        </is>
      </c>
      <c r="M388" s="21" t="inlineStr"/>
      <c r="N388" s="22" t="inlineStr">
        <is>
          <t>Storing malicious content (OWASP Automated Threat #17) in the permission/ownership store served to clients -&gt; active content in client context -&gt; reference S2-RT-011 (stored active content executed in the application client context).</t>
        </is>
      </c>
      <c r="O388" s="5" t="inlineStr">
        <is>
          <t>stored_active_content</t>
        </is>
      </c>
      <c r="P388" s="16" t="inlineStr">
        <is>
          <t>Spamming</t>
        </is>
      </c>
      <c r="Q388" s="16" t="inlineStr">
        <is>
          <t>DS2 User Permission Database</t>
        </is>
      </c>
      <c r="R388" s="16" t="inlineStr"/>
      <c r="S388" s="5" t="inlineStr">
        <is>
          <t>Confirmed</t>
        </is>
      </c>
    </row>
    <row r="389" ht="16" customHeight="1">
      <c r="A389" s="5" t="inlineStr">
        <is>
          <t>OWASP-S2-F037</t>
        </is>
      </c>
      <c r="B389" s="5" t="inlineStr">
        <is>
          <t>OWASP</t>
        </is>
      </c>
      <c r="C389" s="5" t="inlineStr">
        <is>
          <t>S2</t>
        </is>
      </c>
      <c r="D389" s="21" t="str">
        <f>IFERROR(VLOOKUP($G389,'02_REFERENCE'!$A$2:$S$99,4,FALSE),"N/A")</f>
        <v>N/A</v>
      </c>
      <c r="E389" s="21" t="str">
        <f>IFERROR(VLOOKUP($G389,'02_REFERENCE'!$A$2:$S$99,15,FALSE),"N/A")</f>
        <v>N/A</v>
      </c>
      <c r="F389" s="21" t="str">
        <f>IFERROR(VLOOKUP($G389,'02_REFERENCE'!$A$2:$S$99,17,FALSE),"N/A")</f>
        <v>N/A</v>
      </c>
      <c r="G389" s="21" t="inlineStr"/>
      <c r="H389" s="21" t="inlineStr">
        <is>
          <t>False Positive</t>
        </is>
      </c>
      <c r="I389" s="21" t="inlineStr">
        <is>
          <t>FP</t>
        </is>
      </c>
      <c r="J389" s="21" t="inlineStr">
        <is>
          <t>M</t>
        </is>
      </c>
      <c r="K389" s="21" t="inlineStr">
        <is>
          <t>N</t>
        </is>
      </c>
      <c r="L389" s="21" t="inlineStr">
        <is>
          <t>No</t>
        </is>
      </c>
      <c r="M389" s="21" t="inlineStr"/>
      <c r="N389" s="22" t="inlineStr">
        <is>
          <t>Scraping (OWASP Automated Threat #11) on a non-user-store element: collection of accessible application output, not the store-layer bulk-read mechanism of the mass-disclosure reference.</t>
        </is>
      </c>
      <c r="O389" s="5" t="inlineStr">
        <is>
          <t>mass_disclosure</t>
        </is>
      </c>
      <c r="P389" s="16" t="inlineStr">
        <is>
          <t>Scraping</t>
        </is>
      </c>
      <c r="Q389" s="16" t="inlineStr">
        <is>
          <t>P2 File Management Service</t>
        </is>
      </c>
      <c r="R389" s="16" t="inlineStr"/>
      <c r="S389" s="5" t="inlineStr">
        <is>
          <t>Confirmed</t>
        </is>
      </c>
    </row>
    <row r="390" ht="16" customHeight="1">
      <c r="A390" s="5" t="inlineStr">
        <is>
          <t>OWASP-S2-F038</t>
        </is>
      </c>
      <c r="B390" s="5" t="inlineStr">
        <is>
          <t>OWASP</t>
        </is>
      </c>
      <c r="C390" s="5" t="inlineStr">
        <is>
          <t>S2</t>
        </is>
      </c>
      <c r="D390" s="21" t="str">
        <f>IFERROR(VLOOKUP($G390,'02_REFERENCE'!$A$2:$S$99,4,FALSE),"N/A")</f>
        <v>N/A</v>
      </c>
      <c r="E390" s="21" t="str">
        <f>IFERROR(VLOOKUP($G390,'02_REFERENCE'!$A$2:$S$99,15,FALSE),"N/A")</f>
        <v>N/A</v>
      </c>
      <c r="F390" s="21" t="str">
        <f>IFERROR(VLOOKUP($G390,'02_REFERENCE'!$A$2:$S$99,17,FALSE),"N/A")</f>
        <v>N/A</v>
      </c>
      <c r="G390" s="21" t="inlineStr"/>
      <c r="H390" s="21" t="inlineStr">
        <is>
          <t>False Positive</t>
        </is>
      </c>
      <c r="I390" s="21" t="inlineStr">
        <is>
          <t>FP</t>
        </is>
      </c>
      <c r="J390" s="21" t="inlineStr">
        <is>
          <t>M</t>
        </is>
      </c>
      <c r="K390" s="21" t="inlineStr">
        <is>
          <t>N</t>
        </is>
      </c>
      <c r="L390" s="21" t="inlineStr">
        <is>
          <t>No</t>
        </is>
      </c>
      <c r="M390" s="21" t="inlineStr"/>
      <c r="N390" s="22" t="inlineStr">
        <is>
          <t>Skewing (OWASP Automated Threat #16): metric-frequency gaming; no matching reference mechanism.</t>
        </is>
      </c>
      <c r="O390" s="5" t="inlineStr">
        <is>
          <t>skew_spam</t>
        </is>
      </c>
      <c r="P390" s="16" t="inlineStr">
        <is>
          <t>Skewing</t>
        </is>
      </c>
      <c r="Q390" s="16" t="inlineStr">
        <is>
          <t>P2 File Management Service</t>
        </is>
      </c>
      <c r="R390" s="16" t="inlineStr"/>
      <c r="S390" s="5" t="inlineStr">
        <is>
          <t>Confirmed</t>
        </is>
      </c>
    </row>
    <row r="391" ht="16" customHeight="1">
      <c r="A391" s="5" t="inlineStr">
        <is>
          <t>OWASP-S2-F039</t>
        </is>
      </c>
      <c r="B391" s="5" t="inlineStr">
        <is>
          <t>OWASP</t>
        </is>
      </c>
      <c r="C391" s="5" t="inlineStr">
        <is>
          <t>S2</t>
        </is>
      </c>
      <c r="D391" s="21" t="str">
        <f>IFERROR(VLOOKUP($G391,'02_REFERENCE'!$A$2:$S$99,4,FALSE),"N/A")</f>
        <v>Tampering</v>
      </c>
      <c r="E391" s="21" t="str">
        <f>IFERROR(VLOOKUP($G391,'02_REFERENCE'!$A$2:$S$99,15,FALSE),"N/A")</f>
        <v>Critical</v>
      </c>
      <c r="F391" s="21" t="str">
        <f>IFERROR(VLOOKUP($G391,'02_REFERENCE'!$A$2:$S$99,17,FALSE),"N/A")</f>
        <v>No</v>
      </c>
      <c r="G391" s="21" t="inlineStr">
        <is>
          <t>S2-RT-010</t>
        </is>
      </c>
      <c r="H391" s="21" t="inlineStr">
        <is>
          <t>Primary TP</t>
        </is>
      </c>
      <c r="I391" s="21" t="inlineStr">
        <is>
          <t>TP</t>
        </is>
      </c>
      <c r="J391" s="21" t="inlineStr">
        <is>
          <t>M</t>
        </is>
      </c>
      <c r="K391" s="21" t="inlineStr">
        <is>
          <t>Y</t>
        </is>
      </c>
      <c r="L391" s="21" t="inlineStr">
        <is>
          <t>No</t>
        </is>
      </c>
      <c r="M391" s="21" t="inlineStr"/>
      <c r="N391" s="22" t="inlineStr">
        <is>
          <t>Storing malicious content (OWASP Automated Threat #17) through the file-management/upload path -&gt; platform-mediated distribution of attacker content -&gt; reference S2-RT-010 (malicious file upload and platform-mediated distribution).</t>
        </is>
      </c>
      <c r="O391" s="5" t="inlineStr">
        <is>
          <t>malicious_upload</t>
        </is>
      </c>
      <c r="P391" s="16" t="inlineStr">
        <is>
          <t>Spamming</t>
        </is>
      </c>
      <c r="Q391" s="16" t="inlineStr">
        <is>
          <t>P2 File Management Service</t>
        </is>
      </c>
      <c r="R391" s="16" t="inlineStr"/>
      <c r="S391" s="5" t="inlineStr">
        <is>
          <t>Confirmed</t>
        </is>
      </c>
    </row>
    <row r="392" ht="16" customHeight="1">
      <c r="A392" s="5" t="inlineStr">
        <is>
          <t>TMT-S2-F001</t>
        </is>
      </c>
      <c r="B392" s="5" t="inlineStr">
        <is>
          <t>TMT</t>
        </is>
      </c>
      <c r="C392" s="5" t="inlineStr">
        <is>
          <t>S2</t>
        </is>
      </c>
      <c r="D392" s="21" t="str">
        <f>IFERROR(VLOOKUP($G392,'02_REFERENCE'!$A$2:$S$99,4,FALSE),"N/A")</f>
        <v>N/A</v>
      </c>
      <c r="E392" s="21" t="str">
        <f>IFERROR(VLOOKUP($G392,'02_REFERENCE'!$A$2:$S$99,15,FALSE),"N/A")</f>
        <v>N/A</v>
      </c>
      <c r="F392" s="21" t="str">
        <f>IFERROR(VLOOKUP($G392,'02_REFERENCE'!$A$2:$S$99,17,FALSE),"N/A")</f>
        <v>N/A</v>
      </c>
      <c r="G392" s="21" t="inlineStr"/>
      <c r="H392" s="21" t="inlineStr">
        <is>
          <t>False Positive</t>
        </is>
      </c>
      <c r="I392" s="21" t="inlineStr">
        <is>
          <t>FP</t>
        </is>
      </c>
      <c r="J392" s="21" t="inlineStr">
        <is>
          <t>M</t>
        </is>
      </c>
      <c r="K392" s="21" t="inlineStr">
        <is>
          <t>N</t>
        </is>
      </c>
      <c r="L392" s="21" t="inlineStr">
        <is>
          <t>No</t>
        </is>
      </c>
      <c r="M392" s="21" t="inlineStr"/>
      <c r="N392" s="22" t="inlineStr">
        <is>
          <t>Process-identity spoofing / memory-integrity template; no reference mechanism (authentication bypass RT-004 is logic-based, not process-spoofing).</t>
        </is>
      </c>
      <c r="O392" s="5" t="inlineStr"/>
      <c r="P392" s="16" t="inlineStr">
        <is>
          <t>EE1 Authenticated User Process Memory Tampered</t>
        </is>
      </c>
      <c r="Q392" s="16" t="inlineStr">
        <is>
          <t>scenario 2</t>
        </is>
      </c>
      <c r="R392" s="16" t="inlineStr">
        <is>
          <t>File Upload Submission</t>
        </is>
      </c>
      <c r="S392" s="5" t="inlineStr">
        <is>
          <t>Confirmed</t>
        </is>
      </c>
    </row>
    <row r="393" ht="16" customHeight="1">
      <c r="A393" s="5" t="inlineStr">
        <is>
          <t>TMT-S2-F002</t>
        </is>
      </c>
      <c r="B393" s="5" t="inlineStr">
        <is>
          <t>TMT</t>
        </is>
      </c>
      <c r="C393" s="5" t="inlineStr">
        <is>
          <t>S2</t>
        </is>
      </c>
      <c r="D393" s="21" t="str">
        <f>IFERROR(VLOOKUP($G393,'02_REFERENCE'!$A$2:$S$99,4,FALSE),"N/A")</f>
        <v>N/A</v>
      </c>
      <c r="E393" s="21" t="str">
        <f>IFERROR(VLOOKUP($G393,'02_REFERENCE'!$A$2:$S$99,15,FALSE),"N/A")</f>
        <v>N/A</v>
      </c>
      <c r="F393" s="21" t="str">
        <f>IFERROR(VLOOKUP($G393,'02_REFERENCE'!$A$2:$S$99,17,FALSE),"N/A")</f>
        <v>N/A</v>
      </c>
      <c r="G393" s="21" t="inlineStr"/>
      <c r="H393" s="21" t="inlineStr">
        <is>
          <t>False Positive</t>
        </is>
      </c>
      <c r="I393" s="21" t="inlineStr">
        <is>
          <t>FP</t>
        </is>
      </c>
      <c r="J393" s="21" t="inlineStr">
        <is>
          <t>M</t>
        </is>
      </c>
      <c r="K393" s="21" t="inlineStr">
        <is>
          <t>N</t>
        </is>
      </c>
      <c r="L393" s="21" t="inlineStr">
        <is>
          <t>No</t>
        </is>
      </c>
      <c r="M393" s="21" t="inlineStr"/>
      <c r="N393" s="22" t="inlineStr">
        <is>
          <t>XSS template on a flow without a matching reference mechanism (no generic XSS reference in the baseline).</t>
        </is>
      </c>
      <c r="O393" s="5" t="inlineStr"/>
      <c r="P393" s="16" t="inlineStr">
        <is>
          <t>Cross Site Scripting</t>
        </is>
      </c>
      <c r="Q393" s="16" t="inlineStr">
        <is>
          <t>scenario 2</t>
        </is>
      </c>
      <c r="R393" s="16" t="inlineStr">
        <is>
          <t>File Upload Submission</t>
        </is>
      </c>
      <c r="S393" s="5" t="inlineStr">
        <is>
          <t>Confirmed</t>
        </is>
      </c>
    </row>
    <row r="394" ht="16" customHeight="1">
      <c r="A394" s="5" t="inlineStr">
        <is>
          <t>TMT-S2-F003</t>
        </is>
      </c>
      <c r="B394" s="5" t="inlineStr">
        <is>
          <t>TMT</t>
        </is>
      </c>
      <c r="C394" s="5" t="inlineStr">
        <is>
          <t>S2</t>
        </is>
      </c>
      <c r="D394" s="21" t="str">
        <f>IFERROR(VLOOKUP($G394,'02_REFERENCE'!$A$2:$S$99,4,FALSE),"N/A")</f>
        <v>N/A</v>
      </c>
      <c r="E394" s="21" t="str">
        <f>IFERROR(VLOOKUP($G394,'02_REFERENCE'!$A$2:$S$99,15,FALSE),"N/A")</f>
        <v>N/A</v>
      </c>
      <c r="F394" s="21" t="str">
        <f>IFERROR(VLOOKUP($G394,'02_REFERENCE'!$A$2:$S$99,17,FALSE),"N/A")</f>
        <v>N/A</v>
      </c>
      <c r="G394" s="21" t="inlineStr"/>
      <c r="H394" s="21" t="inlineStr">
        <is>
          <t>False Positive</t>
        </is>
      </c>
      <c r="I394" s="21" t="inlineStr">
        <is>
          <t>FP</t>
        </is>
      </c>
      <c r="J394" s="21" t="inlineStr">
        <is>
          <t>M</t>
        </is>
      </c>
      <c r="K394" s="21" t="inlineStr">
        <is>
          <t>N</t>
        </is>
      </c>
      <c r="L394" s="21" t="inlineStr">
        <is>
          <t>No</t>
        </is>
      </c>
      <c r="M394" s="21" t="inlineStr"/>
      <c r="N394" s="22" t="inlineStr">
        <is>
          <t>Process-identity spoofing / memory-integrity template; no reference mechanism (authentication bypass RT-004 is logic-based, not process-spoofing).</t>
        </is>
      </c>
      <c r="O394" s="5" t="inlineStr"/>
      <c r="P394" s="16" t="inlineStr">
        <is>
          <t>Elevation Using Impersonation</t>
        </is>
      </c>
      <c r="Q394" s="16" t="inlineStr">
        <is>
          <t>scenario 2</t>
        </is>
      </c>
      <c r="R394" s="16" t="inlineStr">
        <is>
          <t>File Upload Submission</t>
        </is>
      </c>
      <c r="S394" s="5" t="inlineStr">
        <is>
          <t>Confirmed</t>
        </is>
      </c>
    </row>
    <row r="395" ht="16" customHeight="1">
      <c r="A395" s="5" t="inlineStr">
        <is>
          <t>TMT-S2-F004</t>
        </is>
      </c>
      <c r="B395" s="5" t="inlineStr">
        <is>
          <t>TMT</t>
        </is>
      </c>
      <c r="C395" s="5" t="inlineStr">
        <is>
          <t>S2</t>
        </is>
      </c>
      <c r="D395" s="21" t="str">
        <f>IFERROR(VLOOKUP($G395,'02_REFERENCE'!$A$2:$S$99,4,FALSE),"N/A")</f>
        <v>N/A</v>
      </c>
      <c r="E395" s="21" t="str">
        <f>IFERROR(VLOOKUP($G395,'02_REFERENCE'!$A$2:$S$99,15,FALSE),"N/A")</f>
        <v>N/A</v>
      </c>
      <c r="F395" s="21" t="str">
        <f>IFERROR(VLOOKUP($G395,'02_REFERENCE'!$A$2:$S$99,17,FALSE),"N/A")</f>
        <v>N/A</v>
      </c>
      <c r="G395" s="21" t="inlineStr"/>
      <c r="H395" s="21" t="inlineStr">
        <is>
          <t>False Positive</t>
        </is>
      </c>
      <c r="I395" s="21" t="inlineStr">
        <is>
          <t>FP</t>
        </is>
      </c>
      <c r="J395" s="21" t="inlineStr">
        <is>
          <t>M</t>
        </is>
      </c>
      <c r="K395" s="21" t="inlineStr">
        <is>
          <t>N</t>
        </is>
      </c>
      <c r="L395" s="21" t="inlineStr">
        <is>
          <t>No</t>
        </is>
      </c>
      <c r="M395" s="21" t="inlineStr"/>
      <c r="N395" s="22" t="inlineStr">
        <is>
          <t>Process-identity spoofing / memory-integrity template; no reference mechanism (authentication bypass RT-004 is logic-based, not process-spoofing).</t>
        </is>
      </c>
      <c r="O395" s="5" t="inlineStr"/>
      <c r="P395" s="16" t="inlineStr">
        <is>
          <t>P1 Web Frontend Process Memory Tampered</t>
        </is>
      </c>
      <c r="Q395" s="16" t="inlineStr">
        <is>
          <t>scenario 2</t>
        </is>
      </c>
      <c r="R395" s="16" t="inlineStr">
        <is>
          <t>Forwarded Uploaded file</t>
        </is>
      </c>
      <c r="S395" s="5" t="inlineStr">
        <is>
          <t>Confirmed</t>
        </is>
      </c>
    </row>
    <row r="396" ht="16" customHeight="1">
      <c r="A396" s="5" t="inlineStr">
        <is>
          <t>TMT-S2-F005</t>
        </is>
      </c>
      <c r="B396" s="5" t="inlineStr">
        <is>
          <t>TMT</t>
        </is>
      </c>
      <c r="C396" s="5" t="inlineStr">
        <is>
          <t>S2</t>
        </is>
      </c>
      <c r="D396" s="21" t="str">
        <f>IFERROR(VLOOKUP($G396,'02_REFERENCE'!$A$2:$S$99,4,FALSE),"N/A")</f>
        <v>N/A</v>
      </c>
      <c r="E396" s="21" t="str">
        <f>IFERROR(VLOOKUP($G396,'02_REFERENCE'!$A$2:$S$99,15,FALSE),"N/A")</f>
        <v>N/A</v>
      </c>
      <c r="F396" s="21" t="str">
        <f>IFERROR(VLOOKUP($G396,'02_REFERENCE'!$A$2:$S$99,17,FALSE),"N/A")</f>
        <v>N/A</v>
      </c>
      <c r="G396" s="21" t="inlineStr"/>
      <c r="H396" s="21" t="inlineStr">
        <is>
          <t>False Positive</t>
        </is>
      </c>
      <c r="I396" s="21" t="inlineStr">
        <is>
          <t>FP</t>
        </is>
      </c>
      <c r="J396" s="21" t="inlineStr">
        <is>
          <t>M</t>
        </is>
      </c>
      <c r="K396" s="21" t="inlineStr">
        <is>
          <t>N</t>
        </is>
      </c>
      <c r="L396" s="21" t="inlineStr">
        <is>
          <t>No</t>
        </is>
      </c>
      <c r="M396" s="21" t="inlineStr"/>
      <c r="N396" s="22" t="inlineStr">
        <is>
          <t>Process-identity spoofing / memory-integrity template; no reference mechanism (authentication bypass RT-004 is logic-based, not process-spoofing).</t>
        </is>
      </c>
      <c r="O396" s="5" t="inlineStr"/>
      <c r="P396" s="16" t="inlineStr">
        <is>
          <t>Elevation Using Impersonation</t>
        </is>
      </c>
      <c r="Q396" s="16" t="inlineStr">
        <is>
          <t>scenario 2</t>
        </is>
      </c>
      <c r="R396" s="16" t="inlineStr">
        <is>
          <t>Forwarded Uploaded file</t>
        </is>
      </c>
      <c r="S396" s="5" t="inlineStr">
        <is>
          <t>Confirmed</t>
        </is>
      </c>
    </row>
    <row r="397" ht="16" customHeight="1">
      <c r="A397" s="5" t="inlineStr">
        <is>
          <t>TMT-S2-F006</t>
        </is>
      </c>
      <c r="B397" s="5" t="inlineStr">
        <is>
          <t>TMT</t>
        </is>
      </c>
      <c r="C397" s="5" t="inlineStr">
        <is>
          <t>S2</t>
        </is>
      </c>
      <c r="D397" s="21" t="str">
        <f>IFERROR(VLOOKUP($G397,'02_REFERENCE'!$A$2:$S$99,4,FALSE),"N/A")</f>
        <v>N/A</v>
      </c>
      <c r="E397" s="21" t="str">
        <f>IFERROR(VLOOKUP($G397,'02_REFERENCE'!$A$2:$S$99,15,FALSE),"N/A")</f>
        <v>N/A</v>
      </c>
      <c r="F397" s="21" t="str">
        <f>IFERROR(VLOOKUP($G397,'02_REFERENCE'!$A$2:$S$99,17,FALSE),"N/A")</f>
        <v>N/A</v>
      </c>
      <c r="G397" s="21" t="inlineStr"/>
      <c r="H397" s="21" t="inlineStr">
        <is>
          <t>False Positive</t>
        </is>
      </c>
      <c r="I397" s="21" t="inlineStr">
        <is>
          <t>FP</t>
        </is>
      </c>
      <c r="J397" s="21" t="inlineStr">
        <is>
          <t>M</t>
        </is>
      </c>
      <c r="K397" s="21" t="inlineStr">
        <is>
          <t>N</t>
        </is>
      </c>
      <c r="L397" s="21" t="inlineStr">
        <is>
          <t>No</t>
        </is>
      </c>
      <c r="M397" s="21" t="inlineStr"/>
      <c r="N397" s="22" t="inlineStr">
        <is>
          <t>Process-identity spoofing / memory-integrity template; no reference mechanism (authentication bypass RT-004 is logic-based, not process-spoofing).</t>
        </is>
      </c>
      <c r="O397" s="5" t="inlineStr"/>
      <c r="P397" s="16" t="inlineStr">
        <is>
          <t>P2 Backend File Processing Service Process Memory Tampered</t>
        </is>
      </c>
      <c r="Q397" s="16" t="inlineStr">
        <is>
          <t>scenario 2</t>
        </is>
      </c>
      <c r="R397" s="16" t="inlineStr">
        <is>
          <t>File for validation</t>
        </is>
      </c>
      <c r="S397" s="5" t="inlineStr">
        <is>
          <t>Confirmed</t>
        </is>
      </c>
    </row>
    <row r="398" ht="16" customHeight="1">
      <c r="A398" s="5" t="inlineStr">
        <is>
          <t>TMT-S2-F007</t>
        </is>
      </c>
      <c r="B398" s="5" t="inlineStr">
        <is>
          <t>TMT</t>
        </is>
      </c>
      <c r="C398" s="5" t="inlineStr">
        <is>
          <t>S2</t>
        </is>
      </c>
      <c r="D398" s="21" t="str">
        <f>IFERROR(VLOOKUP($G398,'02_REFERENCE'!$A$2:$S$99,4,FALSE),"N/A")</f>
        <v>N/A</v>
      </c>
      <c r="E398" s="21" t="str">
        <f>IFERROR(VLOOKUP($G398,'02_REFERENCE'!$A$2:$S$99,15,FALSE),"N/A")</f>
        <v>N/A</v>
      </c>
      <c r="F398" s="21" t="str">
        <f>IFERROR(VLOOKUP($G398,'02_REFERENCE'!$A$2:$S$99,17,FALSE),"N/A")</f>
        <v>N/A</v>
      </c>
      <c r="G398" s="21" t="inlineStr"/>
      <c r="H398" s="21" t="inlineStr">
        <is>
          <t>False Positive</t>
        </is>
      </c>
      <c r="I398" s="21" t="inlineStr">
        <is>
          <t>FP</t>
        </is>
      </c>
      <c r="J398" s="21" t="inlineStr">
        <is>
          <t>M</t>
        </is>
      </c>
      <c r="K398" s="21" t="inlineStr">
        <is>
          <t>N</t>
        </is>
      </c>
      <c r="L398" s="21" t="inlineStr">
        <is>
          <t>No</t>
        </is>
      </c>
      <c r="M398" s="21" t="inlineStr"/>
      <c r="N398" s="22" t="inlineStr">
        <is>
          <t>Process-identity spoofing / memory-integrity template; no reference mechanism (authentication bypass RT-004 is logic-based, not process-spoofing).</t>
        </is>
      </c>
      <c r="O398" s="5" t="inlineStr"/>
      <c r="P398" s="16" t="inlineStr">
        <is>
          <t>Elevation Using Impersonation</t>
        </is>
      </c>
      <c r="Q398" s="16" t="inlineStr">
        <is>
          <t>scenario 2</t>
        </is>
      </c>
      <c r="R398" s="16" t="inlineStr">
        <is>
          <t>File for validation</t>
        </is>
      </c>
      <c r="S398" s="5" t="inlineStr">
        <is>
          <t>Confirmed</t>
        </is>
      </c>
    </row>
    <row r="399" ht="16" customHeight="1">
      <c r="A399" s="5" t="inlineStr">
        <is>
          <t>TMT-S2-F008</t>
        </is>
      </c>
      <c r="B399" s="5" t="inlineStr">
        <is>
          <t>TMT</t>
        </is>
      </c>
      <c r="C399" s="5" t="inlineStr">
        <is>
          <t>S2</t>
        </is>
      </c>
      <c r="D399" s="21" t="str">
        <f>IFERROR(VLOOKUP($G399,'02_REFERENCE'!$A$2:$S$99,4,FALSE),"N/A")</f>
        <v>Denial of Service</v>
      </c>
      <c r="E399" s="21" t="str">
        <f>IFERROR(VLOOKUP($G399,'02_REFERENCE'!$A$2:$S$99,15,FALSE),"N/A")</f>
        <v>High</v>
      </c>
      <c r="F399" s="21" t="str">
        <f>IFERROR(VLOOKUP($G399,'02_REFERENCE'!$A$2:$S$99,17,FALSE),"N/A")</f>
        <v>No</v>
      </c>
      <c r="G399" s="21" t="inlineStr">
        <is>
          <t>S2-RT-031</t>
        </is>
      </c>
      <c r="H399" s="21" t="inlineStr">
        <is>
          <t>Primary TP</t>
        </is>
      </c>
      <c r="I399" s="21" t="inlineStr">
        <is>
          <t>TP</t>
        </is>
      </c>
      <c r="J399" s="21" t="inlineStr">
        <is>
          <t>M</t>
        </is>
      </c>
      <c r="K399" s="21" t="inlineStr">
        <is>
          <t>Y</t>
        </is>
      </c>
      <c r="L399" s="21" t="inlineStr">
        <is>
          <t>No</t>
        </is>
      </c>
      <c r="M399" s="21" t="inlineStr"/>
      <c r="N399" s="22" t="inlineStr">
        <is>
          <t>Excessive resource consumption of the primary service -&gt; reference S2-RT-031.</t>
        </is>
      </c>
      <c r="O399" s="5" t="inlineStr">
        <is>
          <t>dos_service</t>
        </is>
      </c>
      <c r="P399" s="16" t="inlineStr">
        <is>
          <t>Potential Excessive Resource Consumption for P2 Backend File Processing Service or DS1 Server Storage Repository</t>
        </is>
      </c>
      <c r="Q399" s="16" t="inlineStr">
        <is>
          <t>scenario 2</t>
        </is>
      </c>
      <c r="R399" s="16" t="inlineStr">
        <is>
          <t>Validated file + metadata for storage</t>
        </is>
      </c>
      <c r="S399" s="5" t="inlineStr">
        <is>
          <t>Confirmed</t>
        </is>
      </c>
    </row>
    <row r="400" ht="16" customHeight="1">
      <c r="A400" s="5" t="inlineStr">
        <is>
          <t>TMT-S2-F009</t>
        </is>
      </c>
      <c r="B400" s="5" t="inlineStr">
        <is>
          <t>TMT</t>
        </is>
      </c>
      <c r="C400" s="5" t="inlineStr">
        <is>
          <t>S2</t>
        </is>
      </c>
      <c r="D400" s="21" t="str">
        <f>IFERROR(VLOOKUP($G400,'02_REFERENCE'!$A$2:$S$99,4,FALSE),"N/A")</f>
        <v>N/A</v>
      </c>
      <c r="E400" s="21" t="str">
        <f>IFERROR(VLOOKUP($G400,'02_REFERENCE'!$A$2:$S$99,15,FALSE),"N/A")</f>
        <v>N/A</v>
      </c>
      <c r="F400" s="21" t="str">
        <f>IFERROR(VLOOKUP($G400,'02_REFERENCE'!$A$2:$S$99,17,FALSE),"N/A")</f>
        <v>N/A</v>
      </c>
      <c r="G400" s="21" t="inlineStr"/>
      <c r="H400" s="21" t="inlineStr">
        <is>
          <t>False Positive</t>
        </is>
      </c>
      <c r="I400" s="21" t="inlineStr">
        <is>
          <t>FP</t>
        </is>
      </c>
      <c r="J400" s="21" t="inlineStr">
        <is>
          <t>M</t>
        </is>
      </c>
      <c r="K400" s="21" t="inlineStr">
        <is>
          <t>N</t>
        </is>
      </c>
      <c r="L400" s="21" t="inlineStr">
        <is>
          <t>No</t>
        </is>
      </c>
      <c r="M400" s="21" t="inlineStr"/>
      <c r="N400" s="22" t="inlineStr">
        <is>
          <t>Process-identity spoofing / memory-integrity template; no reference mechanism (authentication bypass RT-004 is logic-based, not process-spoofing).</t>
        </is>
      </c>
      <c r="O400" s="5" t="inlineStr"/>
      <c r="P400" s="16" t="inlineStr">
        <is>
          <t>Spoofing of Destination Data Store DS1 Server Storage Repository</t>
        </is>
      </c>
      <c r="Q400" s="16" t="inlineStr">
        <is>
          <t>scenario 2</t>
        </is>
      </c>
      <c r="R400" s="16" t="inlineStr">
        <is>
          <t>Validated file + metadata for storage</t>
        </is>
      </c>
      <c r="S400" s="5" t="inlineStr">
        <is>
          <t>Confirmed</t>
        </is>
      </c>
    </row>
    <row r="401" ht="16" customHeight="1">
      <c r="A401" s="5" t="inlineStr">
        <is>
          <t>TMT-S2-F010</t>
        </is>
      </c>
      <c r="B401" s="5" t="inlineStr">
        <is>
          <t>TMT</t>
        </is>
      </c>
      <c r="C401" s="5" t="inlineStr">
        <is>
          <t>S2</t>
        </is>
      </c>
      <c r="D401" s="21" t="str">
        <f>IFERROR(VLOOKUP($G401,'02_REFERENCE'!$A$2:$S$99,4,FALSE),"N/A")</f>
        <v>N/A</v>
      </c>
      <c r="E401" s="21" t="str">
        <f>IFERROR(VLOOKUP($G401,'02_REFERENCE'!$A$2:$S$99,15,FALSE),"N/A")</f>
        <v>N/A</v>
      </c>
      <c r="F401" s="21" t="str">
        <f>IFERROR(VLOOKUP($G401,'02_REFERENCE'!$A$2:$S$99,17,FALSE),"N/A")</f>
        <v>N/A</v>
      </c>
      <c r="G401" s="21" t="inlineStr"/>
      <c r="H401" s="21" t="inlineStr">
        <is>
          <t>False Positive</t>
        </is>
      </c>
      <c r="I401" s="21" t="inlineStr">
        <is>
          <t>FP</t>
        </is>
      </c>
      <c r="J401" s="21" t="inlineStr">
        <is>
          <t>M</t>
        </is>
      </c>
      <c r="K401" s="21" t="inlineStr">
        <is>
          <t>N</t>
        </is>
      </c>
      <c r="L401" s="21" t="inlineStr">
        <is>
          <t>No</t>
        </is>
      </c>
      <c r="M401" s="21" t="inlineStr"/>
      <c r="N401" s="22" t="inlineStr">
        <is>
          <t>Process-identity spoofing / memory-integrity template; no reference mechanism (authentication bypass RT-004 is logic-based, not process-spoofing).</t>
        </is>
      </c>
      <c r="O401" s="5" t="inlineStr"/>
      <c r="P401" s="16" t="inlineStr">
        <is>
          <t>P4 File Retrieval Handler Process Memory Tampered</t>
        </is>
      </c>
      <c r="Q401" s="16" t="inlineStr">
        <is>
          <t>scenario 2</t>
        </is>
      </c>
      <c r="R401" s="16" t="inlineStr">
        <is>
          <t>Retrieved file</t>
        </is>
      </c>
      <c r="S401" s="5" t="inlineStr">
        <is>
          <t>Confirmed</t>
        </is>
      </c>
    </row>
    <row r="402" ht="16" customHeight="1">
      <c r="A402" s="5" t="inlineStr">
        <is>
          <t>TMT-S2-F011</t>
        </is>
      </c>
      <c r="B402" s="5" t="inlineStr">
        <is>
          <t>TMT</t>
        </is>
      </c>
      <c r="C402" s="5" t="inlineStr">
        <is>
          <t>S2</t>
        </is>
      </c>
      <c r="D402" s="21" t="str">
        <f>IFERROR(VLOOKUP($G402,'02_REFERENCE'!$A$2:$S$99,4,FALSE),"N/A")</f>
        <v>Information Disclosure</v>
      </c>
      <c r="E402" s="21" t="str">
        <f>IFERROR(VLOOKUP($G402,'02_REFERENCE'!$A$2:$S$99,15,FALSE),"N/A")</f>
        <v>Critical</v>
      </c>
      <c r="F402" s="21" t="str">
        <f>IFERROR(VLOOKUP($G402,'02_REFERENCE'!$A$2:$S$99,17,FALSE),"N/A")</f>
        <v>No</v>
      </c>
      <c r="G402" s="21" t="inlineStr">
        <is>
          <t>S2-RT-015</t>
        </is>
      </c>
      <c r="H402" s="21" t="inlineStr">
        <is>
          <t>Primary TP</t>
        </is>
      </c>
      <c r="I402" s="21" t="inlineStr">
        <is>
          <t>TP</t>
        </is>
      </c>
      <c r="J402" s="21" t="inlineStr">
        <is>
          <t>M</t>
        </is>
      </c>
      <c r="K402" s="21" t="inlineStr">
        <is>
          <t>Y</t>
        </is>
      </c>
      <c r="L402" s="21" t="inlineStr">
        <is>
          <t>No</t>
        </is>
      </c>
      <c r="M402" s="21" t="inlineStr"/>
      <c r="N402" s="22" t="inlineStr">
        <is>
          <t>Weak access control on a data-store resource -&gt; unauthorized read of store contents -&gt; reference S2-RT-015.</t>
        </is>
      </c>
      <c r="O402" s="5" t="inlineStr">
        <is>
          <t>mass_disclosure</t>
        </is>
      </c>
      <c r="P402" s="16" t="inlineStr">
        <is>
          <t>Weak Access Control for a Resource</t>
        </is>
      </c>
      <c r="Q402" s="16" t="inlineStr">
        <is>
          <t>scenario 2</t>
        </is>
      </c>
      <c r="R402" s="16" t="inlineStr">
        <is>
          <t>File reference identifier</t>
        </is>
      </c>
      <c r="S402" s="5" t="inlineStr">
        <is>
          <t>Confirmed</t>
        </is>
      </c>
    </row>
    <row r="403" ht="16" customHeight="1">
      <c r="A403" s="5" t="inlineStr">
        <is>
          <t>TMT-S2-F012</t>
        </is>
      </c>
      <c r="B403" s="5" t="inlineStr">
        <is>
          <t>TMT</t>
        </is>
      </c>
      <c r="C403" s="5" t="inlineStr">
        <is>
          <t>S2</t>
        </is>
      </c>
      <c r="D403" s="21" t="str">
        <f>IFERROR(VLOOKUP($G403,'02_REFERENCE'!$A$2:$S$99,4,FALSE),"N/A")</f>
        <v>N/A</v>
      </c>
      <c r="E403" s="21" t="str">
        <f>IFERROR(VLOOKUP($G403,'02_REFERENCE'!$A$2:$S$99,15,FALSE),"N/A")</f>
        <v>N/A</v>
      </c>
      <c r="F403" s="21" t="str">
        <f>IFERROR(VLOOKUP($G403,'02_REFERENCE'!$A$2:$S$99,17,FALSE),"N/A")</f>
        <v>N/A</v>
      </c>
      <c r="G403" s="21" t="inlineStr"/>
      <c r="H403" s="21" t="inlineStr">
        <is>
          <t>False Positive</t>
        </is>
      </c>
      <c r="I403" s="21" t="inlineStr">
        <is>
          <t>FP</t>
        </is>
      </c>
      <c r="J403" s="21" t="inlineStr">
        <is>
          <t>M</t>
        </is>
      </c>
      <c r="K403" s="21" t="inlineStr">
        <is>
          <t>N</t>
        </is>
      </c>
      <c r="L403" s="21" t="inlineStr">
        <is>
          <t>No</t>
        </is>
      </c>
      <c r="M403" s="21" t="inlineStr"/>
      <c r="N403" s="22" t="inlineStr">
        <is>
          <t>Process-identity spoofing / memory-integrity template; no reference mechanism (authentication bypass RT-004 is logic-based, not process-spoofing).</t>
        </is>
      </c>
      <c r="O403" s="5" t="inlineStr"/>
      <c r="P403" s="16" t="inlineStr">
        <is>
          <t>Spoofing of Source Data Store DS1 Server Storage Repository</t>
        </is>
      </c>
      <c r="Q403" s="16" t="inlineStr">
        <is>
          <t>scenario 2</t>
        </is>
      </c>
      <c r="R403" s="16" t="inlineStr">
        <is>
          <t>File reference identifier</t>
        </is>
      </c>
      <c r="S403" s="5" t="inlineStr">
        <is>
          <t>Confirmed</t>
        </is>
      </c>
    </row>
    <row r="404" ht="16" customHeight="1">
      <c r="A404" s="5" t="inlineStr">
        <is>
          <t>TMT-S2-F013</t>
        </is>
      </c>
      <c r="B404" s="5" t="inlineStr">
        <is>
          <t>TMT</t>
        </is>
      </c>
      <c r="C404" s="5" t="inlineStr">
        <is>
          <t>S2</t>
        </is>
      </c>
      <c r="D404" s="21" t="str">
        <f>IFERROR(VLOOKUP($G404,'02_REFERENCE'!$A$2:$S$99,4,FALSE),"N/A")</f>
        <v>N/A</v>
      </c>
      <c r="E404" s="21" t="str">
        <f>IFERROR(VLOOKUP($G404,'02_REFERENCE'!$A$2:$S$99,15,FALSE),"N/A")</f>
        <v>N/A</v>
      </c>
      <c r="F404" s="21" t="str">
        <f>IFERROR(VLOOKUP($G404,'02_REFERENCE'!$A$2:$S$99,17,FALSE),"N/A")</f>
        <v>N/A</v>
      </c>
      <c r="G404" s="21" t="inlineStr"/>
      <c r="H404" s="21" t="inlineStr">
        <is>
          <t>False Positive</t>
        </is>
      </c>
      <c r="I404" s="21" t="inlineStr">
        <is>
          <t>FP</t>
        </is>
      </c>
      <c r="J404" s="21" t="inlineStr">
        <is>
          <t>M</t>
        </is>
      </c>
      <c r="K404" s="21" t="inlineStr">
        <is>
          <t>N</t>
        </is>
      </c>
      <c r="L404" s="21" t="inlineStr">
        <is>
          <t>No</t>
        </is>
      </c>
      <c r="M404" s="21" t="inlineStr"/>
      <c r="N404" s="22" t="inlineStr">
        <is>
          <t>Process-identity spoofing / memory-integrity template; no reference mechanism (authentication bypass RT-004 is logic-based, not process-spoofing).</t>
        </is>
      </c>
      <c r="O404" s="5" t="inlineStr"/>
      <c r="P404" s="16" t="inlineStr">
        <is>
          <t>Elevation Using Impersonation</t>
        </is>
      </c>
      <c r="Q404" s="16" t="inlineStr">
        <is>
          <t>scenario 2</t>
        </is>
      </c>
      <c r="R404" s="16" t="inlineStr">
        <is>
          <t>Download request with file identifier</t>
        </is>
      </c>
      <c r="S404" s="5" t="inlineStr">
        <is>
          <t>Confirmed</t>
        </is>
      </c>
    </row>
    <row r="405" ht="16" customHeight="1">
      <c r="A405" s="5" t="inlineStr">
        <is>
          <t>TMT-S2-F014</t>
        </is>
      </c>
      <c r="B405" s="5" t="inlineStr">
        <is>
          <t>TMT</t>
        </is>
      </c>
      <c r="C405" s="5" t="inlineStr">
        <is>
          <t>S2</t>
        </is>
      </c>
      <c r="D405" s="21" t="str">
        <f>IFERROR(VLOOKUP($G405,'02_REFERENCE'!$A$2:$S$99,4,FALSE),"N/A")</f>
        <v>N/A</v>
      </c>
      <c r="E405" s="21" t="str">
        <f>IFERROR(VLOOKUP($G405,'02_REFERENCE'!$A$2:$S$99,15,FALSE),"N/A")</f>
        <v>N/A</v>
      </c>
      <c r="F405" s="21" t="str">
        <f>IFERROR(VLOOKUP($G405,'02_REFERENCE'!$A$2:$S$99,17,FALSE),"N/A")</f>
        <v>N/A</v>
      </c>
      <c r="G405" s="21" t="inlineStr"/>
      <c r="H405" s="21" t="inlineStr">
        <is>
          <t>False Positive</t>
        </is>
      </c>
      <c r="I405" s="21" t="inlineStr">
        <is>
          <t>FP</t>
        </is>
      </c>
      <c r="J405" s="21" t="inlineStr">
        <is>
          <t>M</t>
        </is>
      </c>
      <c r="K405" s="21" t="inlineStr">
        <is>
          <t>N</t>
        </is>
      </c>
      <c r="L405" s="21" t="inlineStr">
        <is>
          <t>No</t>
        </is>
      </c>
      <c r="M405" s="21" t="inlineStr"/>
      <c r="N405" s="22" t="inlineStr">
        <is>
          <t>Process-identity spoofing / memory-integrity template; no reference mechanism (authentication bypass RT-004 is logic-based, not process-spoofing).</t>
        </is>
      </c>
      <c r="O405" s="5" t="inlineStr"/>
      <c r="P405" s="16" t="inlineStr">
        <is>
          <t>P1 Web Frontend Process Memory Tampered</t>
        </is>
      </c>
      <c r="Q405" s="16" t="inlineStr">
        <is>
          <t>scenario 2</t>
        </is>
      </c>
      <c r="R405" s="16" t="inlineStr">
        <is>
          <t>Download request with file identifier</t>
        </is>
      </c>
      <c r="S405" s="5" t="inlineStr">
        <is>
          <t>Confirmed</t>
        </is>
      </c>
    </row>
    <row r="406" ht="16" customHeight="1">
      <c r="A406" s="5" t="inlineStr">
        <is>
          <t>TMT-S2-F015</t>
        </is>
      </c>
      <c r="B406" s="5" t="inlineStr">
        <is>
          <t>TMT</t>
        </is>
      </c>
      <c r="C406" s="5" t="inlineStr">
        <is>
          <t>S2</t>
        </is>
      </c>
      <c r="D406" s="21" t="str">
        <f>IFERROR(VLOOKUP($G406,'02_REFERENCE'!$A$2:$S$99,4,FALSE),"N/A")</f>
        <v>Tampering</v>
      </c>
      <c r="E406" s="21" t="str">
        <f>IFERROR(VLOOKUP($G406,'02_REFERENCE'!$A$2:$S$99,15,FALSE),"N/A")</f>
        <v>High</v>
      </c>
      <c r="F406" s="21" t="str">
        <f>IFERROR(VLOOKUP($G406,'02_REFERENCE'!$A$2:$S$99,17,FALSE),"N/A")</f>
        <v>No</v>
      </c>
      <c r="G406" s="21" t="inlineStr">
        <is>
          <t>S2-RT-011</t>
        </is>
      </c>
      <c r="H406" s="21" t="inlineStr">
        <is>
          <t>Primary TP</t>
        </is>
      </c>
      <c r="I406" s="21" t="inlineStr">
        <is>
          <t>TP</t>
        </is>
      </c>
      <c r="J406" s="21" t="inlineStr">
        <is>
          <t>M</t>
        </is>
      </c>
      <c r="K406" s="21" t="inlineStr">
        <is>
          <t>Y</t>
        </is>
      </c>
      <c r="L406" s="21" t="inlineStr">
        <is>
          <t>No</t>
        </is>
      </c>
      <c r="M406" s="21" t="inlineStr"/>
      <c r="N406" s="22" t="inlineStr">
        <is>
          <t>XSS template on a retrieved-file flow -&gt; stored active content executed in the client context through retrieved files -&gt; reference S2-RT-011.</t>
        </is>
      </c>
      <c r="O406" s="5" t="inlineStr">
        <is>
          <t>stored_active_content</t>
        </is>
      </c>
      <c r="P406" s="16" t="inlineStr">
        <is>
          <t>Cross Site Scripting</t>
        </is>
      </c>
      <c r="Q406" s="16" t="inlineStr">
        <is>
          <t>scenario 2</t>
        </is>
      </c>
      <c r="R406" s="16" t="inlineStr">
        <is>
          <t>Retrieved file</t>
        </is>
      </c>
      <c r="S406" s="5" t="inlineStr">
        <is>
          <t>Confirmed</t>
        </is>
      </c>
    </row>
    <row r="407" ht="16" customHeight="1">
      <c r="A407" s="5" t="inlineStr">
        <is>
          <t>TMT-S2-F016</t>
        </is>
      </c>
      <c r="B407" s="5" t="inlineStr">
        <is>
          <t>TMT</t>
        </is>
      </c>
      <c r="C407" s="5" t="inlineStr">
        <is>
          <t>S2</t>
        </is>
      </c>
      <c r="D407" s="21" t="str">
        <f>IFERROR(VLOOKUP($G407,'02_REFERENCE'!$A$2:$S$99,4,FALSE),"N/A")</f>
        <v>N/A</v>
      </c>
      <c r="E407" s="21" t="str">
        <f>IFERROR(VLOOKUP($G407,'02_REFERENCE'!$A$2:$S$99,15,FALSE),"N/A")</f>
        <v>N/A</v>
      </c>
      <c r="F407" s="21" t="str">
        <f>IFERROR(VLOOKUP($G407,'02_REFERENCE'!$A$2:$S$99,17,FALSE),"N/A")</f>
        <v>N/A</v>
      </c>
      <c r="G407" s="21" t="inlineStr"/>
      <c r="H407" s="21" t="inlineStr">
        <is>
          <t>False Positive</t>
        </is>
      </c>
      <c r="I407" s="21" t="inlineStr">
        <is>
          <t>FP</t>
        </is>
      </c>
      <c r="J407" s="21" t="inlineStr">
        <is>
          <t>M</t>
        </is>
      </c>
      <c r="K407" s="21" t="inlineStr">
        <is>
          <t>N</t>
        </is>
      </c>
      <c r="L407" s="21" t="inlineStr">
        <is>
          <t>No</t>
        </is>
      </c>
      <c r="M407" s="21" t="inlineStr"/>
      <c r="N407" s="22" t="inlineStr">
        <is>
          <t>Process-identity spoofing / memory-integrity template; no reference mechanism (authentication bypass RT-004 is logic-based, not process-spoofing).</t>
        </is>
      </c>
      <c r="O407" s="5" t="inlineStr"/>
      <c r="P407" s="16" t="inlineStr">
        <is>
          <t>Elevation Using Impersonation</t>
        </is>
      </c>
      <c r="Q407" s="16" t="inlineStr">
        <is>
          <t>scenario 2</t>
        </is>
      </c>
      <c r="R407" s="16" t="inlineStr">
        <is>
          <t>Retrieved file</t>
        </is>
      </c>
      <c r="S407" s="5" t="inlineStr">
        <is>
          <t>Confirmed</t>
        </is>
      </c>
    </row>
    <row r="408" ht="16" customHeight="1">
      <c r="A408" s="5" t="inlineStr">
        <is>
          <t>TMT-S2-F017</t>
        </is>
      </c>
      <c r="B408" s="5" t="inlineStr">
        <is>
          <t>TMT</t>
        </is>
      </c>
      <c r="C408" s="5" t="inlineStr">
        <is>
          <t>S2</t>
        </is>
      </c>
      <c r="D408" s="21" t="str">
        <f>IFERROR(VLOOKUP($G408,'02_REFERENCE'!$A$2:$S$99,4,FALSE),"N/A")</f>
        <v>N/A</v>
      </c>
      <c r="E408" s="21" t="str">
        <f>IFERROR(VLOOKUP($G408,'02_REFERENCE'!$A$2:$S$99,15,FALSE),"N/A")</f>
        <v>N/A</v>
      </c>
      <c r="F408" s="21" t="str">
        <f>IFERROR(VLOOKUP($G408,'02_REFERENCE'!$A$2:$S$99,17,FALSE),"N/A")</f>
        <v>N/A</v>
      </c>
      <c r="G408" s="21" t="inlineStr"/>
      <c r="H408" s="21" t="inlineStr">
        <is>
          <t>False Positive</t>
        </is>
      </c>
      <c r="I408" s="21" t="inlineStr">
        <is>
          <t>FP</t>
        </is>
      </c>
      <c r="J408" s="21" t="inlineStr">
        <is>
          <t>M</t>
        </is>
      </c>
      <c r="K408" s="21" t="inlineStr">
        <is>
          <t>N</t>
        </is>
      </c>
      <c r="L408" s="21" t="inlineStr">
        <is>
          <t>No</t>
        </is>
      </c>
      <c r="M408" s="21" t="inlineStr"/>
      <c r="N408" s="22" t="inlineStr">
        <is>
          <t>Process-identity spoofing / memory-integrity template; no reference mechanism (authentication bypass RT-004 is logic-based, not process-spoofing).</t>
        </is>
      </c>
      <c r="O408" s="5" t="inlineStr"/>
      <c r="P408" s="16" t="inlineStr">
        <is>
          <t>EE1 Authenticated User Process Memory Tampered</t>
        </is>
      </c>
      <c r="Q408" s="16" t="inlineStr">
        <is>
          <t>scenario 2</t>
        </is>
      </c>
      <c r="R408" s="16" t="inlineStr">
        <is>
          <t>Download request with file identifier</t>
        </is>
      </c>
      <c r="S408" s="5" t="inlineStr">
        <is>
          <t>Confirmed</t>
        </is>
      </c>
    </row>
    <row r="409" ht="16" customHeight="1">
      <c r="A409" s="5" t="inlineStr">
        <is>
          <t>TMT-S2-F018</t>
        </is>
      </c>
      <c r="B409" s="5" t="inlineStr">
        <is>
          <t>TMT</t>
        </is>
      </c>
      <c r="C409" s="5" t="inlineStr">
        <is>
          <t>S2</t>
        </is>
      </c>
      <c r="D409" s="21" t="str">
        <f>IFERROR(VLOOKUP($G409,'02_REFERENCE'!$A$2:$S$99,4,FALSE),"N/A")</f>
        <v>N/A</v>
      </c>
      <c r="E409" s="21" t="str">
        <f>IFERROR(VLOOKUP($G409,'02_REFERENCE'!$A$2:$S$99,15,FALSE),"N/A")</f>
        <v>N/A</v>
      </c>
      <c r="F409" s="21" t="str">
        <f>IFERROR(VLOOKUP($G409,'02_REFERENCE'!$A$2:$S$99,17,FALSE),"N/A")</f>
        <v>N/A</v>
      </c>
      <c r="G409" s="21" t="inlineStr"/>
      <c r="H409" s="21" t="inlineStr">
        <is>
          <t>False Positive</t>
        </is>
      </c>
      <c r="I409" s="21" t="inlineStr">
        <is>
          <t>FP</t>
        </is>
      </c>
      <c r="J409" s="21" t="inlineStr">
        <is>
          <t>M</t>
        </is>
      </c>
      <c r="K409" s="21" t="inlineStr">
        <is>
          <t>N</t>
        </is>
      </c>
      <c r="L409" s="21" t="inlineStr">
        <is>
          <t>No</t>
        </is>
      </c>
      <c r="M409" s="21" t="inlineStr"/>
      <c r="N409" s="22" t="inlineStr">
        <is>
          <t>XSS template on a flow without a matching reference mechanism (no generic XSS reference in the baseline).</t>
        </is>
      </c>
      <c r="O409" s="5" t="inlineStr"/>
      <c r="P409" s="16" t="inlineStr">
        <is>
          <t>Cross Site Scripting</t>
        </is>
      </c>
      <c r="Q409" s="16" t="inlineStr">
        <is>
          <t>scenario 2</t>
        </is>
      </c>
      <c r="R409" s="16" t="inlineStr">
        <is>
          <t>Download request with file identifier</t>
        </is>
      </c>
      <c r="S409" s="5" t="inlineStr">
        <is>
          <t>Confirmed</t>
        </is>
      </c>
    </row>
    <row r="410" ht="16" customHeight="1">
      <c r="A410" s="5" t="inlineStr">
        <is>
          <t>TMT-S2-F019</t>
        </is>
      </c>
      <c r="B410" s="5" t="inlineStr">
        <is>
          <t>TMT</t>
        </is>
      </c>
      <c r="C410" s="5" t="inlineStr">
        <is>
          <t>S2</t>
        </is>
      </c>
      <c r="D410" s="21" t="str">
        <f>IFERROR(VLOOKUP($G410,'02_REFERENCE'!$A$2:$S$99,4,FALSE),"N/A")</f>
        <v>N/A</v>
      </c>
      <c r="E410" s="21" t="str">
        <f>IFERROR(VLOOKUP($G410,'02_REFERENCE'!$A$2:$S$99,15,FALSE),"N/A")</f>
        <v>N/A</v>
      </c>
      <c r="F410" s="21" t="str">
        <f>IFERROR(VLOOKUP($G410,'02_REFERENCE'!$A$2:$S$99,17,FALSE),"N/A")</f>
        <v>N/A</v>
      </c>
      <c r="G410" s="21" t="inlineStr"/>
      <c r="H410" s="21" t="inlineStr">
        <is>
          <t>False Positive</t>
        </is>
      </c>
      <c r="I410" s="21" t="inlineStr">
        <is>
          <t>FP</t>
        </is>
      </c>
      <c r="J410" s="21" t="inlineStr">
        <is>
          <t>M</t>
        </is>
      </c>
      <c r="K410" s="21" t="inlineStr">
        <is>
          <t>N</t>
        </is>
      </c>
      <c r="L410" s="21" t="inlineStr">
        <is>
          <t>No</t>
        </is>
      </c>
      <c r="M410" s="21" t="inlineStr"/>
      <c r="N410" s="22" t="inlineStr">
        <is>
          <t>Process-identity spoofing / memory-integrity template; no reference mechanism (authentication bypass RT-004 is logic-based, not process-spoofing).</t>
        </is>
      </c>
      <c r="O410" s="5" t="inlineStr"/>
      <c r="P410" s="16" t="inlineStr">
        <is>
          <t>Elevation Using Impersonation</t>
        </is>
      </c>
      <c r="Q410" s="16" t="inlineStr">
        <is>
          <t>scenario 2</t>
        </is>
      </c>
      <c r="R410" s="16" t="inlineStr">
        <is>
          <t>Download request with file identifier</t>
        </is>
      </c>
      <c r="S410" s="5" t="inlineStr">
        <is>
          <t>Confirmed</t>
        </is>
      </c>
    </row>
    <row r="411" ht="16" customHeight="1">
      <c r="A411" s="5" t="inlineStr">
        <is>
          <t>TMT-S2-F020</t>
        </is>
      </c>
      <c r="B411" s="5" t="inlineStr">
        <is>
          <t>TMT</t>
        </is>
      </c>
      <c r="C411" s="5" t="inlineStr">
        <is>
          <t>S2</t>
        </is>
      </c>
      <c r="D411" s="21" t="str">
        <f>IFERROR(VLOOKUP($G411,'02_REFERENCE'!$A$2:$S$99,4,FALSE),"N/A")</f>
        <v>N/A</v>
      </c>
      <c r="E411" s="21" t="str">
        <f>IFERROR(VLOOKUP($G411,'02_REFERENCE'!$A$2:$S$99,15,FALSE),"N/A")</f>
        <v>N/A</v>
      </c>
      <c r="F411" s="21" t="str">
        <f>IFERROR(VLOOKUP($G411,'02_REFERENCE'!$A$2:$S$99,17,FALSE),"N/A")</f>
        <v>N/A</v>
      </c>
      <c r="G411" s="21" t="inlineStr"/>
      <c r="H411" s="21" t="inlineStr">
        <is>
          <t>False Positive</t>
        </is>
      </c>
      <c r="I411" s="21" t="inlineStr">
        <is>
          <t>FP</t>
        </is>
      </c>
      <c r="J411" s="21" t="inlineStr">
        <is>
          <t>M</t>
        </is>
      </c>
      <c r="K411" s="21" t="inlineStr">
        <is>
          <t>N</t>
        </is>
      </c>
      <c r="L411" s="21" t="inlineStr">
        <is>
          <t>No</t>
        </is>
      </c>
      <c r="M411" s="21" t="inlineStr"/>
      <c r="N411" s="22" t="inlineStr">
        <is>
          <t>Process-identity spoofing / memory-integrity template; no reference mechanism (authentication bypass RT-004 is logic-based, not process-spoofing).</t>
        </is>
      </c>
      <c r="O411" s="5" t="inlineStr"/>
      <c r="P411" s="16" t="inlineStr">
        <is>
          <t>P1 Web Frontend Process Memory Tampered</t>
        </is>
      </c>
      <c r="Q411" s="16" t="inlineStr">
        <is>
          <t>scenario 2</t>
        </is>
      </c>
      <c r="R411" s="16" t="inlineStr">
        <is>
          <t>Retrieved File</t>
        </is>
      </c>
      <c r="S411" s="5" t="inlineStr">
        <is>
          <t>Confirmed</t>
        </is>
      </c>
    </row>
    <row r="412" ht="16" customHeight="1">
      <c r="A412" s="5" t="inlineStr">
        <is>
          <t>TMT-S2-F021</t>
        </is>
      </c>
      <c r="B412" s="5" t="inlineStr">
        <is>
          <t>TMT</t>
        </is>
      </c>
      <c r="C412" s="5" t="inlineStr">
        <is>
          <t>S2</t>
        </is>
      </c>
      <c r="D412" s="21" t="str">
        <f>IFERROR(VLOOKUP($G412,'02_REFERENCE'!$A$2:$S$99,4,FALSE),"N/A")</f>
        <v>N/A</v>
      </c>
      <c r="E412" s="21" t="str">
        <f>IFERROR(VLOOKUP($G412,'02_REFERENCE'!$A$2:$S$99,15,FALSE),"N/A")</f>
        <v>N/A</v>
      </c>
      <c r="F412" s="21" t="str">
        <f>IFERROR(VLOOKUP($G412,'02_REFERENCE'!$A$2:$S$99,17,FALSE),"N/A")</f>
        <v>N/A</v>
      </c>
      <c r="G412" s="21" t="inlineStr"/>
      <c r="H412" s="21" t="inlineStr">
        <is>
          <t>False Positive</t>
        </is>
      </c>
      <c r="I412" s="21" t="inlineStr">
        <is>
          <t>FP</t>
        </is>
      </c>
      <c r="J412" s="21" t="inlineStr">
        <is>
          <t>M</t>
        </is>
      </c>
      <c r="K412" s="21" t="inlineStr">
        <is>
          <t>N</t>
        </is>
      </c>
      <c r="L412" s="21" t="inlineStr">
        <is>
          <t>No</t>
        </is>
      </c>
      <c r="M412" s="21" t="inlineStr"/>
      <c r="N412" s="22" t="inlineStr">
        <is>
          <t>Process-identity spoofing / memory-integrity template; no reference mechanism (authentication bypass RT-004 is logic-based, not process-spoofing).</t>
        </is>
      </c>
      <c r="O412" s="5" t="inlineStr"/>
      <c r="P412" s="16" t="inlineStr">
        <is>
          <t>Elevation Using Impersonation</t>
        </is>
      </c>
      <c r="Q412" s="16" t="inlineStr">
        <is>
          <t>scenario 2</t>
        </is>
      </c>
      <c r="R412" s="16" t="inlineStr">
        <is>
          <t>Retrieved File</t>
        </is>
      </c>
      <c r="S412" s="5" t="inlineStr">
        <is>
          <t>Confirmed</t>
        </is>
      </c>
    </row>
    <row r="413" ht="16" customHeight="1">
      <c r="A413" s="5" t="inlineStr">
        <is>
          <t>TMT-S2-F022</t>
        </is>
      </c>
      <c r="B413" s="5" t="inlineStr">
        <is>
          <t>TMT</t>
        </is>
      </c>
      <c r="C413" s="5" t="inlineStr">
        <is>
          <t>S2</t>
        </is>
      </c>
      <c r="D413" s="21" t="str">
        <f>IFERROR(VLOOKUP($G413,'02_REFERENCE'!$A$2:$S$99,4,FALSE),"N/A")</f>
        <v>N/A</v>
      </c>
      <c r="E413" s="21" t="str">
        <f>IFERROR(VLOOKUP($G413,'02_REFERENCE'!$A$2:$S$99,15,FALSE),"N/A")</f>
        <v>N/A</v>
      </c>
      <c r="F413" s="21" t="str">
        <f>IFERROR(VLOOKUP($G413,'02_REFERENCE'!$A$2:$S$99,17,FALSE),"N/A")</f>
        <v>N/A</v>
      </c>
      <c r="G413" s="21" t="inlineStr"/>
      <c r="H413" s="21" t="inlineStr">
        <is>
          <t>False Positive</t>
        </is>
      </c>
      <c r="I413" s="21" t="inlineStr">
        <is>
          <t>FP</t>
        </is>
      </c>
      <c r="J413" s="21" t="inlineStr">
        <is>
          <t>M</t>
        </is>
      </c>
      <c r="K413" s="21" t="inlineStr">
        <is>
          <t>N</t>
        </is>
      </c>
      <c r="L413" s="21" t="inlineStr">
        <is>
          <t>No</t>
        </is>
      </c>
      <c r="M413" s="21" t="inlineStr"/>
      <c r="N413" s="22" t="inlineStr">
        <is>
          <t>Process-identity spoofing / memory-integrity template; no reference mechanism (authentication bypass RT-004 is logic-based, not process-spoofing).</t>
        </is>
      </c>
      <c r="O413" s="5" t="inlineStr"/>
      <c r="P413" s="16" t="inlineStr">
        <is>
          <t>Elevation Using Impersonation</t>
        </is>
      </c>
      <c r="Q413" s="16" t="inlineStr">
        <is>
          <t>scenario 2</t>
        </is>
      </c>
      <c r="R413" s="16" t="inlineStr">
        <is>
          <t>Validation result</t>
        </is>
      </c>
      <c r="S413" s="5" t="inlineStr">
        <is>
          <t>Confirmed</t>
        </is>
      </c>
    </row>
    <row r="414" ht="16" customHeight="1">
      <c r="A414" s="5" t="inlineStr">
        <is>
          <t>TMT-S2-F023</t>
        </is>
      </c>
      <c r="B414" s="5" t="inlineStr">
        <is>
          <t>TMT</t>
        </is>
      </c>
      <c r="C414" s="5" t="inlineStr">
        <is>
          <t>S2</t>
        </is>
      </c>
      <c r="D414" s="21" t="str">
        <f>IFERROR(VLOOKUP($G414,'02_REFERENCE'!$A$2:$S$99,4,FALSE),"N/A")</f>
        <v>N/A</v>
      </c>
      <c r="E414" s="21" t="str">
        <f>IFERROR(VLOOKUP($G414,'02_REFERENCE'!$A$2:$S$99,15,FALSE),"N/A")</f>
        <v>N/A</v>
      </c>
      <c r="F414" s="21" t="str">
        <f>IFERROR(VLOOKUP($G414,'02_REFERENCE'!$A$2:$S$99,17,FALSE),"N/A")</f>
        <v>N/A</v>
      </c>
      <c r="G414" s="21" t="inlineStr"/>
      <c r="H414" s="21" t="inlineStr">
        <is>
          <t>False Positive</t>
        </is>
      </c>
      <c r="I414" s="21" t="inlineStr">
        <is>
          <t>FP</t>
        </is>
      </c>
      <c r="J414" s="21" t="inlineStr">
        <is>
          <t>M</t>
        </is>
      </c>
      <c r="K414" s="21" t="inlineStr">
        <is>
          <t>N</t>
        </is>
      </c>
      <c r="L414" s="21" t="inlineStr">
        <is>
          <t>No</t>
        </is>
      </c>
      <c r="M414" s="21" t="inlineStr"/>
      <c r="N414" s="22" t="inlineStr">
        <is>
          <t>Process-identity spoofing / memory-integrity template; no reference mechanism (authentication bypass RT-004 is logic-based, not process-spoofing).</t>
        </is>
      </c>
      <c r="O414" s="5" t="inlineStr"/>
      <c r="P414" s="16" t="inlineStr">
        <is>
          <t>P3 File Validation Module Process Memory Tampered</t>
        </is>
      </c>
      <c r="Q414" s="16" t="inlineStr">
        <is>
          <t>scenario 2</t>
        </is>
      </c>
      <c r="R414" s="16" t="inlineStr">
        <is>
          <t>Validation result</t>
        </is>
      </c>
      <c r="S414" s="5" t="inlineStr">
        <is>
          <t>Confirmed</t>
        </is>
      </c>
    </row>
    <row r="415" ht="16" customHeight="1">
      <c r="A415" s="5" t="inlineStr">
        <is>
          <t>TMT-S2-F024</t>
        </is>
      </c>
      <c r="B415" s="5" t="inlineStr">
        <is>
          <t>TMT</t>
        </is>
      </c>
      <c r="C415" s="5" t="inlineStr">
        <is>
          <t>S2</t>
        </is>
      </c>
      <c r="D415" s="21" t="str">
        <f>IFERROR(VLOOKUP($G415,'02_REFERENCE'!$A$2:$S$99,4,FALSE),"N/A")</f>
        <v>Information Disclosure</v>
      </c>
      <c r="E415" s="21" t="str">
        <f>IFERROR(VLOOKUP($G415,'02_REFERENCE'!$A$2:$S$99,15,FALSE),"N/A")</f>
        <v>Critical</v>
      </c>
      <c r="F415" s="21" t="str">
        <f>IFERROR(VLOOKUP($G415,'02_REFERENCE'!$A$2:$S$99,17,FALSE),"N/A")</f>
        <v>No</v>
      </c>
      <c r="G415" s="21" t="inlineStr">
        <is>
          <t>S2-RT-015</t>
        </is>
      </c>
      <c r="H415" s="21" t="inlineStr">
        <is>
          <t>Duplicate</t>
        </is>
      </c>
      <c r="I415" s="21" t="inlineStr">
        <is>
          <t>TP</t>
        </is>
      </c>
      <c r="J415" s="21" t="inlineStr">
        <is>
          <t>M</t>
        </is>
      </c>
      <c r="K415" s="21" t="inlineStr">
        <is>
          <t>N</t>
        </is>
      </c>
      <c r="L415" s="21" t="inlineStr">
        <is>
          <t>Yes</t>
        </is>
      </c>
      <c r="M415" s="21" t="inlineStr">
        <is>
          <t>TMT-S2-F011</t>
        </is>
      </c>
      <c r="N415" s="22" t="inlineStr">
        <is>
          <t>Weak access control on a data-store resource -&gt; unauthorized read of store contents -&gt; reference S2-RT-015. [Equivalence: restates TMT-S2-F011 — one-to-one rule applied.]</t>
        </is>
      </c>
      <c r="O415" s="5" t="inlineStr">
        <is>
          <t>mass_disclosure</t>
        </is>
      </c>
      <c r="P415" s="16" t="inlineStr">
        <is>
          <t>Weak Access Control for a Resource</t>
        </is>
      </c>
      <c r="Q415" s="16" t="inlineStr">
        <is>
          <t>scenario 2</t>
        </is>
      </c>
      <c r="R415" s="16" t="inlineStr">
        <is>
          <t>requested file</t>
        </is>
      </c>
      <c r="S415" s="5" t="inlineStr">
        <is>
          <t>Confirmed</t>
        </is>
      </c>
    </row>
    <row r="416" ht="16" customHeight="1">
      <c r="A416" s="5" t="inlineStr">
        <is>
          <t>TMT-S2-F025</t>
        </is>
      </c>
      <c r="B416" s="5" t="inlineStr">
        <is>
          <t>TMT</t>
        </is>
      </c>
      <c r="C416" s="5" t="inlineStr">
        <is>
          <t>S2</t>
        </is>
      </c>
      <c r="D416" s="21" t="str">
        <f>IFERROR(VLOOKUP($G416,'02_REFERENCE'!$A$2:$S$99,4,FALSE),"N/A")</f>
        <v>N/A</v>
      </c>
      <c r="E416" s="21" t="str">
        <f>IFERROR(VLOOKUP($G416,'02_REFERENCE'!$A$2:$S$99,15,FALSE),"N/A")</f>
        <v>N/A</v>
      </c>
      <c r="F416" s="21" t="str">
        <f>IFERROR(VLOOKUP($G416,'02_REFERENCE'!$A$2:$S$99,17,FALSE),"N/A")</f>
        <v>N/A</v>
      </c>
      <c r="G416" s="21" t="inlineStr"/>
      <c r="H416" s="21" t="inlineStr">
        <is>
          <t>False Positive</t>
        </is>
      </c>
      <c r="I416" s="21" t="inlineStr">
        <is>
          <t>FP</t>
        </is>
      </c>
      <c r="J416" s="21" t="inlineStr">
        <is>
          <t>M</t>
        </is>
      </c>
      <c r="K416" s="21" t="inlineStr">
        <is>
          <t>N</t>
        </is>
      </c>
      <c r="L416" s="21" t="inlineStr">
        <is>
          <t>No</t>
        </is>
      </c>
      <c r="M416" s="21" t="inlineStr"/>
      <c r="N416" s="22" t="inlineStr">
        <is>
          <t>Process-identity spoofing / memory-integrity template; no reference mechanism (authentication bypass RT-004 is logic-based, not process-spoofing).</t>
        </is>
      </c>
      <c r="O416" s="5" t="inlineStr"/>
      <c r="P416" s="16" t="inlineStr">
        <is>
          <t>Spoofing of Source Data Store DS1 Server Storage Repository</t>
        </is>
      </c>
      <c r="Q416" s="16" t="inlineStr">
        <is>
          <t>scenario 2</t>
        </is>
      </c>
      <c r="R416" s="16" t="inlineStr">
        <is>
          <t>requested file</t>
        </is>
      </c>
      <c r="S416" s="5" t="inlineStr">
        <is>
          <t>Confirmed</t>
        </is>
      </c>
    </row>
    <row r="417" ht="16" customHeight="1">
      <c r="A417" s="5" t="inlineStr">
        <is>
          <t>TMT-S2-F026</t>
        </is>
      </c>
      <c r="B417" s="5" t="inlineStr">
        <is>
          <t>TMT</t>
        </is>
      </c>
      <c r="C417" s="5" t="inlineStr">
        <is>
          <t>S2</t>
        </is>
      </c>
      <c r="D417" s="21" t="str">
        <f>IFERROR(VLOOKUP($G417,'02_REFERENCE'!$A$2:$S$99,4,FALSE),"N/A")</f>
        <v>Denial of Service</v>
      </c>
      <c r="E417" s="21" t="str">
        <f>IFERROR(VLOOKUP($G417,'02_REFERENCE'!$A$2:$S$99,15,FALSE),"N/A")</f>
        <v>High</v>
      </c>
      <c r="F417" s="21" t="str">
        <f>IFERROR(VLOOKUP($G417,'02_REFERENCE'!$A$2:$S$99,17,FALSE),"N/A")</f>
        <v>No</v>
      </c>
      <c r="G417" s="21" t="inlineStr">
        <is>
          <t>S2-RT-031</t>
        </is>
      </c>
      <c r="H417" s="21" t="inlineStr">
        <is>
          <t>Duplicate</t>
        </is>
      </c>
      <c r="I417" s="21" t="inlineStr">
        <is>
          <t>TP</t>
        </is>
      </c>
      <c r="J417" s="21" t="inlineStr">
        <is>
          <t>M</t>
        </is>
      </c>
      <c r="K417" s="21" t="inlineStr">
        <is>
          <t>N</t>
        </is>
      </c>
      <c r="L417" s="21" t="inlineStr">
        <is>
          <t>Yes</t>
        </is>
      </c>
      <c r="M417" s="21" t="inlineStr">
        <is>
          <t>TMT-S2-F008</t>
        </is>
      </c>
      <c r="N417" s="22" t="inlineStr">
        <is>
          <t>Excessive resource consumption of the primary service -&gt; reference S2-RT-031. [Equivalence: restates TMT-S2-F008 — one-to-one rule applied.]</t>
        </is>
      </c>
      <c r="O417" s="5" t="inlineStr">
        <is>
          <t>dos_service</t>
        </is>
      </c>
      <c r="P417" s="16" t="inlineStr">
        <is>
          <t>Potential Excessive Resource Consumption for P4 File Retrieval Handler or DS1 Server Storage Repository</t>
        </is>
      </c>
      <c r="Q417" s="16" t="inlineStr">
        <is>
          <t>scenario 2</t>
        </is>
      </c>
      <c r="R417" s="16" t="inlineStr">
        <is>
          <t>file lookup request</t>
        </is>
      </c>
      <c r="S417" s="5" t="inlineStr">
        <is>
          <t>Confirmed</t>
        </is>
      </c>
    </row>
    <row r="418" ht="16" customHeight="1">
      <c r="A418" s="5" t="inlineStr">
        <is>
          <t>TMT-S2-F027</t>
        </is>
      </c>
      <c r="B418" s="5" t="inlineStr">
        <is>
          <t>TMT</t>
        </is>
      </c>
      <c r="C418" s="5" t="inlineStr">
        <is>
          <t>S2</t>
        </is>
      </c>
      <c r="D418" s="21" t="str">
        <f>IFERROR(VLOOKUP($G418,'02_REFERENCE'!$A$2:$S$99,4,FALSE),"N/A")</f>
        <v>N/A</v>
      </c>
      <c r="E418" s="21" t="str">
        <f>IFERROR(VLOOKUP($G418,'02_REFERENCE'!$A$2:$S$99,15,FALSE),"N/A")</f>
        <v>N/A</v>
      </c>
      <c r="F418" s="21" t="str">
        <f>IFERROR(VLOOKUP($G418,'02_REFERENCE'!$A$2:$S$99,17,FALSE),"N/A")</f>
        <v>N/A</v>
      </c>
      <c r="G418" s="21" t="inlineStr"/>
      <c r="H418" s="21" t="inlineStr">
        <is>
          <t>False Positive</t>
        </is>
      </c>
      <c r="I418" s="21" t="inlineStr">
        <is>
          <t>FP</t>
        </is>
      </c>
      <c r="J418" s="21" t="inlineStr">
        <is>
          <t>M</t>
        </is>
      </c>
      <c r="K418" s="21" t="inlineStr">
        <is>
          <t>N</t>
        </is>
      </c>
      <c r="L418" s="21" t="inlineStr">
        <is>
          <t>No</t>
        </is>
      </c>
      <c r="M418" s="21" t="inlineStr"/>
      <c r="N418" s="22" t="inlineStr">
        <is>
          <t>Process-identity spoofing / memory-integrity template; no reference mechanism (authentication bypass RT-004 is logic-based, not process-spoofing).</t>
        </is>
      </c>
      <c r="O418" s="5" t="inlineStr"/>
      <c r="P418" s="16" t="inlineStr">
        <is>
          <t>Spoofing of Destination Data Store DS1 Server Storage Repository</t>
        </is>
      </c>
      <c r="Q418" s="16" t="inlineStr">
        <is>
          <t>scenario 2</t>
        </is>
      </c>
      <c r="R418" s="16" t="inlineStr">
        <is>
          <t>file lookup request</t>
        </is>
      </c>
      <c r="S418" s="5" t="inlineStr">
        <is>
          <t>Confirmed</t>
        </is>
      </c>
    </row>
    <row r="419" ht="16" customHeight="1">
      <c r="A419" s="5" t="inlineStr">
        <is>
          <t>TMT-S2-F028</t>
        </is>
      </c>
      <c r="B419" s="5" t="inlineStr">
        <is>
          <t>TMT</t>
        </is>
      </c>
      <c r="C419" s="5" t="inlineStr">
        <is>
          <t>S2</t>
        </is>
      </c>
      <c r="D419" s="21" t="str">
        <f>IFERROR(VLOOKUP($G419,'02_REFERENCE'!$A$2:$S$99,4,FALSE),"N/A")</f>
        <v>N/A</v>
      </c>
      <c r="E419" s="21" t="str">
        <f>IFERROR(VLOOKUP($G419,'02_REFERENCE'!$A$2:$S$99,15,FALSE),"N/A")</f>
        <v>N/A</v>
      </c>
      <c r="F419" s="21" t="str">
        <f>IFERROR(VLOOKUP($G419,'02_REFERENCE'!$A$2:$S$99,17,FALSE),"N/A")</f>
        <v>N/A</v>
      </c>
      <c r="G419" s="21" t="inlineStr"/>
      <c r="H419" s="21" t="inlineStr">
        <is>
          <t>False Positive</t>
        </is>
      </c>
      <c r="I419" s="21" t="inlineStr">
        <is>
          <t>FP</t>
        </is>
      </c>
      <c r="J419" s="21" t="inlineStr">
        <is>
          <t>M</t>
        </is>
      </c>
      <c r="K419" s="21" t="inlineStr">
        <is>
          <t>N</t>
        </is>
      </c>
      <c r="L419" s="21" t="inlineStr">
        <is>
          <t>No</t>
        </is>
      </c>
      <c r="M419" s="21" t="inlineStr"/>
      <c r="N419" s="22" t="inlineStr">
        <is>
          <t>Process-identity spoofing / memory-integrity template; no reference mechanism (authentication bypass RT-004 is logic-based, not process-spoofing).</t>
        </is>
      </c>
      <c r="O419" s="5" t="inlineStr"/>
      <c r="P419" s="16" t="inlineStr">
        <is>
          <t>Elevation by Changing the Execution Flow in P1 Web Frontend</t>
        </is>
      </c>
      <c r="Q419" s="16" t="inlineStr">
        <is>
          <t>scenario 2</t>
        </is>
      </c>
      <c r="R419" s="16" t="inlineStr">
        <is>
          <t>Download request with file identifier</t>
        </is>
      </c>
      <c r="S419" s="5" t="inlineStr">
        <is>
          <t>Confirmed</t>
        </is>
      </c>
    </row>
    <row r="420" ht="16" customHeight="1">
      <c r="A420" s="5" t="inlineStr">
        <is>
          <t>TMT-S2-F029</t>
        </is>
      </c>
      <c r="B420" s="5" t="inlineStr">
        <is>
          <t>TMT</t>
        </is>
      </c>
      <c r="C420" s="5" t="inlineStr">
        <is>
          <t>S2</t>
        </is>
      </c>
      <c r="D420" s="21" t="str">
        <f>IFERROR(VLOOKUP($G420,'02_REFERENCE'!$A$2:$S$99,4,FALSE),"N/A")</f>
        <v>N/A</v>
      </c>
      <c r="E420" s="21" t="str">
        <f>IFERROR(VLOOKUP($G420,'02_REFERENCE'!$A$2:$S$99,15,FALSE),"N/A")</f>
        <v>N/A</v>
      </c>
      <c r="F420" s="21" t="str">
        <f>IFERROR(VLOOKUP($G420,'02_REFERENCE'!$A$2:$S$99,17,FALSE),"N/A")</f>
        <v>N/A</v>
      </c>
      <c r="G420" s="21" t="inlineStr"/>
      <c r="H420" s="21" t="inlineStr">
        <is>
          <t>False Positive</t>
        </is>
      </c>
      <c r="I420" s="21" t="inlineStr">
        <is>
          <t>FP</t>
        </is>
      </c>
      <c r="J420" s="21" t="inlineStr">
        <is>
          <t>M</t>
        </is>
      </c>
      <c r="K420" s="21" t="inlineStr">
        <is>
          <t>N</t>
        </is>
      </c>
      <c r="L420" s="21" t="inlineStr">
        <is>
          <t>No</t>
        </is>
      </c>
      <c r="M420" s="21" t="inlineStr"/>
      <c r="N420" s="22" t="inlineStr">
        <is>
          <t>Process-identity spoofing / memory-integrity template; no reference mechanism (authentication bypass RT-004 is logic-based, not process-spoofing).</t>
        </is>
      </c>
      <c r="O420" s="5" t="inlineStr"/>
      <c r="P420" s="16" t="inlineStr">
        <is>
          <t>P1 Web Frontend May be Subject to Elevation of Privilege Using Remote Code Execution</t>
        </is>
      </c>
      <c r="Q420" s="16" t="inlineStr">
        <is>
          <t>scenario 2</t>
        </is>
      </c>
      <c r="R420" s="16" t="inlineStr">
        <is>
          <t>Download request with file identifier</t>
        </is>
      </c>
      <c r="S420" s="5" t="inlineStr">
        <is>
          <t>Confirmed</t>
        </is>
      </c>
    </row>
    <row r="421" ht="16" customHeight="1">
      <c r="A421" s="5" t="inlineStr">
        <is>
          <t>TMT-S2-F030</t>
        </is>
      </c>
      <c r="B421" s="5" t="inlineStr">
        <is>
          <t>TMT</t>
        </is>
      </c>
      <c r="C421" s="5" t="inlineStr">
        <is>
          <t>S2</t>
        </is>
      </c>
      <c r="D421" s="21" t="str">
        <f>IFERROR(VLOOKUP($G421,'02_REFERENCE'!$A$2:$S$99,4,FALSE),"N/A")</f>
        <v>Denial of Service</v>
      </c>
      <c r="E421" s="21" t="str">
        <f>IFERROR(VLOOKUP($G421,'02_REFERENCE'!$A$2:$S$99,15,FALSE),"N/A")</f>
        <v>High</v>
      </c>
      <c r="F421" s="21" t="str">
        <f>IFERROR(VLOOKUP($G421,'02_REFERENCE'!$A$2:$S$99,17,FALSE),"N/A")</f>
        <v>No</v>
      </c>
      <c r="G421" s="21" t="inlineStr">
        <is>
          <t>S2-RT-031</t>
        </is>
      </c>
      <c r="H421" s="21" t="inlineStr">
        <is>
          <t>Duplicate</t>
        </is>
      </c>
      <c r="I421" s="21" t="inlineStr">
        <is>
          <t>TP</t>
        </is>
      </c>
      <c r="J421" s="21" t="inlineStr">
        <is>
          <t>M</t>
        </is>
      </c>
      <c r="K421" s="21" t="inlineStr">
        <is>
          <t>N</t>
        </is>
      </c>
      <c r="L421" s="21" t="inlineStr">
        <is>
          <t>Yes</t>
        </is>
      </c>
      <c r="M421" s="21" t="inlineStr">
        <is>
          <t>TMT-S2-F008</t>
        </is>
      </c>
      <c r="N421" s="22" t="inlineStr">
        <is>
          <t>Interruption of a primary-service flow -&gt; availability loss of the service path -&gt; reference S2-RT-031. [Equivalence: restates TMT-S2-F008 — one-to-one rule applied.]</t>
        </is>
      </c>
      <c r="O421" s="5" t="inlineStr">
        <is>
          <t>dos_service</t>
        </is>
      </c>
      <c r="P421" s="16" t="inlineStr">
        <is>
          <t>Data Flow Download request with file identifier Is Potentially Interrupted</t>
        </is>
      </c>
      <c r="Q421" s="16" t="inlineStr">
        <is>
          <t>scenario 2</t>
        </is>
      </c>
      <c r="R421" s="16" t="inlineStr">
        <is>
          <t>Download request with file identifier</t>
        </is>
      </c>
      <c r="S421" s="5" t="inlineStr">
        <is>
          <t>Confirmed</t>
        </is>
      </c>
    </row>
    <row r="422" ht="16" customHeight="1">
      <c r="A422" s="5" t="inlineStr">
        <is>
          <t>TMT-S2-F031</t>
        </is>
      </c>
      <c r="B422" s="5" t="inlineStr">
        <is>
          <t>TMT</t>
        </is>
      </c>
      <c r="C422" s="5" t="inlineStr">
        <is>
          <t>S2</t>
        </is>
      </c>
      <c r="D422" s="21" t="str">
        <f>IFERROR(VLOOKUP($G422,'02_REFERENCE'!$A$2:$S$99,4,FALSE),"N/A")</f>
        <v>N/A</v>
      </c>
      <c r="E422" s="21" t="str">
        <f>IFERROR(VLOOKUP($G422,'02_REFERENCE'!$A$2:$S$99,15,FALSE),"N/A")</f>
        <v>N/A</v>
      </c>
      <c r="F422" s="21" t="str">
        <f>IFERROR(VLOOKUP($G422,'02_REFERENCE'!$A$2:$S$99,17,FALSE),"N/A")</f>
        <v>N/A</v>
      </c>
      <c r="G422" s="21" t="inlineStr"/>
      <c r="H422" s="21" t="inlineStr">
        <is>
          <t>False Positive</t>
        </is>
      </c>
      <c r="I422" s="21" t="inlineStr">
        <is>
          <t>FP</t>
        </is>
      </c>
      <c r="J422" s="21" t="inlineStr">
        <is>
          <t>M</t>
        </is>
      </c>
      <c r="K422" s="21" t="inlineStr">
        <is>
          <t>N</t>
        </is>
      </c>
      <c r="L422" s="21" t="inlineStr">
        <is>
          <t>No</t>
        </is>
      </c>
      <c r="M422" s="21" t="inlineStr"/>
      <c r="N422" s="22" t="inlineStr">
        <is>
          <t>Process-crash template (internal availability); no reference mechanism (provider-unavailability refs concern the external service; DoS refs concern attacker-driven flooding).</t>
        </is>
      </c>
      <c r="O422" s="5" t="inlineStr"/>
      <c r="P422" s="16" t="inlineStr">
        <is>
          <t>Potential Process Crash or Stop for P1 Web Frontend</t>
        </is>
      </c>
      <c r="Q422" s="16" t="inlineStr">
        <is>
          <t>scenario 2</t>
        </is>
      </c>
      <c r="R422" s="16" t="inlineStr">
        <is>
          <t>Download request with file identifier</t>
        </is>
      </c>
      <c r="S422" s="5" t="inlineStr">
        <is>
          <t>Confirmed</t>
        </is>
      </c>
    </row>
    <row r="423" ht="16" customHeight="1">
      <c r="A423" s="5" t="inlineStr">
        <is>
          <t>TMT-S2-F032</t>
        </is>
      </c>
      <c r="B423" s="5" t="inlineStr">
        <is>
          <t>TMT</t>
        </is>
      </c>
      <c r="C423" s="5" t="inlineStr">
        <is>
          <t>S2</t>
        </is>
      </c>
      <c r="D423" s="21" t="str">
        <f>IFERROR(VLOOKUP($G423,'02_REFERENCE'!$A$2:$S$99,4,FALSE),"N/A")</f>
        <v>Repudiation</v>
      </c>
      <c r="E423" s="21" t="str">
        <f>IFERROR(VLOOKUP($G423,'02_REFERENCE'!$A$2:$S$99,15,FALSE),"N/A")</f>
        <v>Medium</v>
      </c>
      <c r="F423" s="21" t="str">
        <f>IFERROR(VLOOKUP($G423,'02_REFERENCE'!$A$2:$S$99,17,FALSE),"N/A")</f>
        <v>No</v>
      </c>
      <c r="G423" s="21" t="inlineStr">
        <is>
          <t>S2-RT-021</t>
        </is>
      </c>
      <c r="H423" s="21" t="inlineStr">
        <is>
          <t>Primary TP</t>
        </is>
      </c>
      <c r="I423" s="21" t="inlineStr">
        <is>
          <t>TP</t>
        </is>
      </c>
      <c r="J423" s="21" t="inlineStr">
        <is>
          <t>M</t>
        </is>
      </c>
      <c r="K423" s="21" t="inlineStr">
        <is>
          <t>Y</t>
        </is>
      </c>
      <c r="L423" s="21" t="inlineStr">
        <is>
          <t>No</t>
        </is>
      </c>
      <c r="M423" s="21" t="inlineStr"/>
      <c r="N423" s="22" t="inlineStr">
        <is>
          <t>Attribution template -&gt; reference S2-RT-021 (unspecified attribution of security-relevant actions).</t>
        </is>
      </c>
      <c r="O423" s="5" t="inlineStr">
        <is>
          <t>repudiation</t>
        </is>
      </c>
      <c r="P423" s="16" t="inlineStr">
        <is>
          <t>Potential Data Repudiation by P1 Web Frontend</t>
        </is>
      </c>
      <c r="Q423" s="16" t="inlineStr">
        <is>
          <t>scenario 2</t>
        </is>
      </c>
      <c r="R423" s="16" t="inlineStr">
        <is>
          <t>Download request with file identifier</t>
        </is>
      </c>
      <c r="S423" s="5" t="inlineStr">
        <is>
          <t>Confirmed</t>
        </is>
      </c>
    </row>
    <row r="424" ht="16" customHeight="1">
      <c r="A424" s="5" t="inlineStr">
        <is>
          <t>TMT-S2-F033</t>
        </is>
      </c>
      <c r="B424" s="5" t="inlineStr">
        <is>
          <t>TMT</t>
        </is>
      </c>
      <c r="C424" s="5" t="inlineStr">
        <is>
          <t>S2</t>
        </is>
      </c>
      <c r="D424" s="21" t="str">
        <f>IFERROR(VLOOKUP($G424,'02_REFERENCE'!$A$2:$S$99,4,FALSE),"N/A")</f>
        <v>N/A</v>
      </c>
      <c r="E424" s="21" t="str">
        <f>IFERROR(VLOOKUP($G424,'02_REFERENCE'!$A$2:$S$99,15,FALSE),"N/A")</f>
        <v>N/A</v>
      </c>
      <c r="F424" s="21" t="str">
        <f>IFERROR(VLOOKUP($G424,'02_REFERENCE'!$A$2:$S$99,17,FALSE),"N/A")</f>
        <v>N/A</v>
      </c>
      <c r="G424" s="21" t="inlineStr"/>
      <c r="H424" s="21" t="inlineStr">
        <is>
          <t>False Positive</t>
        </is>
      </c>
      <c r="I424" s="21" t="inlineStr">
        <is>
          <t>FP</t>
        </is>
      </c>
      <c r="J424" s="21" t="inlineStr">
        <is>
          <t>M</t>
        </is>
      </c>
      <c r="K424" s="21" t="inlineStr">
        <is>
          <t>N</t>
        </is>
      </c>
      <c r="L424" s="21" t="inlineStr">
        <is>
          <t>No</t>
        </is>
      </c>
      <c r="M424" s="21" t="inlineStr"/>
      <c r="N424" s="22" t="inlineStr">
        <is>
          <t>CSRF template; the reference baseline contains no CSRF mechanism (session threats are fixation/theft/replay/prediction/storage).</t>
        </is>
      </c>
      <c r="O424" s="5" t="inlineStr"/>
      <c r="P424" s="16" t="inlineStr">
        <is>
          <t>Cross Site Request Forgery</t>
        </is>
      </c>
      <c r="Q424" s="16" t="inlineStr">
        <is>
          <t>scenario 2</t>
        </is>
      </c>
      <c r="R424" s="16" t="inlineStr">
        <is>
          <t>File Upload Submission</t>
        </is>
      </c>
      <c r="S424" s="5" t="inlineStr">
        <is>
          <t>Confirmed</t>
        </is>
      </c>
    </row>
    <row r="425" ht="16" customHeight="1">
      <c r="A425" s="5" t="inlineStr">
        <is>
          <t>TMT-S2-F034</t>
        </is>
      </c>
      <c r="B425" s="5" t="inlineStr">
        <is>
          <t>TMT</t>
        </is>
      </c>
      <c r="C425" s="5" t="inlineStr">
        <is>
          <t>S2</t>
        </is>
      </c>
      <c r="D425" s="21" t="str">
        <f>IFERROR(VLOOKUP($G425,'02_REFERENCE'!$A$2:$S$99,4,FALSE),"N/A")</f>
        <v>N/A</v>
      </c>
      <c r="E425" s="21" t="str">
        <f>IFERROR(VLOOKUP($G425,'02_REFERENCE'!$A$2:$S$99,15,FALSE),"N/A")</f>
        <v>N/A</v>
      </c>
      <c r="F425" s="21" t="str">
        <f>IFERROR(VLOOKUP($G425,'02_REFERENCE'!$A$2:$S$99,17,FALSE),"N/A")</f>
        <v>N/A</v>
      </c>
      <c r="G425" s="21" t="inlineStr"/>
      <c r="H425" s="21" t="inlineStr">
        <is>
          <t>False Positive</t>
        </is>
      </c>
      <c r="I425" s="21" t="inlineStr">
        <is>
          <t>FP</t>
        </is>
      </c>
      <c r="J425" s="21" t="inlineStr">
        <is>
          <t>M</t>
        </is>
      </c>
      <c r="K425" s="21" t="inlineStr">
        <is>
          <t>N</t>
        </is>
      </c>
      <c r="L425" s="21" t="inlineStr">
        <is>
          <t>No</t>
        </is>
      </c>
      <c r="M425" s="21" t="inlineStr"/>
      <c r="N425" s="22" t="inlineStr">
        <is>
          <t>Process-identity spoofing / memory-integrity template; no reference mechanism (authentication bypass RT-004 is logic-based, not process-spoofing).</t>
        </is>
      </c>
      <c r="O425" s="5" t="inlineStr"/>
      <c r="P425" s="16" t="inlineStr">
        <is>
          <t>Elevation by Changing the Execution Flow in P1 Web Frontend</t>
        </is>
      </c>
      <c r="Q425" s="16" t="inlineStr">
        <is>
          <t>scenario 2</t>
        </is>
      </c>
      <c r="R425" s="16" t="inlineStr">
        <is>
          <t>File Upload Submission</t>
        </is>
      </c>
      <c r="S425" s="5" t="inlineStr">
        <is>
          <t>Confirmed</t>
        </is>
      </c>
    </row>
    <row r="426" ht="16" customHeight="1">
      <c r="A426" s="5" t="inlineStr">
        <is>
          <t>TMT-S2-F035</t>
        </is>
      </c>
      <c r="B426" s="5" t="inlineStr">
        <is>
          <t>TMT</t>
        </is>
      </c>
      <c r="C426" s="5" t="inlineStr">
        <is>
          <t>S2</t>
        </is>
      </c>
      <c r="D426" s="21" t="str">
        <f>IFERROR(VLOOKUP($G426,'02_REFERENCE'!$A$2:$S$99,4,FALSE),"N/A")</f>
        <v>N/A</v>
      </c>
      <c r="E426" s="21" t="str">
        <f>IFERROR(VLOOKUP($G426,'02_REFERENCE'!$A$2:$S$99,15,FALSE),"N/A")</f>
        <v>N/A</v>
      </c>
      <c r="F426" s="21" t="str">
        <f>IFERROR(VLOOKUP($G426,'02_REFERENCE'!$A$2:$S$99,17,FALSE),"N/A")</f>
        <v>N/A</v>
      </c>
      <c r="G426" s="21" t="inlineStr"/>
      <c r="H426" s="21" t="inlineStr">
        <is>
          <t>False Positive</t>
        </is>
      </c>
      <c r="I426" s="21" t="inlineStr">
        <is>
          <t>FP</t>
        </is>
      </c>
      <c r="J426" s="21" t="inlineStr">
        <is>
          <t>M</t>
        </is>
      </c>
      <c r="K426" s="21" t="inlineStr">
        <is>
          <t>N</t>
        </is>
      </c>
      <c r="L426" s="21" t="inlineStr">
        <is>
          <t>No</t>
        </is>
      </c>
      <c r="M426" s="21" t="inlineStr"/>
      <c r="N426" s="22" t="inlineStr">
        <is>
          <t>Process-identity spoofing / memory-integrity template; no reference mechanism (authentication bypass RT-004 is logic-based, not process-spoofing).</t>
        </is>
      </c>
      <c r="O426" s="5" t="inlineStr"/>
      <c r="P426" s="16" t="inlineStr">
        <is>
          <t>P1 Web Frontend May be Subject to Elevation of Privilege Using Remote Code Execution</t>
        </is>
      </c>
      <c r="Q426" s="16" t="inlineStr">
        <is>
          <t>scenario 2</t>
        </is>
      </c>
      <c r="R426" s="16" t="inlineStr">
        <is>
          <t>File Upload Submission</t>
        </is>
      </c>
      <c r="S426" s="5" t="inlineStr">
        <is>
          <t>Confirmed</t>
        </is>
      </c>
    </row>
    <row r="427" ht="16" customHeight="1">
      <c r="A427" s="5" t="inlineStr">
        <is>
          <t>TMT-S2-F036</t>
        </is>
      </c>
      <c r="B427" s="5" t="inlineStr">
        <is>
          <t>TMT</t>
        </is>
      </c>
      <c r="C427" s="5" t="inlineStr">
        <is>
          <t>S2</t>
        </is>
      </c>
      <c r="D427" s="21" t="str">
        <f>IFERROR(VLOOKUP($G427,'02_REFERENCE'!$A$2:$S$99,4,FALSE),"N/A")</f>
        <v>Denial of Service</v>
      </c>
      <c r="E427" s="21" t="str">
        <f>IFERROR(VLOOKUP($G427,'02_REFERENCE'!$A$2:$S$99,15,FALSE),"N/A")</f>
        <v>High</v>
      </c>
      <c r="F427" s="21" t="str">
        <f>IFERROR(VLOOKUP($G427,'02_REFERENCE'!$A$2:$S$99,17,FALSE),"N/A")</f>
        <v>No</v>
      </c>
      <c r="G427" s="21" t="inlineStr">
        <is>
          <t>S2-RT-031</t>
        </is>
      </c>
      <c r="H427" s="21" t="inlineStr">
        <is>
          <t>Duplicate</t>
        </is>
      </c>
      <c r="I427" s="21" t="inlineStr">
        <is>
          <t>TP</t>
        </is>
      </c>
      <c r="J427" s="21" t="inlineStr">
        <is>
          <t>M</t>
        </is>
      </c>
      <c r="K427" s="21" t="inlineStr">
        <is>
          <t>N</t>
        </is>
      </c>
      <c r="L427" s="21" t="inlineStr">
        <is>
          <t>Yes</t>
        </is>
      </c>
      <c r="M427" s="21" t="inlineStr">
        <is>
          <t>TMT-S2-F008</t>
        </is>
      </c>
      <c r="N427" s="22" t="inlineStr">
        <is>
          <t>Interruption of a primary-service flow -&gt; availability loss of the service path -&gt; reference S2-RT-031. [Equivalence: restates TMT-S2-F008 — one-to-one rule applied.]</t>
        </is>
      </c>
      <c r="O427" s="5" t="inlineStr">
        <is>
          <t>dos_service</t>
        </is>
      </c>
      <c r="P427" s="16" t="inlineStr">
        <is>
          <t>Data Flow File Upload Submission Is Potentially Interrupted</t>
        </is>
      </c>
      <c r="Q427" s="16" t="inlineStr">
        <is>
          <t>scenario 2</t>
        </is>
      </c>
      <c r="R427" s="16" t="inlineStr">
        <is>
          <t>File Upload Submission</t>
        </is>
      </c>
      <c r="S427" s="5" t="inlineStr">
        <is>
          <t>Confirmed</t>
        </is>
      </c>
    </row>
    <row r="428" ht="16" customHeight="1">
      <c r="A428" s="5" t="inlineStr">
        <is>
          <t>TMT-S2-F037</t>
        </is>
      </c>
      <c r="B428" s="5" t="inlineStr">
        <is>
          <t>TMT</t>
        </is>
      </c>
      <c r="C428" s="5" t="inlineStr">
        <is>
          <t>S2</t>
        </is>
      </c>
      <c r="D428" s="21" t="str">
        <f>IFERROR(VLOOKUP($G428,'02_REFERENCE'!$A$2:$S$99,4,FALSE),"N/A")</f>
        <v>N/A</v>
      </c>
      <c r="E428" s="21" t="str">
        <f>IFERROR(VLOOKUP($G428,'02_REFERENCE'!$A$2:$S$99,15,FALSE),"N/A")</f>
        <v>N/A</v>
      </c>
      <c r="F428" s="21" t="str">
        <f>IFERROR(VLOOKUP($G428,'02_REFERENCE'!$A$2:$S$99,17,FALSE),"N/A")</f>
        <v>N/A</v>
      </c>
      <c r="G428" s="21" t="inlineStr"/>
      <c r="H428" s="21" t="inlineStr">
        <is>
          <t>False Positive</t>
        </is>
      </c>
      <c r="I428" s="21" t="inlineStr">
        <is>
          <t>FP</t>
        </is>
      </c>
      <c r="J428" s="21" t="inlineStr">
        <is>
          <t>M</t>
        </is>
      </c>
      <c r="K428" s="21" t="inlineStr">
        <is>
          <t>N</t>
        </is>
      </c>
      <c r="L428" s="21" t="inlineStr">
        <is>
          <t>No</t>
        </is>
      </c>
      <c r="M428" s="21" t="inlineStr"/>
      <c r="N428" s="22" t="inlineStr">
        <is>
          <t>Process-crash template (internal availability); no reference mechanism (provider-unavailability refs concern the external service; DoS refs concern attacker-driven flooding).</t>
        </is>
      </c>
      <c r="O428" s="5" t="inlineStr"/>
      <c r="P428" s="16" t="inlineStr">
        <is>
          <t>Potential Process Crash or Stop for P1 Web Frontend</t>
        </is>
      </c>
      <c r="Q428" s="16" t="inlineStr">
        <is>
          <t>scenario 2</t>
        </is>
      </c>
      <c r="R428" s="16" t="inlineStr">
        <is>
          <t>File Upload Submission</t>
        </is>
      </c>
      <c r="S428" s="5" t="inlineStr">
        <is>
          <t>Confirmed</t>
        </is>
      </c>
    </row>
    <row r="429" ht="16" customHeight="1">
      <c r="A429" s="5" t="inlineStr">
        <is>
          <t>TMT-S2-F038</t>
        </is>
      </c>
      <c r="B429" s="5" t="inlineStr">
        <is>
          <t>TMT</t>
        </is>
      </c>
      <c r="C429" s="5" t="inlineStr">
        <is>
          <t>S2</t>
        </is>
      </c>
      <c r="D429" s="21" t="str">
        <f>IFERROR(VLOOKUP($G429,'02_REFERENCE'!$A$2:$S$99,4,FALSE),"N/A")</f>
        <v>Repudiation</v>
      </c>
      <c r="E429" s="21" t="str">
        <f>IFERROR(VLOOKUP($G429,'02_REFERENCE'!$A$2:$S$99,15,FALSE),"N/A")</f>
        <v>Medium</v>
      </c>
      <c r="F429" s="21" t="str">
        <f>IFERROR(VLOOKUP($G429,'02_REFERENCE'!$A$2:$S$99,17,FALSE),"N/A")</f>
        <v>No</v>
      </c>
      <c r="G429" s="21" t="inlineStr">
        <is>
          <t>S2-RT-021</t>
        </is>
      </c>
      <c r="H429" s="21" t="inlineStr">
        <is>
          <t>Duplicate</t>
        </is>
      </c>
      <c r="I429" s="21" t="inlineStr">
        <is>
          <t>TP</t>
        </is>
      </c>
      <c r="J429" s="21" t="inlineStr">
        <is>
          <t>M</t>
        </is>
      </c>
      <c r="K429" s="21" t="inlineStr">
        <is>
          <t>N</t>
        </is>
      </c>
      <c r="L429" s="21" t="inlineStr">
        <is>
          <t>Yes</t>
        </is>
      </c>
      <c r="M429" s="21" t="inlineStr">
        <is>
          <t>TMT-S2-F032</t>
        </is>
      </c>
      <c r="N429" s="22" t="inlineStr">
        <is>
          <t>Attribution template -&gt; reference S2-RT-021 (unspecified attribution of security-relevant actions). [Equivalence: restates TMT-S2-F032 — one-to-one rule applied.]</t>
        </is>
      </c>
      <c r="O429" s="5" t="inlineStr">
        <is>
          <t>repudiation</t>
        </is>
      </c>
      <c r="P429" s="16" t="inlineStr">
        <is>
          <t>Potential Data Repudiation by P1 Web Frontend</t>
        </is>
      </c>
      <c r="Q429" s="16" t="inlineStr">
        <is>
          <t>scenario 2</t>
        </is>
      </c>
      <c r="R429" s="16" t="inlineStr">
        <is>
          <t>File Upload Submission</t>
        </is>
      </c>
      <c r="S429" s="5" t="inlineStr">
        <is>
          <t>Confirmed</t>
        </is>
      </c>
    </row>
    <row r="430" ht="16" customHeight="1">
      <c r="A430" s="5" t="inlineStr">
        <is>
          <t>TMT-S2-F039</t>
        </is>
      </c>
      <c r="B430" s="5" t="inlineStr">
        <is>
          <t>TMT</t>
        </is>
      </c>
      <c r="C430" s="5" t="inlineStr">
        <is>
          <t>S2</t>
        </is>
      </c>
      <c r="D430" s="21" t="str">
        <f>IFERROR(VLOOKUP($G430,'02_REFERENCE'!$A$2:$S$99,4,FALSE),"N/A")</f>
        <v>N/A</v>
      </c>
      <c r="E430" s="21" t="str">
        <f>IFERROR(VLOOKUP($G430,'02_REFERENCE'!$A$2:$S$99,15,FALSE),"N/A")</f>
        <v>N/A</v>
      </c>
      <c r="F430" s="21" t="str">
        <f>IFERROR(VLOOKUP($G430,'02_REFERENCE'!$A$2:$S$99,17,FALSE),"N/A")</f>
        <v>N/A</v>
      </c>
      <c r="G430" s="21" t="inlineStr"/>
      <c r="H430" s="21" t="inlineStr">
        <is>
          <t>False Positive</t>
        </is>
      </c>
      <c r="I430" s="21" t="inlineStr">
        <is>
          <t>FP</t>
        </is>
      </c>
      <c r="J430" s="21" t="inlineStr">
        <is>
          <t>M</t>
        </is>
      </c>
      <c r="K430" s="21" t="inlineStr">
        <is>
          <t>N</t>
        </is>
      </c>
      <c r="L430" s="21" t="inlineStr">
        <is>
          <t>No</t>
        </is>
      </c>
      <c r="M430" s="21" t="inlineStr"/>
      <c r="N430" s="22" t="inlineStr">
        <is>
          <t>Process-identity spoofing / memory-integrity template; no reference mechanism (authentication bypass RT-004 is logic-based, not process-spoofing).</t>
        </is>
      </c>
      <c r="O430" s="5" t="inlineStr"/>
      <c r="P430" s="16" t="inlineStr">
        <is>
          <t>Elevation by Changing the Execution Flow in EE1 Authenticated User</t>
        </is>
      </c>
      <c r="Q430" s="16" t="inlineStr">
        <is>
          <t>scenario 2</t>
        </is>
      </c>
      <c r="R430" s="16" t="inlineStr">
        <is>
          <t>Retrieved File</t>
        </is>
      </c>
      <c r="S430" s="5" t="inlineStr">
        <is>
          <t>Confirmed</t>
        </is>
      </c>
    </row>
    <row r="431" ht="16" customHeight="1">
      <c r="A431" s="5" t="inlineStr">
        <is>
          <t>TMT-S2-F040</t>
        </is>
      </c>
      <c r="B431" s="5" t="inlineStr">
        <is>
          <t>TMT</t>
        </is>
      </c>
      <c r="C431" s="5" t="inlineStr">
        <is>
          <t>S2</t>
        </is>
      </c>
      <c r="D431" s="21" t="str">
        <f>IFERROR(VLOOKUP($G431,'02_REFERENCE'!$A$2:$S$99,4,FALSE),"N/A")</f>
        <v>N/A</v>
      </c>
      <c r="E431" s="21" t="str">
        <f>IFERROR(VLOOKUP($G431,'02_REFERENCE'!$A$2:$S$99,15,FALSE),"N/A")</f>
        <v>N/A</v>
      </c>
      <c r="F431" s="21" t="str">
        <f>IFERROR(VLOOKUP($G431,'02_REFERENCE'!$A$2:$S$99,17,FALSE),"N/A")</f>
        <v>N/A</v>
      </c>
      <c r="G431" s="21" t="inlineStr"/>
      <c r="H431" s="21" t="inlineStr">
        <is>
          <t>False Positive</t>
        </is>
      </c>
      <c r="I431" s="21" t="inlineStr">
        <is>
          <t>FP</t>
        </is>
      </c>
      <c r="J431" s="21" t="inlineStr">
        <is>
          <t>M</t>
        </is>
      </c>
      <c r="K431" s="21" t="inlineStr">
        <is>
          <t>N</t>
        </is>
      </c>
      <c r="L431" s="21" t="inlineStr">
        <is>
          <t>No</t>
        </is>
      </c>
      <c r="M431" s="21" t="inlineStr"/>
      <c r="N431" s="22" t="inlineStr">
        <is>
          <t>Process-identity spoofing / memory-integrity template; no reference mechanism (authentication bypass RT-004 is logic-based, not process-spoofing).</t>
        </is>
      </c>
      <c r="O431" s="5" t="inlineStr"/>
      <c r="P431" s="16" t="inlineStr">
        <is>
          <t>EE1 Authenticated User May be Subject to Elevation of Privilege Using Remote Code Execution</t>
        </is>
      </c>
      <c r="Q431" s="16" t="inlineStr">
        <is>
          <t>scenario 2</t>
        </is>
      </c>
      <c r="R431" s="16" t="inlineStr">
        <is>
          <t>Retrieved File</t>
        </is>
      </c>
      <c r="S431" s="5" t="inlineStr">
        <is>
          <t>Confirmed</t>
        </is>
      </c>
    </row>
    <row r="432" ht="16" customHeight="1">
      <c r="A432" s="5" t="inlineStr">
        <is>
          <t>TMT-S2-F041</t>
        </is>
      </c>
      <c r="B432" s="5" t="inlineStr">
        <is>
          <t>TMT</t>
        </is>
      </c>
      <c r="C432" s="5" t="inlineStr">
        <is>
          <t>S2</t>
        </is>
      </c>
      <c r="D432" s="21" t="str">
        <f>IFERROR(VLOOKUP($G432,'02_REFERENCE'!$A$2:$S$99,4,FALSE),"N/A")</f>
        <v>Denial of Service</v>
      </c>
      <c r="E432" s="21" t="str">
        <f>IFERROR(VLOOKUP($G432,'02_REFERENCE'!$A$2:$S$99,15,FALSE),"N/A")</f>
        <v>High</v>
      </c>
      <c r="F432" s="21" t="str">
        <f>IFERROR(VLOOKUP($G432,'02_REFERENCE'!$A$2:$S$99,17,FALSE),"N/A")</f>
        <v>No</v>
      </c>
      <c r="G432" s="21" t="inlineStr">
        <is>
          <t>S2-RT-031</t>
        </is>
      </c>
      <c r="H432" s="21" t="inlineStr">
        <is>
          <t>Duplicate</t>
        </is>
      </c>
      <c r="I432" s="21" t="inlineStr">
        <is>
          <t>TP</t>
        </is>
      </c>
      <c r="J432" s="21" t="inlineStr">
        <is>
          <t>M</t>
        </is>
      </c>
      <c r="K432" s="21" t="inlineStr">
        <is>
          <t>N</t>
        </is>
      </c>
      <c r="L432" s="21" t="inlineStr">
        <is>
          <t>Yes</t>
        </is>
      </c>
      <c r="M432" s="21" t="inlineStr">
        <is>
          <t>TMT-S2-F008</t>
        </is>
      </c>
      <c r="N432" s="22" t="inlineStr">
        <is>
          <t>Interruption of a primary-service flow -&gt; availability loss of the service path -&gt; reference S2-RT-031. [Equivalence: restates TMT-S2-F008 — one-to-one rule applied.]</t>
        </is>
      </c>
      <c r="O432" s="5" t="inlineStr">
        <is>
          <t>dos_service</t>
        </is>
      </c>
      <c r="P432" s="16" t="inlineStr">
        <is>
          <t>Data Flow Retrieved File Is Potentially Interrupted</t>
        </is>
      </c>
      <c r="Q432" s="16" t="inlineStr">
        <is>
          <t>scenario 2</t>
        </is>
      </c>
      <c r="R432" s="16" t="inlineStr">
        <is>
          <t>Retrieved File</t>
        </is>
      </c>
      <c r="S432" s="5" t="inlineStr">
        <is>
          <t>Confirmed</t>
        </is>
      </c>
    </row>
    <row r="433" ht="16" customHeight="1">
      <c r="A433" s="5" t="inlineStr">
        <is>
          <t>TMT-S2-F042</t>
        </is>
      </c>
      <c r="B433" s="5" t="inlineStr">
        <is>
          <t>TMT</t>
        </is>
      </c>
      <c r="C433" s="5" t="inlineStr">
        <is>
          <t>S2</t>
        </is>
      </c>
      <c r="D433" s="21" t="str">
        <f>IFERROR(VLOOKUP($G433,'02_REFERENCE'!$A$2:$S$99,4,FALSE),"N/A")</f>
        <v>N/A</v>
      </c>
      <c r="E433" s="21" t="str">
        <f>IFERROR(VLOOKUP($G433,'02_REFERENCE'!$A$2:$S$99,15,FALSE),"N/A")</f>
        <v>N/A</v>
      </c>
      <c r="F433" s="21" t="str">
        <f>IFERROR(VLOOKUP($G433,'02_REFERENCE'!$A$2:$S$99,17,FALSE),"N/A")</f>
        <v>N/A</v>
      </c>
      <c r="G433" s="21" t="inlineStr"/>
      <c r="H433" s="21" t="inlineStr">
        <is>
          <t>False Positive</t>
        </is>
      </c>
      <c r="I433" s="21" t="inlineStr">
        <is>
          <t>FP</t>
        </is>
      </c>
      <c r="J433" s="21" t="inlineStr">
        <is>
          <t>M</t>
        </is>
      </c>
      <c r="K433" s="21" t="inlineStr">
        <is>
          <t>N</t>
        </is>
      </c>
      <c r="L433" s="21" t="inlineStr">
        <is>
          <t>No</t>
        </is>
      </c>
      <c r="M433" s="21" t="inlineStr"/>
      <c r="N433" s="22" t="inlineStr">
        <is>
          <t>Process-crash template (internal availability); no reference mechanism (provider-unavailability refs concern the external service; DoS refs concern attacker-driven flooding).</t>
        </is>
      </c>
      <c r="O433" s="5" t="inlineStr"/>
      <c r="P433" s="16" t="inlineStr">
        <is>
          <t>Potential Process Crash or Stop for EE1 Authenticated User</t>
        </is>
      </c>
      <c r="Q433" s="16" t="inlineStr">
        <is>
          <t>scenario 2</t>
        </is>
      </c>
      <c r="R433" s="16" t="inlineStr">
        <is>
          <t>Retrieved File</t>
        </is>
      </c>
      <c r="S433" s="5" t="inlineStr">
        <is>
          <t>Confirmed</t>
        </is>
      </c>
    </row>
    <row r="434" ht="16" customHeight="1">
      <c r="A434" s="5" t="inlineStr">
        <is>
          <t>TMT-S2-F043</t>
        </is>
      </c>
      <c r="B434" s="5" t="inlineStr">
        <is>
          <t>TMT</t>
        </is>
      </c>
      <c r="C434" s="5" t="inlineStr">
        <is>
          <t>S2</t>
        </is>
      </c>
      <c r="D434" s="21" t="str">
        <f>IFERROR(VLOOKUP($G434,'02_REFERENCE'!$A$2:$S$99,4,FALSE),"N/A")</f>
        <v>Repudiation</v>
      </c>
      <c r="E434" s="21" t="str">
        <f>IFERROR(VLOOKUP($G434,'02_REFERENCE'!$A$2:$S$99,15,FALSE),"N/A")</f>
        <v>Medium</v>
      </c>
      <c r="F434" s="21" t="str">
        <f>IFERROR(VLOOKUP($G434,'02_REFERENCE'!$A$2:$S$99,17,FALSE),"N/A")</f>
        <v>No</v>
      </c>
      <c r="G434" s="21" t="inlineStr">
        <is>
          <t>S2-RT-021</t>
        </is>
      </c>
      <c r="H434" s="21" t="inlineStr">
        <is>
          <t>Duplicate</t>
        </is>
      </c>
      <c r="I434" s="21" t="inlineStr">
        <is>
          <t>TP</t>
        </is>
      </c>
      <c r="J434" s="21" t="inlineStr">
        <is>
          <t>M</t>
        </is>
      </c>
      <c r="K434" s="21" t="inlineStr">
        <is>
          <t>N</t>
        </is>
      </c>
      <c r="L434" s="21" t="inlineStr">
        <is>
          <t>Yes</t>
        </is>
      </c>
      <c r="M434" s="21" t="inlineStr">
        <is>
          <t>TMT-S2-F032</t>
        </is>
      </c>
      <c r="N434" s="22" t="inlineStr">
        <is>
          <t>Attribution template -&gt; reference S2-RT-021 (unspecified attribution of security-relevant actions). [Equivalence: restates TMT-S2-F032 — one-to-one rule applied.]</t>
        </is>
      </c>
      <c r="O434" s="5" t="inlineStr">
        <is>
          <t>repudiation</t>
        </is>
      </c>
      <c r="P434" s="16" t="inlineStr">
        <is>
          <t>Potential Data Repudiation by EE1 Authenticated User</t>
        </is>
      </c>
      <c r="Q434" s="16" t="inlineStr">
        <is>
          <t>scenario 2</t>
        </is>
      </c>
      <c r="R434" s="16" t="inlineStr">
        <is>
          <t>Retrieved File</t>
        </is>
      </c>
      <c r="S434" s="5" t="inlineStr">
        <is>
          <t>Confirmed</t>
        </is>
      </c>
    </row>
    <row r="435" ht="16" customHeight="1">
      <c r="A435" s="5" t="inlineStr">
        <is>
          <t>TMT-S2-F044</t>
        </is>
      </c>
      <c r="B435" s="5" t="inlineStr">
        <is>
          <t>TMT</t>
        </is>
      </c>
      <c r="C435" s="5" t="inlineStr">
        <is>
          <t>S2</t>
        </is>
      </c>
      <c r="D435" s="21" t="str">
        <f>IFERROR(VLOOKUP($G435,'02_REFERENCE'!$A$2:$S$99,4,FALSE),"N/A")</f>
        <v>N/A</v>
      </c>
      <c r="E435" s="21" t="str">
        <f>IFERROR(VLOOKUP($G435,'02_REFERENCE'!$A$2:$S$99,15,FALSE),"N/A")</f>
        <v>N/A</v>
      </c>
      <c r="F435" s="21" t="str">
        <f>IFERROR(VLOOKUP($G435,'02_REFERENCE'!$A$2:$S$99,17,FALSE),"N/A")</f>
        <v>N/A</v>
      </c>
      <c r="G435" s="21" t="inlineStr"/>
      <c r="H435" s="21" t="inlineStr">
        <is>
          <t>False Positive</t>
        </is>
      </c>
      <c r="I435" s="21" t="inlineStr">
        <is>
          <t>FP</t>
        </is>
      </c>
      <c r="J435" s="21" t="inlineStr">
        <is>
          <t>M</t>
        </is>
      </c>
      <c r="K435" s="21" t="inlineStr">
        <is>
          <t>N</t>
        </is>
      </c>
      <c r="L435" s="21" t="inlineStr">
        <is>
          <t>No</t>
        </is>
      </c>
      <c r="M435" s="21" t="inlineStr"/>
      <c r="N435" s="22" t="inlineStr">
        <is>
          <t>CSRF template; the reference baseline contains no CSRF mechanism (session threats are fixation/theft/replay/prediction/storage).</t>
        </is>
      </c>
      <c r="O435" s="5" t="inlineStr"/>
      <c r="P435" s="16" t="inlineStr">
        <is>
          <t>Cross Site Request Forgery</t>
        </is>
      </c>
      <c r="Q435" s="16" t="inlineStr">
        <is>
          <t>scenario 2</t>
        </is>
      </c>
      <c r="R435" s="16" t="inlineStr">
        <is>
          <t>Download request with file identifier</t>
        </is>
      </c>
      <c r="S435" s="5" t="inlineStr">
        <is>
          <t>Confirmed</t>
        </is>
      </c>
    </row>
    <row r="436" ht="16" customHeight="1">
      <c r="A436" s="5" t="inlineStr">
        <is>
          <t>TMT-S2-F045</t>
        </is>
      </c>
      <c r="B436" s="5" t="inlineStr">
        <is>
          <t>TMT</t>
        </is>
      </c>
      <c r="C436" s="5" t="inlineStr">
        <is>
          <t>S2</t>
        </is>
      </c>
      <c r="D436" s="21" t="str">
        <f>IFERROR(VLOOKUP($G436,'02_REFERENCE'!$A$2:$S$99,4,FALSE),"N/A")</f>
        <v>N/A</v>
      </c>
      <c r="E436" s="21" t="str">
        <f>IFERROR(VLOOKUP($G436,'02_REFERENCE'!$A$2:$S$99,15,FALSE),"N/A")</f>
        <v>N/A</v>
      </c>
      <c r="F436" s="21" t="str">
        <f>IFERROR(VLOOKUP($G436,'02_REFERENCE'!$A$2:$S$99,17,FALSE),"N/A")</f>
        <v>N/A</v>
      </c>
      <c r="G436" s="21" t="inlineStr"/>
      <c r="H436" s="21" t="inlineStr">
        <is>
          <t>False Positive</t>
        </is>
      </c>
      <c r="I436" s="21" t="inlineStr">
        <is>
          <t>FP</t>
        </is>
      </c>
      <c r="J436" s="21" t="inlineStr">
        <is>
          <t>M</t>
        </is>
      </c>
      <c r="K436" s="21" t="inlineStr">
        <is>
          <t>N</t>
        </is>
      </c>
      <c r="L436" s="21" t="inlineStr">
        <is>
          <t>No</t>
        </is>
      </c>
      <c r="M436" s="21" t="inlineStr"/>
      <c r="N436" s="22" t="inlineStr">
        <is>
          <t>CSRF template; the reference baseline contains no CSRF mechanism (session threats are fixation/theft/replay/prediction/storage).</t>
        </is>
      </c>
      <c r="O436" s="5" t="inlineStr"/>
      <c r="P436" s="16" t="inlineStr">
        <is>
          <t>Cross Site Request Forgery</t>
        </is>
      </c>
      <c r="Q436" s="16" t="inlineStr">
        <is>
          <t>scenario 2</t>
        </is>
      </c>
      <c r="R436" s="16" t="inlineStr">
        <is>
          <t>Document Question</t>
        </is>
      </c>
      <c r="S436" s="5" t="inlineStr">
        <is>
          <t>Confirmed</t>
        </is>
      </c>
    </row>
    <row r="437" ht="16" customHeight="1">
      <c r="A437" s="5" t="inlineStr">
        <is>
          <t>TMT-S2-F046</t>
        </is>
      </c>
      <c r="B437" s="5" t="inlineStr">
        <is>
          <t>TMT</t>
        </is>
      </c>
      <c r="C437" s="5" t="inlineStr">
        <is>
          <t>S2</t>
        </is>
      </c>
      <c r="D437" s="21" t="str">
        <f>IFERROR(VLOOKUP($G437,'02_REFERENCE'!$A$2:$S$99,4,FALSE),"N/A")</f>
        <v>N/A</v>
      </c>
      <c r="E437" s="21" t="str">
        <f>IFERROR(VLOOKUP($G437,'02_REFERENCE'!$A$2:$S$99,15,FALSE),"N/A")</f>
        <v>N/A</v>
      </c>
      <c r="F437" s="21" t="str">
        <f>IFERROR(VLOOKUP($G437,'02_REFERENCE'!$A$2:$S$99,17,FALSE),"N/A")</f>
        <v>N/A</v>
      </c>
      <c r="G437" s="21" t="inlineStr"/>
      <c r="H437" s="21" t="inlineStr">
        <is>
          <t>False Positive</t>
        </is>
      </c>
      <c r="I437" s="21" t="inlineStr">
        <is>
          <t>FP</t>
        </is>
      </c>
      <c r="J437" s="21" t="inlineStr">
        <is>
          <t>M</t>
        </is>
      </c>
      <c r="K437" s="21" t="inlineStr">
        <is>
          <t>N</t>
        </is>
      </c>
      <c r="L437" s="21" t="inlineStr">
        <is>
          <t>No</t>
        </is>
      </c>
      <c r="M437" s="21" t="inlineStr"/>
      <c r="N437" s="22" t="inlineStr">
        <is>
          <t>Process-identity spoofing / memory-integrity template; no reference mechanism (authentication bypass RT-004 is logic-based, not process-spoofing).</t>
        </is>
      </c>
      <c r="O437" s="5" t="inlineStr"/>
      <c r="P437" s="16" t="inlineStr">
        <is>
          <t>Elevation by Changing the Execution Flow in P5 AI File Assistant</t>
        </is>
      </c>
      <c r="Q437" s="16" t="inlineStr">
        <is>
          <t>scenario 2</t>
        </is>
      </c>
      <c r="R437" s="16" t="inlineStr">
        <is>
          <t>Document Question</t>
        </is>
      </c>
      <c r="S437" s="5" t="inlineStr">
        <is>
          <t>Confirmed</t>
        </is>
      </c>
    </row>
    <row r="438" ht="16" customHeight="1">
      <c r="A438" s="5" t="inlineStr">
        <is>
          <t>TMT-S2-F047</t>
        </is>
      </c>
      <c r="B438" s="5" t="inlineStr">
        <is>
          <t>TMT</t>
        </is>
      </c>
      <c r="C438" s="5" t="inlineStr">
        <is>
          <t>S2</t>
        </is>
      </c>
      <c r="D438" s="21" t="str">
        <f>IFERROR(VLOOKUP($G438,'02_REFERENCE'!$A$2:$S$99,4,FALSE),"N/A")</f>
        <v>N/A</v>
      </c>
      <c r="E438" s="21" t="str">
        <f>IFERROR(VLOOKUP($G438,'02_REFERENCE'!$A$2:$S$99,15,FALSE),"N/A")</f>
        <v>N/A</v>
      </c>
      <c r="F438" s="21" t="str">
        <f>IFERROR(VLOOKUP($G438,'02_REFERENCE'!$A$2:$S$99,17,FALSE),"N/A")</f>
        <v>N/A</v>
      </c>
      <c r="G438" s="21" t="inlineStr"/>
      <c r="H438" s="21" t="inlineStr">
        <is>
          <t>False Positive</t>
        </is>
      </c>
      <c r="I438" s="21" t="inlineStr">
        <is>
          <t>FP</t>
        </is>
      </c>
      <c r="J438" s="21" t="inlineStr">
        <is>
          <t>M</t>
        </is>
      </c>
      <c r="K438" s="21" t="inlineStr">
        <is>
          <t>N</t>
        </is>
      </c>
      <c r="L438" s="21" t="inlineStr">
        <is>
          <t>No</t>
        </is>
      </c>
      <c r="M438" s="21" t="inlineStr"/>
      <c r="N438" s="22" t="inlineStr">
        <is>
          <t>Process-identity spoofing / memory-integrity template; no reference mechanism (authentication bypass RT-004 is logic-based, not process-spoofing).</t>
        </is>
      </c>
      <c r="O438" s="5" t="inlineStr"/>
      <c r="P438" s="16" t="inlineStr">
        <is>
          <t>P5 AI File Assistant May be Subject to Elevation of Privilege Using Remote Code Execution</t>
        </is>
      </c>
      <c r="Q438" s="16" t="inlineStr">
        <is>
          <t>scenario 2</t>
        </is>
      </c>
      <c r="R438" s="16" t="inlineStr">
        <is>
          <t>Document Question</t>
        </is>
      </c>
      <c r="S438" s="5" t="inlineStr">
        <is>
          <t>Confirmed</t>
        </is>
      </c>
    </row>
    <row r="439" ht="16" customHeight="1">
      <c r="A439" s="5" t="inlineStr">
        <is>
          <t>TMT-S2-F048</t>
        </is>
      </c>
      <c r="B439" s="5" t="inlineStr">
        <is>
          <t>TMT</t>
        </is>
      </c>
      <c r="C439" s="5" t="inlineStr">
        <is>
          <t>S2</t>
        </is>
      </c>
      <c r="D439" s="21" t="str">
        <f>IFERROR(VLOOKUP($G439,'02_REFERENCE'!$A$2:$S$99,4,FALSE),"N/A")</f>
        <v>N/A</v>
      </c>
      <c r="E439" s="21" t="str">
        <f>IFERROR(VLOOKUP($G439,'02_REFERENCE'!$A$2:$S$99,15,FALSE),"N/A")</f>
        <v>N/A</v>
      </c>
      <c r="F439" s="21" t="str">
        <f>IFERROR(VLOOKUP($G439,'02_REFERENCE'!$A$2:$S$99,17,FALSE),"N/A")</f>
        <v>N/A</v>
      </c>
      <c r="G439" s="21" t="inlineStr"/>
      <c r="H439" s="21" t="inlineStr">
        <is>
          <t>False Positive</t>
        </is>
      </c>
      <c r="I439" s="21" t="inlineStr">
        <is>
          <t>FP</t>
        </is>
      </c>
      <c r="J439" s="21" t="inlineStr">
        <is>
          <t>M</t>
        </is>
      </c>
      <c r="K439" s="21" t="inlineStr">
        <is>
          <t>N</t>
        </is>
      </c>
      <c r="L439" s="21" t="inlineStr">
        <is>
          <t>No</t>
        </is>
      </c>
      <c r="M439" s="21" t="inlineStr"/>
      <c r="N439" s="22" t="inlineStr">
        <is>
          <t>Process-identity spoofing / memory-integrity template; no reference mechanism (authentication bypass RT-004 is logic-based, not process-spoofing).</t>
        </is>
      </c>
      <c r="O439" s="5" t="inlineStr"/>
      <c r="P439" s="16" t="inlineStr">
        <is>
          <t>Elevation Using Impersonation</t>
        </is>
      </c>
      <c r="Q439" s="16" t="inlineStr">
        <is>
          <t>scenario 2</t>
        </is>
      </c>
      <c r="R439" s="16" t="inlineStr">
        <is>
          <t>Document Question</t>
        </is>
      </c>
      <c r="S439" s="5" t="inlineStr">
        <is>
          <t>Confirmed</t>
        </is>
      </c>
    </row>
    <row r="440" ht="16" customHeight="1">
      <c r="A440" s="5" t="inlineStr">
        <is>
          <t>TMT-S2-F049</t>
        </is>
      </c>
      <c r="B440" s="5" t="inlineStr">
        <is>
          <t>TMT</t>
        </is>
      </c>
      <c r="C440" s="5" t="inlineStr">
        <is>
          <t>S2</t>
        </is>
      </c>
      <c r="D440" s="21" t="str">
        <f>IFERROR(VLOOKUP($G440,'02_REFERENCE'!$A$2:$S$99,4,FALSE),"N/A")</f>
        <v>N/A</v>
      </c>
      <c r="E440" s="21" t="str">
        <f>IFERROR(VLOOKUP($G440,'02_REFERENCE'!$A$2:$S$99,15,FALSE),"N/A")</f>
        <v>N/A</v>
      </c>
      <c r="F440" s="21" t="str">
        <f>IFERROR(VLOOKUP($G440,'02_REFERENCE'!$A$2:$S$99,17,FALSE),"N/A")</f>
        <v>N/A</v>
      </c>
      <c r="G440" s="21" t="inlineStr"/>
      <c r="H440" s="21" t="inlineStr">
        <is>
          <t>False Positive</t>
        </is>
      </c>
      <c r="I440" s="21" t="inlineStr">
        <is>
          <t>FP</t>
        </is>
      </c>
      <c r="J440" s="21" t="inlineStr">
        <is>
          <t>M</t>
        </is>
      </c>
      <c r="K440" s="21" t="inlineStr">
        <is>
          <t>N</t>
        </is>
      </c>
      <c r="L440" s="21" t="inlineStr">
        <is>
          <t>No</t>
        </is>
      </c>
      <c r="M440" s="21" t="inlineStr"/>
      <c r="N440" s="22" t="inlineStr">
        <is>
          <t>Flow-interruption template on a flow without a matching availability reference.</t>
        </is>
      </c>
      <c r="O440" s="5" t="inlineStr"/>
      <c r="P440" s="16" t="inlineStr">
        <is>
          <t>Data Flow Document Question Is Potentially Interrupted</t>
        </is>
      </c>
      <c r="Q440" s="16" t="inlineStr">
        <is>
          <t>scenario 2</t>
        </is>
      </c>
      <c r="R440" s="16" t="inlineStr">
        <is>
          <t>Document Question</t>
        </is>
      </c>
      <c r="S440" s="5" t="inlineStr">
        <is>
          <t>Confirmed</t>
        </is>
      </c>
    </row>
    <row r="441" ht="16" customHeight="1">
      <c r="A441" s="5" t="inlineStr">
        <is>
          <t>TMT-S2-F050</t>
        </is>
      </c>
      <c r="B441" s="5" t="inlineStr">
        <is>
          <t>TMT</t>
        </is>
      </c>
      <c r="C441" s="5" t="inlineStr">
        <is>
          <t>S2</t>
        </is>
      </c>
      <c r="D441" s="21" t="str">
        <f>IFERROR(VLOOKUP($G441,'02_REFERENCE'!$A$2:$S$99,4,FALSE),"N/A")</f>
        <v>N/A</v>
      </c>
      <c r="E441" s="21" t="str">
        <f>IFERROR(VLOOKUP($G441,'02_REFERENCE'!$A$2:$S$99,15,FALSE),"N/A")</f>
        <v>N/A</v>
      </c>
      <c r="F441" s="21" t="str">
        <f>IFERROR(VLOOKUP($G441,'02_REFERENCE'!$A$2:$S$99,17,FALSE),"N/A")</f>
        <v>N/A</v>
      </c>
      <c r="G441" s="21" t="inlineStr"/>
      <c r="H441" s="21" t="inlineStr">
        <is>
          <t>False Positive</t>
        </is>
      </c>
      <c r="I441" s="21" t="inlineStr">
        <is>
          <t>FP</t>
        </is>
      </c>
      <c r="J441" s="21" t="inlineStr">
        <is>
          <t>M</t>
        </is>
      </c>
      <c r="K441" s="21" t="inlineStr">
        <is>
          <t>N</t>
        </is>
      </c>
      <c r="L441" s="21" t="inlineStr">
        <is>
          <t>No</t>
        </is>
      </c>
      <c r="M441" s="21" t="inlineStr"/>
      <c r="N441" s="22" t="inlineStr">
        <is>
          <t>Process-crash template (internal availability); no reference mechanism (provider-unavailability refs concern the external service; DoS refs concern attacker-driven flooding).</t>
        </is>
      </c>
      <c r="O441" s="5" t="inlineStr"/>
      <c r="P441" s="16" t="inlineStr">
        <is>
          <t>Potential Process Crash or Stop for P5 AI File Assistant</t>
        </is>
      </c>
      <c r="Q441" s="16" t="inlineStr">
        <is>
          <t>scenario 2</t>
        </is>
      </c>
      <c r="R441" s="16" t="inlineStr">
        <is>
          <t>Document Question</t>
        </is>
      </c>
      <c r="S441" s="5" t="inlineStr">
        <is>
          <t>Confirmed</t>
        </is>
      </c>
    </row>
    <row r="442" ht="16" customHeight="1">
      <c r="A442" s="5" t="inlineStr">
        <is>
          <t>TMT-S2-F051</t>
        </is>
      </c>
      <c r="B442" s="5" t="inlineStr">
        <is>
          <t>TMT</t>
        </is>
      </c>
      <c r="C442" s="5" t="inlineStr">
        <is>
          <t>S2</t>
        </is>
      </c>
      <c r="D442" s="21" t="str">
        <f>IFERROR(VLOOKUP($G442,'02_REFERENCE'!$A$2:$S$99,4,FALSE),"N/A")</f>
        <v>Information Disclosure</v>
      </c>
      <c r="E442" s="21" t="str">
        <f>IFERROR(VLOOKUP($G442,'02_REFERENCE'!$A$2:$S$99,15,FALSE),"N/A")</f>
        <v>High</v>
      </c>
      <c r="F442" s="21" t="str">
        <f>IFERROR(VLOOKUP($G442,'02_REFERENCE'!$A$2:$S$99,17,FALSE),"N/A")</f>
        <v>No</v>
      </c>
      <c r="G442" s="21" t="inlineStr">
        <is>
          <t>S2-RT-017</t>
        </is>
      </c>
      <c r="H442" s="21" t="inlineStr">
        <is>
          <t>Primary TP</t>
        </is>
      </c>
      <c r="I442" s="21" t="inlineStr">
        <is>
          <t>TP</t>
        </is>
      </c>
      <c r="J442" s="21" t="inlineStr">
        <is>
          <t>M</t>
        </is>
      </c>
      <c r="K442" s="21" t="inlineStr">
        <is>
          <t>Y</t>
        </is>
      </c>
      <c r="L442" s="21" t="inlineStr">
        <is>
          <t>No</t>
        </is>
      </c>
      <c r="M442" s="21" t="inlineStr"/>
      <c r="N442" s="22" t="inlineStr">
        <is>
          <t>Flow sniffing of sensitive data in transit -&gt; reference S2-RT-017.</t>
        </is>
      </c>
      <c r="O442" s="5" t="inlineStr">
        <is>
          <t>transit_creds</t>
        </is>
      </c>
      <c r="P442" s="16" t="inlineStr">
        <is>
          <t>Data Flow Sniffing</t>
        </is>
      </c>
      <c r="Q442" s="16" t="inlineStr">
        <is>
          <t>scenario 2</t>
        </is>
      </c>
      <c r="R442" s="16" t="inlineStr">
        <is>
          <t>Document Question</t>
        </is>
      </c>
      <c r="S442" s="5" t="inlineStr">
        <is>
          <t>Confirmed</t>
        </is>
      </c>
    </row>
    <row r="443" ht="16" customHeight="1">
      <c r="A443" s="5" t="inlineStr">
        <is>
          <t>TMT-S2-F052</t>
        </is>
      </c>
      <c r="B443" s="5" t="inlineStr">
        <is>
          <t>TMT</t>
        </is>
      </c>
      <c r="C443" s="5" t="inlineStr">
        <is>
          <t>S2</t>
        </is>
      </c>
      <c r="D443" s="21" t="str">
        <f>IFERROR(VLOOKUP($G443,'02_REFERENCE'!$A$2:$S$99,4,FALSE),"N/A")</f>
        <v>Repudiation</v>
      </c>
      <c r="E443" s="21" t="str">
        <f>IFERROR(VLOOKUP($G443,'02_REFERENCE'!$A$2:$S$99,15,FALSE),"N/A")</f>
        <v>Medium</v>
      </c>
      <c r="F443" s="21" t="str">
        <f>IFERROR(VLOOKUP($G443,'02_REFERENCE'!$A$2:$S$99,17,FALSE),"N/A")</f>
        <v>No</v>
      </c>
      <c r="G443" s="21" t="inlineStr">
        <is>
          <t>S2-RT-021</t>
        </is>
      </c>
      <c r="H443" s="21" t="inlineStr">
        <is>
          <t>Duplicate</t>
        </is>
      </c>
      <c r="I443" s="21" t="inlineStr">
        <is>
          <t>TP</t>
        </is>
      </c>
      <c r="J443" s="21" t="inlineStr">
        <is>
          <t>M</t>
        </is>
      </c>
      <c r="K443" s="21" t="inlineStr">
        <is>
          <t>N</t>
        </is>
      </c>
      <c r="L443" s="21" t="inlineStr">
        <is>
          <t>Yes</t>
        </is>
      </c>
      <c r="M443" s="21" t="inlineStr">
        <is>
          <t>TMT-S2-F032</t>
        </is>
      </c>
      <c r="N443" s="22" t="inlineStr">
        <is>
          <t>Attribution template -&gt; reference S2-RT-021 (unspecified attribution of security-relevant actions). [Equivalence: restates TMT-S2-F032 — one-to-one rule applied.]</t>
        </is>
      </c>
      <c r="O443" s="5" t="inlineStr">
        <is>
          <t>repudiation</t>
        </is>
      </c>
      <c r="P443" s="16" t="inlineStr">
        <is>
          <t>Potential Data Repudiation by P5 AI File Assistant</t>
        </is>
      </c>
      <c r="Q443" s="16" t="inlineStr">
        <is>
          <t>scenario 2</t>
        </is>
      </c>
      <c r="R443" s="16" t="inlineStr">
        <is>
          <t>Document Question</t>
        </is>
      </c>
      <c r="S443" s="5" t="inlineStr">
        <is>
          <t>Confirmed</t>
        </is>
      </c>
    </row>
    <row r="444" ht="16" customHeight="1">
      <c r="A444" s="5" t="inlineStr">
        <is>
          <t>TMT-S2-F053</t>
        </is>
      </c>
      <c r="B444" s="5" t="inlineStr">
        <is>
          <t>TMT</t>
        </is>
      </c>
      <c r="C444" s="5" t="inlineStr">
        <is>
          <t>S2</t>
        </is>
      </c>
      <c r="D444" s="21" t="str">
        <f>IFERROR(VLOOKUP($G444,'02_REFERENCE'!$A$2:$S$99,4,FALSE),"N/A")</f>
        <v>N/A</v>
      </c>
      <c r="E444" s="21" t="str">
        <f>IFERROR(VLOOKUP($G444,'02_REFERENCE'!$A$2:$S$99,15,FALSE),"N/A")</f>
        <v>N/A</v>
      </c>
      <c r="F444" s="21" t="str">
        <f>IFERROR(VLOOKUP($G444,'02_REFERENCE'!$A$2:$S$99,17,FALSE),"N/A")</f>
        <v>N/A</v>
      </c>
      <c r="G444" s="21" t="inlineStr"/>
      <c r="H444" s="21" t="inlineStr">
        <is>
          <t>False Positive</t>
        </is>
      </c>
      <c r="I444" s="21" t="inlineStr">
        <is>
          <t>FP</t>
        </is>
      </c>
      <c r="J444" s="21" t="inlineStr">
        <is>
          <t>M</t>
        </is>
      </c>
      <c r="K444" s="21" t="inlineStr">
        <is>
          <t>N</t>
        </is>
      </c>
      <c r="L444" s="21" t="inlineStr">
        <is>
          <t>No</t>
        </is>
      </c>
      <c r="M444" s="21" t="inlineStr"/>
      <c r="N444" s="22" t="inlineStr">
        <is>
          <t>Process-identity spoofing / memory-integrity template; no reference mechanism (authentication bypass RT-004 is logic-based, not process-spoofing).</t>
        </is>
      </c>
      <c r="O444" s="5" t="inlineStr"/>
      <c r="P444" s="16" t="inlineStr">
        <is>
          <t>EE1 Authenticated User Process Memory Tampered</t>
        </is>
      </c>
      <c r="Q444" s="16" t="inlineStr">
        <is>
          <t>scenario 2</t>
        </is>
      </c>
      <c r="R444" s="16" t="inlineStr">
        <is>
          <t>Document Question</t>
        </is>
      </c>
      <c r="S444" s="5" t="inlineStr">
        <is>
          <t>Confirmed</t>
        </is>
      </c>
    </row>
    <row r="445" ht="16" customHeight="1">
      <c r="A445" s="5" t="inlineStr">
        <is>
          <t>TMT-S2-F054</t>
        </is>
      </c>
      <c r="B445" s="5" t="inlineStr">
        <is>
          <t>TMT</t>
        </is>
      </c>
      <c r="C445" s="5" t="inlineStr">
        <is>
          <t>S2</t>
        </is>
      </c>
      <c r="D445" s="21" t="str">
        <f>IFERROR(VLOOKUP($G445,'02_REFERENCE'!$A$2:$S$99,4,FALSE),"N/A")</f>
        <v>Tampering</v>
      </c>
      <c r="E445" s="21" t="str">
        <f>IFERROR(VLOOKUP($G445,'02_REFERENCE'!$A$2:$S$99,15,FALSE),"N/A")</f>
        <v>High</v>
      </c>
      <c r="F445" s="21" t="str">
        <f>IFERROR(VLOOKUP($G445,'02_REFERENCE'!$A$2:$S$99,17,FALSE),"N/A")</f>
        <v>Yes</v>
      </c>
      <c r="G445" s="21" t="inlineStr">
        <is>
          <t>S2-RT-022</t>
        </is>
      </c>
      <c r="H445" s="21" t="inlineStr">
        <is>
          <t>Primary TP</t>
        </is>
      </c>
      <c r="I445" s="21" t="inlineStr">
        <is>
          <t>TP</t>
        </is>
      </c>
      <c r="J445" s="21" t="inlineStr">
        <is>
          <t>M</t>
        </is>
      </c>
      <c r="K445" s="21" t="inlineStr">
        <is>
          <t>Y</t>
        </is>
      </c>
      <c r="L445" s="21" t="inlineStr">
        <is>
          <t>No</t>
        </is>
      </c>
      <c r="M445" s="21" t="inlineStr"/>
      <c r="N445" s="22" t="inlineStr">
        <is>
          <t>Unvalidated user input on the assistant question path -&gt; direct prompt injection -&gt; reference S2-RT-022.</t>
        </is>
      </c>
      <c r="O445" s="5" t="inlineStr">
        <is>
          <t>prompt_injection_direct</t>
        </is>
      </c>
      <c r="P445" s="16" t="inlineStr">
        <is>
          <t>Potential Lack of Input Validation for P5 AI File Assistant</t>
        </is>
      </c>
      <c r="Q445" s="16" t="inlineStr">
        <is>
          <t>scenario 2</t>
        </is>
      </c>
      <c r="R445" s="16" t="inlineStr">
        <is>
          <t>Document Question</t>
        </is>
      </c>
      <c r="S445" s="5" t="inlineStr">
        <is>
          <t>Confirmed</t>
        </is>
      </c>
    </row>
    <row r="446" ht="16" customHeight="1">
      <c r="A446" s="5" t="inlineStr">
        <is>
          <t>TMT-S2-F055</t>
        </is>
      </c>
      <c r="B446" s="5" t="inlineStr">
        <is>
          <t>TMT</t>
        </is>
      </c>
      <c r="C446" s="5" t="inlineStr">
        <is>
          <t>S2</t>
        </is>
      </c>
      <c r="D446" s="21" t="str">
        <f>IFERROR(VLOOKUP($G446,'02_REFERENCE'!$A$2:$S$99,4,FALSE),"N/A")</f>
        <v>N/A</v>
      </c>
      <c r="E446" s="21" t="str">
        <f>IFERROR(VLOOKUP($G446,'02_REFERENCE'!$A$2:$S$99,15,FALSE),"N/A")</f>
        <v>N/A</v>
      </c>
      <c r="F446" s="21" t="str">
        <f>IFERROR(VLOOKUP($G446,'02_REFERENCE'!$A$2:$S$99,17,FALSE),"N/A")</f>
        <v>N/A</v>
      </c>
      <c r="G446" s="21" t="inlineStr"/>
      <c r="H446" s="21" t="inlineStr">
        <is>
          <t>False Positive</t>
        </is>
      </c>
      <c r="I446" s="21" t="inlineStr">
        <is>
          <t>FP</t>
        </is>
      </c>
      <c r="J446" s="21" t="inlineStr">
        <is>
          <t>M</t>
        </is>
      </c>
      <c r="K446" s="21" t="inlineStr">
        <is>
          <t>N</t>
        </is>
      </c>
      <c r="L446" s="21" t="inlineStr">
        <is>
          <t>No</t>
        </is>
      </c>
      <c r="M446" s="21" t="inlineStr"/>
      <c r="N446" s="22" t="inlineStr">
        <is>
          <t>Process-identity spoofing / memory-integrity template; no reference mechanism (authentication bypass RT-004 is logic-based, not process-spoofing).</t>
        </is>
      </c>
      <c r="O446" s="5" t="inlineStr"/>
      <c r="P446" s="16" t="inlineStr">
        <is>
          <t>Spoofing the P5 AI File Assistant Process</t>
        </is>
      </c>
      <c r="Q446" s="16" t="inlineStr">
        <is>
          <t>scenario 2</t>
        </is>
      </c>
      <c r="R446" s="16" t="inlineStr">
        <is>
          <t>Document Question</t>
        </is>
      </c>
      <c r="S446" s="5" t="inlineStr">
        <is>
          <t>Confirmed</t>
        </is>
      </c>
    </row>
    <row r="447" ht="16" customHeight="1">
      <c r="A447" s="5" t="inlineStr">
        <is>
          <t>TMT-S2-F056</t>
        </is>
      </c>
      <c r="B447" s="5" t="inlineStr">
        <is>
          <t>TMT</t>
        </is>
      </c>
      <c r="C447" s="5" t="inlineStr">
        <is>
          <t>S2</t>
        </is>
      </c>
      <c r="D447" s="21" t="str">
        <f>IFERROR(VLOOKUP($G447,'02_REFERENCE'!$A$2:$S$99,4,FALSE),"N/A")</f>
        <v>Elevation of Privilege</v>
      </c>
      <c r="E447" s="21" t="str">
        <f>IFERROR(VLOOKUP($G447,'02_REFERENCE'!$A$2:$S$99,15,FALSE),"N/A")</f>
        <v>High</v>
      </c>
      <c r="F447" s="21" t="str">
        <f>IFERROR(VLOOKUP($G447,'02_REFERENCE'!$A$2:$S$99,17,FALSE),"N/A")</f>
        <v>No</v>
      </c>
      <c r="G447" s="21" t="inlineStr">
        <is>
          <t>S2-RT-008</t>
        </is>
      </c>
      <c r="H447" s="21" t="inlineStr">
        <is>
          <t>Primary TP</t>
        </is>
      </c>
      <c r="I447" s="21" t="inlineStr">
        <is>
          <t>TP</t>
        </is>
      </c>
      <c r="J447" s="21" t="inlineStr">
        <is>
          <t>M</t>
        </is>
      </c>
      <c r="K447" s="21" t="inlineStr">
        <is>
          <t>Y</t>
        </is>
      </c>
      <c r="L447" s="21" t="inlineStr">
        <is>
          <t>No</t>
        </is>
      </c>
      <c r="M447" s="21" t="inlineStr"/>
      <c r="N447" s="22" t="inlineStr">
        <is>
          <t>Spoofing of the authenticated-user process on the assistant path -&gt; identity-bound access to document context through the assistant -&gt; reference S2-RT-008.</t>
        </is>
      </c>
      <c r="O447" s="5" t="inlineStr">
        <is>
          <t>assistant_authz</t>
        </is>
      </c>
      <c r="P447" s="16" t="inlineStr">
        <is>
          <t>Spoofing the EE1 Authenticated User Process</t>
        </is>
      </c>
      <c r="Q447" s="16" t="inlineStr">
        <is>
          <t>scenario 2</t>
        </is>
      </c>
      <c r="R447" s="16" t="inlineStr">
        <is>
          <t>Document Question</t>
        </is>
      </c>
      <c r="S447" s="5" t="inlineStr">
        <is>
          <t>Confirmed</t>
        </is>
      </c>
    </row>
    <row r="448" ht="16" customHeight="1">
      <c r="A448" s="5" t="inlineStr">
        <is>
          <t>TMT-S2-F057</t>
        </is>
      </c>
      <c r="B448" s="5" t="inlineStr">
        <is>
          <t>TMT</t>
        </is>
      </c>
      <c r="C448" s="5" t="inlineStr">
        <is>
          <t>S2</t>
        </is>
      </c>
      <c r="D448" s="21" t="str">
        <f>IFERROR(VLOOKUP($G448,'02_REFERENCE'!$A$2:$S$99,4,FALSE),"N/A")</f>
        <v>N/A</v>
      </c>
      <c r="E448" s="21" t="str">
        <f>IFERROR(VLOOKUP($G448,'02_REFERENCE'!$A$2:$S$99,15,FALSE),"N/A")</f>
        <v>N/A</v>
      </c>
      <c r="F448" s="21" t="str">
        <f>IFERROR(VLOOKUP($G448,'02_REFERENCE'!$A$2:$S$99,17,FALSE),"N/A")</f>
        <v>N/A</v>
      </c>
      <c r="G448" s="21" t="inlineStr"/>
      <c r="H448" s="21" t="inlineStr">
        <is>
          <t>False Positive</t>
        </is>
      </c>
      <c r="I448" s="21" t="inlineStr">
        <is>
          <t>FP</t>
        </is>
      </c>
      <c r="J448" s="21" t="inlineStr">
        <is>
          <t>M</t>
        </is>
      </c>
      <c r="K448" s="21" t="inlineStr">
        <is>
          <t>N</t>
        </is>
      </c>
      <c r="L448" s="21" t="inlineStr">
        <is>
          <t>No</t>
        </is>
      </c>
      <c r="M448" s="21" t="inlineStr"/>
      <c r="N448" s="22" t="inlineStr">
        <is>
          <t>Process-identity spoofing / memory-integrity template; no reference mechanism (authentication bypass RT-004 is logic-based, not process-spoofing).</t>
        </is>
      </c>
      <c r="O448" s="5" t="inlineStr"/>
      <c r="P448" s="16" t="inlineStr">
        <is>
          <t>Spoofing the P5 AI File Assistant Process</t>
        </is>
      </c>
      <c r="Q448" s="16" t="inlineStr">
        <is>
          <t>scenario 2</t>
        </is>
      </c>
      <c r="R448" s="16" t="inlineStr">
        <is>
          <t>AI Answer</t>
        </is>
      </c>
      <c r="S448" s="5" t="inlineStr">
        <is>
          <t>Confirmed</t>
        </is>
      </c>
    </row>
    <row r="449" ht="16" customHeight="1">
      <c r="A449" s="5" t="inlineStr">
        <is>
          <t>TMT-S2-F058</t>
        </is>
      </c>
      <c r="B449" s="5" t="inlineStr">
        <is>
          <t>TMT</t>
        </is>
      </c>
      <c r="C449" s="5" t="inlineStr">
        <is>
          <t>S2</t>
        </is>
      </c>
      <c r="D449" s="21" t="str">
        <f>IFERROR(VLOOKUP($G449,'02_REFERENCE'!$A$2:$S$99,4,FALSE),"N/A")</f>
        <v>Elevation of Privilege</v>
      </c>
      <c r="E449" s="21" t="str">
        <f>IFERROR(VLOOKUP($G449,'02_REFERENCE'!$A$2:$S$99,15,FALSE),"N/A")</f>
        <v>High</v>
      </c>
      <c r="F449" s="21" t="str">
        <f>IFERROR(VLOOKUP($G449,'02_REFERENCE'!$A$2:$S$99,17,FALSE),"N/A")</f>
        <v>No</v>
      </c>
      <c r="G449" s="21" t="inlineStr">
        <is>
          <t>S2-RT-008</t>
        </is>
      </c>
      <c r="H449" s="21" t="inlineStr">
        <is>
          <t>Duplicate</t>
        </is>
      </c>
      <c r="I449" s="21" t="inlineStr">
        <is>
          <t>TP</t>
        </is>
      </c>
      <c r="J449" s="21" t="inlineStr">
        <is>
          <t>M</t>
        </is>
      </c>
      <c r="K449" s="21" t="inlineStr">
        <is>
          <t>N</t>
        </is>
      </c>
      <c r="L449" s="21" t="inlineStr">
        <is>
          <t>Yes</t>
        </is>
      </c>
      <c r="M449" s="21" t="inlineStr">
        <is>
          <t>TMT-S2-F056</t>
        </is>
      </c>
      <c r="N449" s="22" t="inlineStr">
        <is>
          <t>Spoofing of the authenticated-user process on the assistant path -&gt; identity-bound access to document context through the assistant -&gt; reference S2-RT-008. [Equivalence: restates TMT-S2-F056 — one-to-one rule applied.]</t>
        </is>
      </c>
      <c r="O449" s="5" t="inlineStr">
        <is>
          <t>assistant_authz</t>
        </is>
      </c>
      <c r="P449" s="16" t="inlineStr">
        <is>
          <t>Spoofing the EE1 Authenticated User Process</t>
        </is>
      </c>
      <c r="Q449" s="16" t="inlineStr">
        <is>
          <t>scenario 2</t>
        </is>
      </c>
      <c r="R449" s="16" t="inlineStr">
        <is>
          <t>AI Answer</t>
        </is>
      </c>
      <c r="S449" s="5" t="inlineStr">
        <is>
          <t>Confirmed</t>
        </is>
      </c>
    </row>
    <row r="450" ht="16" customHeight="1">
      <c r="A450" s="5" t="inlineStr">
        <is>
          <t>TMT-S2-F059</t>
        </is>
      </c>
      <c r="B450" s="5" t="inlineStr">
        <is>
          <t>TMT</t>
        </is>
      </c>
      <c r="C450" s="5" t="inlineStr">
        <is>
          <t>S2</t>
        </is>
      </c>
      <c r="D450" s="21" t="str">
        <f>IFERROR(VLOOKUP($G450,'02_REFERENCE'!$A$2:$S$99,4,FALSE),"N/A")</f>
        <v>N/A</v>
      </c>
      <c r="E450" s="21" t="str">
        <f>IFERROR(VLOOKUP($G450,'02_REFERENCE'!$A$2:$S$99,15,FALSE),"N/A")</f>
        <v>N/A</v>
      </c>
      <c r="F450" s="21" t="str">
        <f>IFERROR(VLOOKUP($G450,'02_REFERENCE'!$A$2:$S$99,17,FALSE),"N/A")</f>
        <v>N/A</v>
      </c>
      <c r="G450" s="21" t="inlineStr"/>
      <c r="H450" s="21" t="inlineStr">
        <is>
          <t>False Positive</t>
        </is>
      </c>
      <c r="I450" s="21" t="inlineStr">
        <is>
          <t>FP</t>
        </is>
      </c>
      <c r="J450" s="21" t="inlineStr">
        <is>
          <t>M</t>
        </is>
      </c>
      <c r="K450" s="21" t="inlineStr">
        <is>
          <t>N</t>
        </is>
      </c>
      <c r="L450" s="21" t="inlineStr">
        <is>
          <t>No</t>
        </is>
      </c>
      <c r="M450" s="21" t="inlineStr"/>
      <c r="N450" s="22" t="inlineStr">
        <is>
          <t>Generic input-validation template; flow-specific reference mapping not supported (no matching mechanism).</t>
        </is>
      </c>
      <c r="O450" s="5" t="inlineStr"/>
      <c r="P450" s="16" t="inlineStr">
        <is>
          <t>Potential Lack of Input Validation for EE1 Authenticated User</t>
        </is>
      </c>
      <c r="Q450" s="16" t="inlineStr">
        <is>
          <t>scenario 2</t>
        </is>
      </c>
      <c r="R450" s="16" t="inlineStr">
        <is>
          <t>AI Answer</t>
        </is>
      </c>
      <c r="S450" s="5" t="inlineStr">
        <is>
          <t>Confirmed</t>
        </is>
      </c>
    </row>
    <row r="451" ht="16" customHeight="1">
      <c r="A451" s="5" t="inlineStr">
        <is>
          <t>TMT-S2-F060</t>
        </is>
      </c>
      <c r="B451" s="5" t="inlineStr">
        <is>
          <t>TMT</t>
        </is>
      </c>
      <c r="C451" s="5" t="inlineStr">
        <is>
          <t>S2</t>
        </is>
      </c>
      <c r="D451" s="21" t="str">
        <f>IFERROR(VLOOKUP($G451,'02_REFERENCE'!$A$2:$S$99,4,FALSE),"N/A")</f>
        <v>N/A</v>
      </c>
      <c r="E451" s="21" t="str">
        <f>IFERROR(VLOOKUP($G451,'02_REFERENCE'!$A$2:$S$99,15,FALSE),"N/A")</f>
        <v>N/A</v>
      </c>
      <c r="F451" s="21" t="str">
        <f>IFERROR(VLOOKUP($G451,'02_REFERENCE'!$A$2:$S$99,17,FALSE),"N/A")</f>
        <v>N/A</v>
      </c>
      <c r="G451" s="21" t="inlineStr"/>
      <c r="H451" s="21" t="inlineStr">
        <is>
          <t>False Positive</t>
        </is>
      </c>
      <c r="I451" s="21" t="inlineStr">
        <is>
          <t>FP</t>
        </is>
      </c>
      <c r="J451" s="21" t="inlineStr">
        <is>
          <t>M</t>
        </is>
      </c>
      <c r="K451" s="21" t="inlineStr">
        <is>
          <t>N</t>
        </is>
      </c>
      <c r="L451" s="21" t="inlineStr">
        <is>
          <t>No</t>
        </is>
      </c>
      <c r="M451" s="21" t="inlineStr"/>
      <c r="N451" s="22" t="inlineStr">
        <is>
          <t>Process-identity spoofing / memory-integrity template; no reference mechanism (authentication bypass RT-004 is logic-based, not process-spoofing).</t>
        </is>
      </c>
      <c r="O451" s="5" t="inlineStr"/>
      <c r="P451" s="16" t="inlineStr">
        <is>
          <t>P5 AI File Assistant Process Memory Tampered</t>
        </is>
      </c>
      <c r="Q451" s="16" t="inlineStr">
        <is>
          <t>scenario 2</t>
        </is>
      </c>
      <c r="R451" s="16" t="inlineStr">
        <is>
          <t>AI Answer</t>
        </is>
      </c>
      <c r="S451" s="5" t="inlineStr">
        <is>
          <t>Confirmed</t>
        </is>
      </c>
    </row>
    <row r="452" ht="16" customHeight="1">
      <c r="A452" s="5" t="inlineStr">
        <is>
          <t>TMT-S2-F061</t>
        </is>
      </c>
      <c r="B452" s="5" t="inlineStr">
        <is>
          <t>TMT</t>
        </is>
      </c>
      <c r="C452" s="5" t="inlineStr">
        <is>
          <t>S2</t>
        </is>
      </c>
      <c r="D452" s="21" t="str">
        <f>IFERROR(VLOOKUP($G452,'02_REFERENCE'!$A$2:$S$99,4,FALSE),"N/A")</f>
        <v>Repudiation</v>
      </c>
      <c r="E452" s="21" t="str">
        <f>IFERROR(VLOOKUP($G452,'02_REFERENCE'!$A$2:$S$99,15,FALSE),"N/A")</f>
        <v>Medium</v>
      </c>
      <c r="F452" s="21" t="str">
        <f>IFERROR(VLOOKUP($G452,'02_REFERENCE'!$A$2:$S$99,17,FALSE),"N/A")</f>
        <v>No</v>
      </c>
      <c r="G452" s="21" t="inlineStr">
        <is>
          <t>S2-RT-021</t>
        </is>
      </c>
      <c r="H452" s="21" t="inlineStr">
        <is>
          <t>Duplicate</t>
        </is>
      </c>
      <c r="I452" s="21" t="inlineStr">
        <is>
          <t>TP</t>
        </is>
      </c>
      <c r="J452" s="21" t="inlineStr">
        <is>
          <t>M</t>
        </is>
      </c>
      <c r="K452" s="21" t="inlineStr">
        <is>
          <t>N</t>
        </is>
      </c>
      <c r="L452" s="21" t="inlineStr">
        <is>
          <t>Yes</t>
        </is>
      </c>
      <c r="M452" s="21" t="inlineStr">
        <is>
          <t>TMT-S2-F032</t>
        </is>
      </c>
      <c r="N452" s="22" t="inlineStr">
        <is>
          <t>Attribution template -&gt; reference S2-RT-021 (unspecified attribution of security-relevant actions). [Equivalence: restates TMT-S2-F032 — one-to-one rule applied.]</t>
        </is>
      </c>
      <c r="O452" s="5" t="inlineStr">
        <is>
          <t>repudiation</t>
        </is>
      </c>
      <c r="P452" s="16" t="inlineStr">
        <is>
          <t>Potential Data Repudiation by EE1 Authenticated User</t>
        </is>
      </c>
      <c r="Q452" s="16" t="inlineStr">
        <is>
          <t>scenario 2</t>
        </is>
      </c>
      <c r="R452" s="16" t="inlineStr">
        <is>
          <t>AI Answer</t>
        </is>
      </c>
      <c r="S452" s="5" t="inlineStr">
        <is>
          <t>Confirmed</t>
        </is>
      </c>
    </row>
    <row r="453" ht="16" customHeight="1">
      <c r="A453" s="5" t="inlineStr">
        <is>
          <t>TMT-S2-F062</t>
        </is>
      </c>
      <c r="B453" s="5" t="inlineStr">
        <is>
          <t>TMT</t>
        </is>
      </c>
      <c r="C453" s="5" t="inlineStr">
        <is>
          <t>S2</t>
        </is>
      </c>
      <c r="D453" s="21" t="str">
        <f>IFERROR(VLOOKUP($G453,'02_REFERENCE'!$A$2:$S$99,4,FALSE),"N/A")</f>
        <v>Information Disclosure</v>
      </c>
      <c r="E453" s="21" t="str">
        <f>IFERROR(VLOOKUP($G453,'02_REFERENCE'!$A$2:$S$99,15,FALSE),"N/A")</f>
        <v>High</v>
      </c>
      <c r="F453" s="21" t="str">
        <f>IFERROR(VLOOKUP($G453,'02_REFERENCE'!$A$2:$S$99,17,FALSE),"N/A")</f>
        <v>No</v>
      </c>
      <c r="G453" s="21" t="inlineStr">
        <is>
          <t>S2-RT-017</t>
        </is>
      </c>
      <c r="H453" s="21" t="inlineStr">
        <is>
          <t>Duplicate</t>
        </is>
      </c>
      <c r="I453" s="21" t="inlineStr">
        <is>
          <t>TP</t>
        </is>
      </c>
      <c r="J453" s="21" t="inlineStr">
        <is>
          <t>M</t>
        </is>
      </c>
      <c r="K453" s="21" t="inlineStr">
        <is>
          <t>N</t>
        </is>
      </c>
      <c r="L453" s="21" t="inlineStr">
        <is>
          <t>Yes</t>
        </is>
      </c>
      <c r="M453" s="21" t="inlineStr">
        <is>
          <t>TMT-S2-F051</t>
        </is>
      </c>
      <c r="N453" s="22" t="inlineStr">
        <is>
          <t>Flow sniffing of sensitive data in transit -&gt; reference S2-RT-017. [Equivalence: restates TMT-S2-F051 — one-to-one rule applied.]</t>
        </is>
      </c>
      <c r="O453" s="5" t="inlineStr">
        <is>
          <t>transit_creds</t>
        </is>
      </c>
      <c r="P453" s="16" t="inlineStr">
        <is>
          <t>Data Flow Sniffing</t>
        </is>
      </c>
      <c r="Q453" s="16" t="inlineStr">
        <is>
          <t>scenario 2</t>
        </is>
      </c>
      <c r="R453" s="16" t="inlineStr">
        <is>
          <t>AI Answer</t>
        </is>
      </c>
      <c r="S453" s="5" t="inlineStr">
        <is>
          <t>Confirmed</t>
        </is>
      </c>
    </row>
    <row r="454" ht="16" customHeight="1">
      <c r="A454" s="5" t="inlineStr">
        <is>
          <t>TMT-S2-F063</t>
        </is>
      </c>
      <c r="B454" s="5" t="inlineStr">
        <is>
          <t>TMT</t>
        </is>
      </c>
      <c r="C454" s="5" t="inlineStr">
        <is>
          <t>S2</t>
        </is>
      </c>
      <c r="D454" s="21" t="str">
        <f>IFERROR(VLOOKUP($G454,'02_REFERENCE'!$A$2:$S$99,4,FALSE),"N/A")</f>
        <v>N/A</v>
      </c>
      <c r="E454" s="21" t="str">
        <f>IFERROR(VLOOKUP($G454,'02_REFERENCE'!$A$2:$S$99,15,FALSE),"N/A")</f>
        <v>N/A</v>
      </c>
      <c r="F454" s="21" t="str">
        <f>IFERROR(VLOOKUP($G454,'02_REFERENCE'!$A$2:$S$99,17,FALSE),"N/A")</f>
        <v>N/A</v>
      </c>
      <c r="G454" s="21" t="inlineStr"/>
      <c r="H454" s="21" t="inlineStr">
        <is>
          <t>False Positive</t>
        </is>
      </c>
      <c r="I454" s="21" t="inlineStr">
        <is>
          <t>FP</t>
        </is>
      </c>
      <c r="J454" s="21" t="inlineStr">
        <is>
          <t>M</t>
        </is>
      </c>
      <c r="K454" s="21" t="inlineStr">
        <is>
          <t>N</t>
        </is>
      </c>
      <c r="L454" s="21" t="inlineStr">
        <is>
          <t>No</t>
        </is>
      </c>
      <c r="M454" s="21" t="inlineStr"/>
      <c r="N454" s="22" t="inlineStr">
        <is>
          <t>Process-crash template (internal availability); no reference mechanism (provider-unavailability refs concern the external service; DoS refs concern attacker-driven flooding).</t>
        </is>
      </c>
      <c r="O454" s="5" t="inlineStr"/>
      <c r="P454" s="16" t="inlineStr">
        <is>
          <t>Potential Process Crash or Stop for EE1 Authenticated User</t>
        </is>
      </c>
      <c r="Q454" s="16" t="inlineStr">
        <is>
          <t>scenario 2</t>
        </is>
      </c>
      <c r="R454" s="16" t="inlineStr">
        <is>
          <t>AI Answer</t>
        </is>
      </c>
      <c r="S454" s="5" t="inlineStr">
        <is>
          <t>Confirmed</t>
        </is>
      </c>
    </row>
    <row r="455" ht="16" customHeight="1">
      <c r="A455" s="5" t="inlineStr">
        <is>
          <t>TMT-S2-F064</t>
        </is>
      </c>
      <c r="B455" s="5" t="inlineStr">
        <is>
          <t>TMT</t>
        </is>
      </c>
      <c r="C455" s="5" t="inlineStr">
        <is>
          <t>S2</t>
        </is>
      </c>
      <c r="D455" s="21" t="str">
        <f>IFERROR(VLOOKUP($G455,'02_REFERENCE'!$A$2:$S$99,4,FALSE),"N/A")</f>
        <v>N/A</v>
      </c>
      <c r="E455" s="21" t="str">
        <f>IFERROR(VLOOKUP($G455,'02_REFERENCE'!$A$2:$S$99,15,FALSE),"N/A")</f>
        <v>N/A</v>
      </c>
      <c r="F455" s="21" t="str">
        <f>IFERROR(VLOOKUP($G455,'02_REFERENCE'!$A$2:$S$99,17,FALSE),"N/A")</f>
        <v>N/A</v>
      </c>
      <c r="G455" s="21" t="inlineStr"/>
      <c r="H455" s="21" t="inlineStr">
        <is>
          <t>False Positive</t>
        </is>
      </c>
      <c r="I455" s="21" t="inlineStr">
        <is>
          <t>FP</t>
        </is>
      </c>
      <c r="J455" s="21" t="inlineStr">
        <is>
          <t>M</t>
        </is>
      </c>
      <c r="K455" s="21" t="inlineStr">
        <is>
          <t>N</t>
        </is>
      </c>
      <c r="L455" s="21" t="inlineStr">
        <is>
          <t>No</t>
        </is>
      </c>
      <c r="M455" s="21" t="inlineStr"/>
      <c r="N455" s="22" t="inlineStr">
        <is>
          <t>Flow-interruption template on a flow without a matching availability reference.</t>
        </is>
      </c>
      <c r="O455" s="5" t="inlineStr"/>
      <c r="P455" s="16" t="inlineStr">
        <is>
          <t>Data Flow AI Answer Is Potentially Interrupted</t>
        </is>
      </c>
      <c r="Q455" s="16" t="inlineStr">
        <is>
          <t>scenario 2</t>
        </is>
      </c>
      <c r="R455" s="16" t="inlineStr">
        <is>
          <t>AI Answer</t>
        </is>
      </c>
      <c r="S455" s="5" t="inlineStr">
        <is>
          <t>Confirmed</t>
        </is>
      </c>
    </row>
    <row r="456" ht="16" customHeight="1">
      <c r="A456" s="5" t="inlineStr">
        <is>
          <t>TMT-S2-F065</t>
        </is>
      </c>
      <c r="B456" s="5" t="inlineStr">
        <is>
          <t>TMT</t>
        </is>
      </c>
      <c r="C456" s="5" t="inlineStr">
        <is>
          <t>S2</t>
        </is>
      </c>
      <c r="D456" s="21" t="str">
        <f>IFERROR(VLOOKUP($G456,'02_REFERENCE'!$A$2:$S$99,4,FALSE),"N/A")</f>
        <v>N/A</v>
      </c>
      <c r="E456" s="21" t="str">
        <f>IFERROR(VLOOKUP($G456,'02_REFERENCE'!$A$2:$S$99,15,FALSE),"N/A")</f>
        <v>N/A</v>
      </c>
      <c r="F456" s="21" t="str">
        <f>IFERROR(VLOOKUP($G456,'02_REFERENCE'!$A$2:$S$99,17,FALSE),"N/A")</f>
        <v>N/A</v>
      </c>
      <c r="G456" s="21" t="inlineStr"/>
      <c r="H456" s="21" t="inlineStr">
        <is>
          <t>False Positive</t>
        </is>
      </c>
      <c r="I456" s="21" t="inlineStr">
        <is>
          <t>FP</t>
        </is>
      </c>
      <c r="J456" s="21" t="inlineStr">
        <is>
          <t>M</t>
        </is>
      </c>
      <c r="K456" s="21" t="inlineStr">
        <is>
          <t>N</t>
        </is>
      </c>
      <c r="L456" s="21" t="inlineStr">
        <is>
          <t>No</t>
        </is>
      </c>
      <c r="M456" s="21" t="inlineStr"/>
      <c r="N456" s="22" t="inlineStr">
        <is>
          <t>Process-identity spoofing / memory-integrity template; no reference mechanism (authentication bypass RT-004 is logic-based, not process-spoofing).</t>
        </is>
      </c>
      <c r="O456" s="5" t="inlineStr"/>
      <c r="P456" s="16" t="inlineStr">
        <is>
          <t>Elevation Using Impersonation</t>
        </is>
      </c>
      <c r="Q456" s="16" t="inlineStr">
        <is>
          <t>scenario 2</t>
        </is>
      </c>
      <c r="R456" s="16" t="inlineStr">
        <is>
          <t>AI Answer</t>
        </is>
      </c>
      <c r="S456" s="5" t="inlineStr">
        <is>
          <t>Confirmed</t>
        </is>
      </c>
    </row>
    <row r="457" ht="16" customHeight="1">
      <c r="A457" s="5" t="inlineStr">
        <is>
          <t>TMT-S2-F066</t>
        </is>
      </c>
      <c r="B457" s="5" t="inlineStr">
        <is>
          <t>TMT</t>
        </is>
      </c>
      <c r="C457" s="5" t="inlineStr">
        <is>
          <t>S2</t>
        </is>
      </c>
      <c r="D457" s="21" t="str">
        <f>IFERROR(VLOOKUP($G457,'02_REFERENCE'!$A$2:$S$99,4,FALSE),"N/A")</f>
        <v>N/A</v>
      </c>
      <c r="E457" s="21" t="str">
        <f>IFERROR(VLOOKUP($G457,'02_REFERENCE'!$A$2:$S$99,15,FALSE),"N/A")</f>
        <v>N/A</v>
      </c>
      <c r="F457" s="21" t="str">
        <f>IFERROR(VLOOKUP($G457,'02_REFERENCE'!$A$2:$S$99,17,FALSE),"N/A")</f>
        <v>N/A</v>
      </c>
      <c r="G457" s="21" t="inlineStr"/>
      <c r="H457" s="21" t="inlineStr">
        <is>
          <t>False Positive</t>
        </is>
      </c>
      <c r="I457" s="21" t="inlineStr">
        <is>
          <t>FP</t>
        </is>
      </c>
      <c r="J457" s="21" t="inlineStr">
        <is>
          <t>M</t>
        </is>
      </c>
      <c r="K457" s="21" t="inlineStr">
        <is>
          <t>N</t>
        </is>
      </c>
      <c r="L457" s="21" t="inlineStr">
        <is>
          <t>No</t>
        </is>
      </c>
      <c r="M457" s="21" t="inlineStr"/>
      <c r="N457" s="22" t="inlineStr">
        <is>
          <t>Process-identity spoofing / memory-integrity template; no reference mechanism (authentication bypass RT-004 is logic-based, not process-spoofing).</t>
        </is>
      </c>
      <c r="O457" s="5" t="inlineStr"/>
      <c r="P457" s="16" t="inlineStr">
        <is>
          <t>EE1 Authenticated User May be Subject to Elevation of Privilege Using Remote Code Execution</t>
        </is>
      </c>
      <c r="Q457" s="16" t="inlineStr">
        <is>
          <t>scenario 2</t>
        </is>
      </c>
      <c r="R457" s="16" t="inlineStr">
        <is>
          <t>AI Answer</t>
        </is>
      </c>
      <c r="S457" s="5" t="inlineStr">
        <is>
          <t>Confirmed</t>
        </is>
      </c>
    </row>
    <row r="458" ht="16" customHeight="1">
      <c r="A458" s="5" t="inlineStr">
        <is>
          <t>TMT-S2-F067</t>
        </is>
      </c>
      <c r="B458" s="5" t="inlineStr">
        <is>
          <t>TMT</t>
        </is>
      </c>
      <c r="C458" s="5" t="inlineStr">
        <is>
          <t>S2</t>
        </is>
      </c>
      <c r="D458" s="21" t="str">
        <f>IFERROR(VLOOKUP($G458,'02_REFERENCE'!$A$2:$S$99,4,FALSE),"N/A")</f>
        <v>N/A</v>
      </c>
      <c r="E458" s="21" t="str">
        <f>IFERROR(VLOOKUP($G458,'02_REFERENCE'!$A$2:$S$99,15,FALSE),"N/A")</f>
        <v>N/A</v>
      </c>
      <c r="F458" s="21" t="str">
        <f>IFERROR(VLOOKUP($G458,'02_REFERENCE'!$A$2:$S$99,17,FALSE),"N/A")</f>
        <v>N/A</v>
      </c>
      <c r="G458" s="21" t="inlineStr"/>
      <c r="H458" s="21" t="inlineStr">
        <is>
          <t>False Positive</t>
        </is>
      </c>
      <c r="I458" s="21" t="inlineStr">
        <is>
          <t>FP</t>
        </is>
      </c>
      <c r="J458" s="21" t="inlineStr">
        <is>
          <t>M</t>
        </is>
      </c>
      <c r="K458" s="21" t="inlineStr">
        <is>
          <t>N</t>
        </is>
      </c>
      <c r="L458" s="21" t="inlineStr">
        <is>
          <t>No</t>
        </is>
      </c>
      <c r="M458" s="21" t="inlineStr"/>
      <c r="N458" s="22" t="inlineStr">
        <is>
          <t>Process-identity spoofing / memory-integrity template; no reference mechanism (authentication bypass RT-004 is logic-based, not process-spoofing).</t>
        </is>
      </c>
      <c r="O458" s="5" t="inlineStr"/>
      <c r="P458" s="16" t="inlineStr">
        <is>
          <t>Elevation by Changing the Execution Flow in EE1 Authenticated User</t>
        </is>
      </c>
      <c r="Q458" s="16" t="inlineStr">
        <is>
          <t>scenario 2</t>
        </is>
      </c>
      <c r="R458" s="16" t="inlineStr">
        <is>
          <t>AI Answer</t>
        </is>
      </c>
      <c r="S458" s="5" t="inlineStr">
        <is>
          <t>Confirmed</t>
        </is>
      </c>
    </row>
    <row r="459" ht="16" customHeight="1">
      <c r="A459" s="5" t="inlineStr">
        <is>
          <t>TMT-S2-F068</t>
        </is>
      </c>
      <c r="B459" s="5" t="inlineStr">
        <is>
          <t>TMT</t>
        </is>
      </c>
      <c r="C459" s="5" t="inlineStr">
        <is>
          <t>S2</t>
        </is>
      </c>
      <c r="D459" s="21" t="str">
        <f>IFERROR(VLOOKUP($G459,'02_REFERENCE'!$A$2:$S$99,4,FALSE),"N/A")</f>
        <v>N/A</v>
      </c>
      <c r="E459" s="21" t="str">
        <f>IFERROR(VLOOKUP($G459,'02_REFERENCE'!$A$2:$S$99,15,FALSE),"N/A")</f>
        <v>N/A</v>
      </c>
      <c r="F459" s="21" t="str">
        <f>IFERROR(VLOOKUP($G459,'02_REFERENCE'!$A$2:$S$99,17,FALSE),"N/A")</f>
        <v>N/A</v>
      </c>
      <c r="G459" s="21" t="inlineStr"/>
      <c r="H459" s="21" t="inlineStr">
        <is>
          <t>False Positive</t>
        </is>
      </c>
      <c r="I459" s="21" t="inlineStr">
        <is>
          <t>FP</t>
        </is>
      </c>
      <c r="J459" s="21" t="inlineStr">
        <is>
          <t>M</t>
        </is>
      </c>
      <c r="K459" s="21" t="inlineStr">
        <is>
          <t>N</t>
        </is>
      </c>
      <c r="L459" s="21" t="inlineStr">
        <is>
          <t>No</t>
        </is>
      </c>
      <c r="M459" s="21" t="inlineStr"/>
      <c r="N459" s="22" t="inlineStr">
        <is>
          <t>Process-identity spoofing / memory-integrity template; no reference mechanism (authentication bypass RT-004 is logic-based, not process-spoofing).</t>
        </is>
      </c>
      <c r="O459" s="5" t="inlineStr"/>
      <c r="P459" s="16" t="inlineStr">
        <is>
          <t>P5 AI File Assistant Process Memory Tampered</t>
        </is>
      </c>
      <c r="Q459" s="16" t="inlineStr">
        <is>
          <t>scenario 2</t>
        </is>
      </c>
      <c r="R459" s="16" t="inlineStr">
        <is>
          <t>Prompt + Approved Document Context</t>
        </is>
      </c>
      <c r="S459" s="5" t="inlineStr">
        <is>
          <t>Confirmed</t>
        </is>
      </c>
    </row>
    <row r="460" ht="16" customHeight="1">
      <c r="A460" s="5" t="inlineStr">
        <is>
          <t>TMT-S2-F069</t>
        </is>
      </c>
      <c r="B460" s="5" t="inlineStr">
        <is>
          <t>TMT</t>
        </is>
      </c>
      <c r="C460" s="5" t="inlineStr">
        <is>
          <t>S2</t>
        </is>
      </c>
      <c r="D460" s="21" t="str">
        <f>IFERROR(VLOOKUP($G460,'02_REFERENCE'!$A$2:$S$99,4,FALSE),"N/A")</f>
        <v>N/A</v>
      </c>
      <c r="E460" s="21" t="str">
        <f>IFERROR(VLOOKUP($G460,'02_REFERENCE'!$A$2:$S$99,15,FALSE),"N/A")</f>
        <v>N/A</v>
      </c>
      <c r="F460" s="21" t="str">
        <f>IFERROR(VLOOKUP($G460,'02_REFERENCE'!$A$2:$S$99,17,FALSE),"N/A")</f>
        <v>N/A</v>
      </c>
      <c r="G460" s="21" t="inlineStr"/>
      <c r="H460" s="21" t="inlineStr">
        <is>
          <t>False Positive</t>
        </is>
      </c>
      <c r="I460" s="21" t="inlineStr">
        <is>
          <t>FP</t>
        </is>
      </c>
      <c r="J460" s="21" t="inlineStr">
        <is>
          <t>M</t>
        </is>
      </c>
      <c r="K460" s="21" t="inlineStr">
        <is>
          <t>N</t>
        </is>
      </c>
      <c r="L460" s="21" t="inlineStr">
        <is>
          <t>No</t>
        </is>
      </c>
      <c r="M460" s="21" t="inlineStr"/>
      <c r="N460" s="22" t="inlineStr">
        <is>
          <t>Process-identity spoofing / memory-integrity template; no reference mechanism (authentication bypass RT-004 is logic-based, not process-spoofing).</t>
        </is>
      </c>
      <c r="O460" s="5" t="inlineStr"/>
      <c r="P460" s="16" t="inlineStr">
        <is>
          <t>Elevation Using Impersonation</t>
        </is>
      </c>
      <c r="Q460" s="16" t="inlineStr">
        <is>
          <t>scenario 2</t>
        </is>
      </c>
      <c r="R460" s="16" t="inlineStr">
        <is>
          <t>Prompt + Approved Document Context</t>
        </is>
      </c>
      <c r="S460" s="5" t="inlineStr">
        <is>
          <t>Confirmed</t>
        </is>
      </c>
    </row>
    <row r="461" ht="16" customHeight="1">
      <c r="A461" s="5" t="inlineStr">
        <is>
          <t>TMT-S2-F070</t>
        </is>
      </c>
      <c r="B461" s="5" t="inlineStr">
        <is>
          <t>TMT</t>
        </is>
      </c>
      <c r="C461" s="5" t="inlineStr">
        <is>
          <t>S2</t>
        </is>
      </c>
      <c r="D461" s="21" t="str">
        <f>IFERROR(VLOOKUP($G461,'02_REFERENCE'!$A$2:$S$99,4,FALSE),"N/A")</f>
        <v>N/A</v>
      </c>
      <c r="E461" s="21" t="str">
        <f>IFERROR(VLOOKUP($G461,'02_REFERENCE'!$A$2:$S$99,15,FALSE),"N/A")</f>
        <v>N/A</v>
      </c>
      <c r="F461" s="21" t="str">
        <f>IFERROR(VLOOKUP($G461,'02_REFERENCE'!$A$2:$S$99,17,FALSE),"N/A")</f>
        <v>N/A</v>
      </c>
      <c r="G461" s="21" t="inlineStr"/>
      <c r="H461" s="21" t="inlineStr">
        <is>
          <t>False Positive</t>
        </is>
      </c>
      <c r="I461" s="21" t="inlineStr">
        <is>
          <t>FP</t>
        </is>
      </c>
      <c r="J461" s="21" t="inlineStr">
        <is>
          <t>M</t>
        </is>
      </c>
      <c r="K461" s="21" t="inlineStr">
        <is>
          <t>N</t>
        </is>
      </c>
      <c r="L461" s="21" t="inlineStr">
        <is>
          <t>No</t>
        </is>
      </c>
      <c r="M461" s="21" t="inlineStr"/>
      <c r="N461" s="22" t="inlineStr">
        <is>
          <t>Process-identity spoofing / memory-integrity template; no reference mechanism (authentication bypass RT-004 is logic-based, not process-spoofing).</t>
        </is>
      </c>
      <c r="O461" s="5" t="inlineStr"/>
      <c r="P461" s="16" t="inlineStr">
        <is>
          <t>P6 LLM Integration Service Process Memory Tampered</t>
        </is>
      </c>
      <c r="Q461" s="16" t="inlineStr">
        <is>
          <t>scenario 2</t>
        </is>
      </c>
      <c r="R461" s="16" t="inlineStr">
        <is>
          <t>Processed AI Response</t>
        </is>
      </c>
      <c r="S461" s="5" t="inlineStr">
        <is>
          <t>Confirmed</t>
        </is>
      </c>
    </row>
    <row r="462" ht="16" customHeight="1">
      <c r="A462" s="5" t="inlineStr">
        <is>
          <t>TMT-S2-F071</t>
        </is>
      </c>
      <c r="B462" s="5" t="inlineStr">
        <is>
          <t>TMT</t>
        </is>
      </c>
      <c r="C462" s="5" t="inlineStr">
        <is>
          <t>S2</t>
        </is>
      </c>
      <c r="D462" s="21" t="str">
        <f>IFERROR(VLOOKUP($G462,'02_REFERENCE'!$A$2:$S$99,4,FALSE),"N/A")</f>
        <v>N/A</v>
      </c>
      <c r="E462" s="21" t="str">
        <f>IFERROR(VLOOKUP($G462,'02_REFERENCE'!$A$2:$S$99,15,FALSE),"N/A")</f>
        <v>N/A</v>
      </c>
      <c r="F462" s="21" t="str">
        <f>IFERROR(VLOOKUP($G462,'02_REFERENCE'!$A$2:$S$99,17,FALSE),"N/A")</f>
        <v>N/A</v>
      </c>
      <c r="G462" s="21" t="inlineStr"/>
      <c r="H462" s="21" t="inlineStr">
        <is>
          <t>False Positive</t>
        </is>
      </c>
      <c r="I462" s="21" t="inlineStr">
        <is>
          <t>FP</t>
        </is>
      </c>
      <c r="J462" s="21" t="inlineStr">
        <is>
          <t>M</t>
        </is>
      </c>
      <c r="K462" s="21" t="inlineStr">
        <is>
          <t>N</t>
        </is>
      </c>
      <c r="L462" s="21" t="inlineStr">
        <is>
          <t>No</t>
        </is>
      </c>
      <c r="M462" s="21" t="inlineStr"/>
      <c r="N462" s="22" t="inlineStr">
        <is>
          <t>Process-identity spoofing / memory-integrity template; no reference mechanism (authentication bypass RT-004 is logic-based, not process-spoofing).</t>
        </is>
      </c>
      <c r="O462" s="5" t="inlineStr"/>
      <c r="P462" s="16" t="inlineStr">
        <is>
          <t>Elevation Using Impersonation</t>
        </is>
      </c>
      <c r="Q462" s="16" t="inlineStr">
        <is>
          <t>scenario 2</t>
        </is>
      </c>
      <c r="R462" s="16" t="inlineStr">
        <is>
          <t>Processed AI Response</t>
        </is>
      </c>
      <c r="S462" s="5" t="inlineStr">
        <is>
          <t>Confirmed</t>
        </is>
      </c>
    </row>
    <row r="463" ht="16" customHeight="1">
      <c r="A463" s="5" t="inlineStr">
        <is>
          <t>TMT-S2-F072</t>
        </is>
      </c>
      <c r="B463" s="5" t="inlineStr">
        <is>
          <t>TMT</t>
        </is>
      </c>
      <c r="C463" s="5" t="inlineStr">
        <is>
          <t>S2</t>
        </is>
      </c>
      <c r="D463" s="21" t="str">
        <f>IFERROR(VLOOKUP($G463,'02_REFERENCE'!$A$2:$S$99,4,FALSE),"N/A")</f>
        <v>N/A</v>
      </c>
      <c r="E463" s="21" t="str">
        <f>IFERROR(VLOOKUP($G463,'02_REFERENCE'!$A$2:$S$99,15,FALSE),"N/A")</f>
        <v>N/A</v>
      </c>
      <c r="F463" s="21" t="str">
        <f>IFERROR(VLOOKUP($G463,'02_REFERENCE'!$A$2:$S$99,17,FALSE),"N/A")</f>
        <v>N/A</v>
      </c>
      <c r="G463" s="21" t="inlineStr"/>
      <c r="H463" s="21" t="inlineStr">
        <is>
          <t>False Positive</t>
        </is>
      </c>
      <c r="I463" s="21" t="inlineStr">
        <is>
          <t>FP</t>
        </is>
      </c>
      <c r="J463" s="21" t="inlineStr">
        <is>
          <t>M</t>
        </is>
      </c>
      <c r="K463" s="21" t="inlineStr">
        <is>
          <t>N</t>
        </is>
      </c>
      <c r="L463" s="21" t="inlineStr">
        <is>
          <t>No</t>
        </is>
      </c>
      <c r="M463" s="21" t="inlineStr"/>
      <c r="N463" s="22" t="inlineStr">
        <is>
          <t>Process-identity spoofing / memory-integrity template; no reference mechanism (authentication bypass RT-004 is logic-based, not process-spoofing).</t>
        </is>
      </c>
      <c r="O463" s="5" t="inlineStr"/>
      <c r="P463" s="16" t="inlineStr">
        <is>
          <t>P5 AI File Assistant Process Memory Tampered</t>
        </is>
      </c>
      <c r="Q463" s="16" t="inlineStr">
        <is>
          <t>scenario 2</t>
        </is>
      </c>
      <c r="R463" s="16" t="inlineStr">
        <is>
          <t>Approved Context Request</t>
        </is>
      </c>
      <c r="S463" s="5" t="inlineStr">
        <is>
          <t>Confirmed</t>
        </is>
      </c>
    </row>
    <row r="464" ht="16" customHeight="1">
      <c r="A464" s="5" t="inlineStr">
        <is>
          <t>TMT-S2-F073</t>
        </is>
      </c>
      <c r="B464" s="5" t="inlineStr">
        <is>
          <t>TMT</t>
        </is>
      </c>
      <c r="C464" s="5" t="inlineStr">
        <is>
          <t>S2</t>
        </is>
      </c>
      <c r="D464" s="21" t="str">
        <f>IFERROR(VLOOKUP($G464,'02_REFERENCE'!$A$2:$S$99,4,FALSE),"N/A")</f>
        <v>N/A</v>
      </c>
      <c r="E464" s="21" t="str">
        <f>IFERROR(VLOOKUP($G464,'02_REFERENCE'!$A$2:$S$99,15,FALSE),"N/A")</f>
        <v>N/A</v>
      </c>
      <c r="F464" s="21" t="str">
        <f>IFERROR(VLOOKUP($G464,'02_REFERENCE'!$A$2:$S$99,17,FALSE),"N/A")</f>
        <v>N/A</v>
      </c>
      <c r="G464" s="21" t="inlineStr"/>
      <c r="H464" s="21" t="inlineStr">
        <is>
          <t>False Positive</t>
        </is>
      </c>
      <c r="I464" s="21" t="inlineStr">
        <is>
          <t>FP</t>
        </is>
      </c>
      <c r="J464" s="21" t="inlineStr">
        <is>
          <t>M</t>
        </is>
      </c>
      <c r="K464" s="21" t="inlineStr">
        <is>
          <t>N</t>
        </is>
      </c>
      <c r="L464" s="21" t="inlineStr">
        <is>
          <t>No</t>
        </is>
      </c>
      <c r="M464" s="21" t="inlineStr"/>
      <c r="N464" s="22" t="inlineStr">
        <is>
          <t>Process-identity spoofing / memory-integrity template; no reference mechanism (authentication bypass RT-004 is logic-based, not process-spoofing).</t>
        </is>
      </c>
      <c r="O464" s="5" t="inlineStr"/>
      <c r="P464" s="16" t="inlineStr">
        <is>
          <t>Elevation Using Impersonation</t>
        </is>
      </c>
      <c r="Q464" s="16" t="inlineStr">
        <is>
          <t>scenario 2</t>
        </is>
      </c>
      <c r="R464" s="16" t="inlineStr">
        <is>
          <t>Approved Context Request</t>
        </is>
      </c>
      <c r="S464" s="5" t="inlineStr">
        <is>
          <t>Confirmed</t>
        </is>
      </c>
    </row>
    <row r="465" ht="16" customHeight="1">
      <c r="A465" s="5" t="inlineStr">
        <is>
          <t>TMT-S2-F074</t>
        </is>
      </c>
      <c r="B465" s="5" t="inlineStr">
        <is>
          <t>TMT</t>
        </is>
      </c>
      <c r="C465" s="5" t="inlineStr">
        <is>
          <t>S2</t>
        </is>
      </c>
      <c r="D465" s="21" t="str">
        <f>IFERROR(VLOOKUP($G465,'02_REFERENCE'!$A$2:$S$99,4,FALSE),"N/A")</f>
        <v>N/A</v>
      </c>
      <c r="E465" s="21" t="str">
        <f>IFERROR(VLOOKUP($G465,'02_REFERENCE'!$A$2:$S$99,15,FALSE),"N/A")</f>
        <v>N/A</v>
      </c>
      <c r="F465" s="21" t="str">
        <f>IFERROR(VLOOKUP($G465,'02_REFERENCE'!$A$2:$S$99,17,FALSE),"N/A")</f>
        <v>N/A</v>
      </c>
      <c r="G465" s="21" t="inlineStr"/>
      <c r="H465" s="21" t="inlineStr">
        <is>
          <t>False Positive</t>
        </is>
      </c>
      <c r="I465" s="21" t="inlineStr">
        <is>
          <t>FP</t>
        </is>
      </c>
      <c r="J465" s="21" t="inlineStr">
        <is>
          <t>M</t>
        </is>
      </c>
      <c r="K465" s="21" t="inlineStr">
        <is>
          <t>N</t>
        </is>
      </c>
      <c r="L465" s="21" t="inlineStr">
        <is>
          <t>No</t>
        </is>
      </c>
      <c r="M465" s="21" t="inlineStr"/>
      <c r="N465" s="22" t="inlineStr">
        <is>
          <t>Process-identity spoofing / memory-integrity template; no reference mechanism (authentication bypass RT-004 is logic-based, not process-spoofing).</t>
        </is>
      </c>
      <c r="O465" s="5" t="inlineStr"/>
      <c r="P465" s="16" t="inlineStr">
        <is>
          <t>P4 File Retrieval Handler Process Memory Tampered</t>
        </is>
      </c>
      <c r="Q465" s="16" t="inlineStr">
        <is>
          <t>scenario 2</t>
        </is>
      </c>
      <c r="R465" s="16" t="inlineStr">
        <is>
          <t>Retrieved File Content</t>
        </is>
      </c>
      <c r="S465" s="5" t="inlineStr">
        <is>
          <t>Confirmed</t>
        </is>
      </c>
    </row>
    <row r="466" ht="16" customHeight="1">
      <c r="A466" s="5" t="inlineStr">
        <is>
          <t>TMT-S2-F075</t>
        </is>
      </c>
      <c r="B466" s="5" t="inlineStr">
        <is>
          <t>TMT</t>
        </is>
      </c>
      <c r="C466" s="5" t="inlineStr">
        <is>
          <t>S2</t>
        </is>
      </c>
      <c r="D466" s="21" t="str">
        <f>IFERROR(VLOOKUP($G466,'02_REFERENCE'!$A$2:$S$99,4,FALSE),"N/A")</f>
        <v>N/A</v>
      </c>
      <c r="E466" s="21" t="str">
        <f>IFERROR(VLOOKUP($G466,'02_REFERENCE'!$A$2:$S$99,15,FALSE),"N/A")</f>
        <v>N/A</v>
      </c>
      <c r="F466" s="21" t="str">
        <f>IFERROR(VLOOKUP($G466,'02_REFERENCE'!$A$2:$S$99,17,FALSE),"N/A")</f>
        <v>N/A</v>
      </c>
      <c r="G466" s="21" t="inlineStr"/>
      <c r="H466" s="21" t="inlineStr">
        <is>
          <t>False Positive</t>
        </is>
      </c>
      <c r="I466" s="21" t="inlineStr">
        <is>
          <t>FP</t>
        </is>
      </c>
      <c r="J466" s="21" t="inlineStr">
        <is>
          <t>M</t>
        </is>
      </c>
      <c r="K466" s="21" t="inlineStr">
        <is>
          <t>N</t>
        </is>
      </c>
      <c r="L466" s="21" t="inlineStr">
        <is>
          <t>No</t>
        </is>
      </c>
      <c r="M466" s="21" t="inlineStr"/>
      <c r="N466" s="22" t="inlineStr">
        <is>
          <t>Process-identity spoofing / memory-integrity template; no reference mechanism (authentication bypass RT-004 is logic-based, not process-spoofing).</t>
        </is>
      </c>
      <c r="O466" s="5" t="inlineStr"/>
      <c r="P466" s="16" t="inlineStr">
        <is>
          <t>Elevation Using Impersonation</t>
        </is>
      </c>
      <c r="Q466" s="16" t="inlineStr">
        <is>
          <t>scenario 2</t>
        </is>
      </c>
      <c r="R466" s="16" t="inlineStr">
        <is>
          <t>Retrieved File Content</t>
        </is>
      </c>
      <c r="S466" s="5" t="inlineStr">
        <is>
          <t>Confirmed</t>
        </is>
      </c>
    </row>
    <row r="467" ht="16" customHeight="1">
      <c r="A467" s="5" t="inlineStr">
        <is>
          <t>TMT-S2-F076</t>
        </is>
      </c>
      <c r="B467" s="5" t="inlineStr">
        <is>
          <t>TMT</t>
        </is>
      </c>
      <c r="C467" s="5" t="inlineStr">
        <is>
          <t>S2</t>
        </is>
      </c>
      <c r="D467" s="21" t="str">
        <f>IFERROR(VLOOKUP($G467,'02_REFERENCE'!$A$2:$S$99,4,FALSE),"N/A")</f>
        <v>Spoofing</v>
      </c>
      <c r="E467" s="21" t="str">
        <f>IFERROR(VLOOKUP($G467,'02_REFERENCE'!$A$2:$S$99,15,FALSE),"N/A")</f>
        <v>High</v>
      </c>
      <c r="F467" s="21" t="str">
        <f>IFERROR(VLOOKUP($G467,'02_REFERENCE'!$A$2:$S$99,17,FALSE),"N/A")</f>
        <v>Yes</v>
      </c>
      <c r="G467" s="21" t="inlineStr">
        <is>
          <t>S2-RT-030</t>
        </is>
      </c>
      <c r="H467" s="21" t="inlineStr">
        <is>
          <t>Primary TP</t>
        </is>
      </c>
      <c r="I467" s="21" t="inlineStr">
        <is>
          <t>TP</t>
        </is>
      </c>
      <c r="J467" s="21" t="inlineStr">
        <is>
          <t>M</t>
        </is>
      </c>
      <c r="K467" s="21" t="inlineStr">
        <is>
          <t>Y</t>
        </is>
      </c>
      <c r="L467" s="21" t="inlineStr">
        <is>
          <t>No</t>
        </is>
      </c>
      <c r="M467" s="21" t="inlineStr"/>
      <c r="N467" s="22" t="inlineStr">
        <is>
          <t>Spoofing/impersonation of the external LLM provider -&gt; reference S2-RT-030 (compromise or substitution of the external model service).</t>
        </is>
      </c>
      <c r="O467" s="5" t="inlineStr">
        <is>
          <t>model_substitution</t>
        </is>
      </c>
      <c r="P467" s="16" t="inlineStr">
        <is>
          <t>Spoofing of the EE2 External LLM Provider External Destination Entity</t>
        </is>
      </c>
      <c r="Q467" s="16" t="inlineStr">
        <is>
          <t>scenario 2</t>
        </is>
      </c>
      <c r="R467" s="16" t="inlineStr">
        <is>
          <t>Prompt + Approved Document Context</t>
        </is>
      </c>
      <c r="S467" s="5" t="inlineStr">
        <is>
          <t>Confirmed</t>
        </is>
      </c>
    </row>
    <row r="468" ht="16" customHeight="1">
      <c r="A468" s="5" t="inlineStr">
        <is>
          <t>TMT-S2-F077</t>
        </is>
      </c>
      <c r="B468" s="5" t="inlineStr">
        <is>
          <t>TMT</t>
        </is>
      </c>
      <c r="C468" s="5" t="inlineStr">
        <is>
          <t>S2</t>
        </is>
      </c>
      <c r="D468" s="21" t="str">
        <f>IFERROR(VLOOKUP($G468,'02_REFERENCE'!$A$2:$S$99,4,FALSE),"N/A")</f>
        <v>N/A</v>
      </c>
      <c r="E468" s="21" t="str">
        <f>IFERROR(VLOOKUP($G468,'02_REFERENCE'!$A$2:$S$99,15,FALSE),"N/A")</f>
        <v>N/A</v>
      </c>
      <c r="F468" s="21" t="str">
        <f>IFERROR(VLOOKUP($G468,'02_REFERENCE'!$A$2:$S$99,17,FALSE),"N/A")</f>
        <v>N/A</v>
      </c>
      <c r="G468" s="21" t="inlineStr"/>
      <c r="H468" s="21" t="inlineStr">
        <is>
          <t>False Positive</t>
        </is>
      </c>
      <c r="I468" s="21" t="inlineStr">
        <is>
          <t>FP</t>
        </is>
      </c>
      <c r="J468" s="21" t="inlineStr">
        <is>
          <t>M</t>
        </is>
      </c>
      <c r="K468" s="21" t="inlineStr">
        <is>
          <t>N</t>
        </is>
      </c>
      <c r="L468" s="21" t="inlineStr">
        <is>
          <t>No</t>
        </is>
      </c>
      <c r="M468" s="21" t="inlineStr"/>
      <c r="N468" s="22" t="inlineStr">
        <is>
          <t>No reference threat corresponds to this finding's mechanism (scoring found no class with sufficient evidence).</t>
        </is>
      </c>
      <c r="O468" s="5" t="inlineStr"/>
      <c r="P468" s="16" t="inlineStr">
        <is>
          <t>External Entity EE2 External LLM Provider Potentially Denies Receiving Data</t>
        </is>
      </c>
      <c r="Q468" s="16" t="inlineStr">
        <is>
          <t>scenario 2</t>
        </is>
      </c>
      <c r="R468" s="16" t="inlineStr">
        <is>
          <t>Prompt + Approved Document Context</t>
        </is>
      </c>
      <c r="S468" s="5" t="inlineStr">
        <is>
          <t>Confirmed</t>
        </is>
      </c>
    </row>
    <row r="469" ht="16" customHeight="1">
      <c r="A469" s="5" t="inlineStr">
        <is>
          <t>TMT-S2-F078</t>
        </is>
      </c>
      <c r="B469" s="5" t="inlineStr">
        <is>
          <t>TMT</t>
        </is>
      </c>
      <c r="C469" s="5" t="inlineStr">
        <is>
          <t>S2</t>
        </is>
      </c>
      <c r="D469" s="21" t="str">
        <f>IFERROR(VLOOKUP($G469,'02_REFERENCE'!$A$2:$S$99,4,FALSE),"N/A")</f>
        <v>Denial of Service</v>
      </c>
      <c r="E469" s="21" t="str">
        <f>IFERROR(VLOOKUP($G469,'02_REFERENCE'!$A$2:$S$99,15,FALSE),"N/A")</f>
        <v>Medium</v>
      </c>
      <c r="F469" s="21" t="str">
        <f>IFERROR(VLOOKUP($G469,'02_REFERENCE'!$A$2:$S$99,17,FALSE),"N/A")</f>
        <v>Yes</v>
      </c>
      <c r="G469" s="21" t="inlineStr">
        <is>
          <t>S2-RT-032</t>
        </is>
      </c>
      <c r="H469" s="21" t="inlineStr">
        <is>
          <t>Primary TP</t>
        </is>
      </c>
      <c r="I469" s="21" t="inlineStr">
        <is>
          <t>TP</t>
        </is>
      </c>
      <c r="J469" s="21" t="inlineStr">
        <is>
          <t>M</t>
        </is>
      </c>
      <c r="K469" s="21" t="inlineStr">
        <is>
          <t>Y</t>
        </is>
      </c>
      <c r="L469" s="21" t="inlineStr">
        <is>
          <t>No</t>
        </is>
      </c>
      <c r="M469" s="21" t="inlineStr"/>
      <c r="N469" s="22" t="inlineStr">
        <is>
          <t>Interruption of the provider exchange -&gt; reference S2-RT-032 (provider unavailability).</t>
        </is>
      </c>
      <c r="O469" s="5" t="inlineStr">
        <is>
          <t>llm_unavailable</t>
        </is>
      </c>
      <c r="P469" s="16" t="inlineStr">
        <is>
          <t>Data Flow Prompt + Approved Document Context Is Potentially Interrupted</t>
        </is>
      </c>
      <c r="Q469" s="16" t="inlineStr">
        <is>
          <t>scenario 2</t>
        </is>
      </c>
      <c r="R469" s="16" t="inlineStr">
        <is>
          <t>Prompt + Approved Document Context</t>
        </is>
      </c>
      <c r="S469" s="5" t="inlineStr">
        <is>
          <t>Confirmed</t>
        </is>
      </c>
    </row>
    <row r="470" ht="16" customHeight="1">
      <c r="A470" s="5" t="inlineStr">
        <is>
          <t>TMT-S2-F079</t>
        </is>
      </c>
      <c r="B470" s="5" t="inlineStr">
        <is>
          <t>TMT</t>
        </is>
      </c>
      <c r="C470" s="5" t="inlineStr">
        <is>
          <t>S2</t>
        </is>
      </c>
      <c r="D470" s="21" t="str">
        <f>IFERROR(VLOOKUP($G470,'02_REFERENCE'!$A$2:$S$99,4,FALSE),"N/A")</f>
        <v>N/A</v>
      </c>
      <c r="E470" s="21" t="str">
        <f>IFERROR(VLOOKUP($G470,'02_REFERENCE'!$A$2:$S$99,15,FALSE),"N/A")</f>
        <v>N/A</v>
      </c>
      <c r="F470" s="21" t="str">
        <f>IFERROR(VLOOKUP($G470,'02_REFERENCE'!$A$2:$S$99,17,FALSE),"N/A")</f>
        <v>N/A</v>
      </c>
      <c r="G470" s="21" t="inlineStr"/>
      <c r="H470" s="21" t="inlineStr">
        <is>
          <t>False Positive</t>
        </is>
      </c>
      <c r="I470" s="21" t="inlineStr">
        <is>
          <t>FP</t>
        </is>
      </c>
      <c r="J470" s="21" t="inlineStr">
        <is>
          <t>M</t>
        </is>
      </c>
      <c r="K470" s="21" t="inlineStr">
        <is>
          <t>N</t>
        </is>
      </c>
      <c r="L470" s="21" t="inlineStr">
        <is>
          <t>No</t>
        </is>
      </c>
      <c r="M470" s="21" t="inlineStr"/>
      <c r="N470" s="22" t="inlineStr">
        <is>
          <t>Process-identity spoofing / memory-integrity template; no reference mechanism (authentication bypass RT-004 is logic-based, not process-spoofing).</t>
        </is>
      </c>
      <c r="O470" s="5" t="inlineStr"/>
      <c r="P470" s="16" t="inlineStr">
        <is>
          <t>Spoofing the P6 LLM Integration Service Process</t>
        </is>
      </c>
      <c r="Q470" s="16" t="inlineStr">
        <is>
          <t>scenario 2</t>
        </is>
      </c>
      <c r="R470" s="16" t="inlineStr">
        <is>
          <t>Generated LLM Response</t>
        </is>
      </c>
      <c r="S470" s="5" t="inlineStr">
        <is>
          <t>Confirmed</t>
        </is>
      </c>
    </row>
    <row r="471" ht="16" customHeight="1">
      <c r="A471" s="5" t="inlineStr">
        <is>
          <t>TMT-S2-F080</t>
        </is>
      </c>
      <c r="B471" s="5" t="inlineStr">
        <is>
          <t>TMT</t>
        </is>
      </c>
      <c r="C471" s="5" t="inlineStr">
        <is>
          <t>S2</t>
        </is>
      </c>
      <c r="D471" s="21" t="str">
        <f>IFERROR(VLOOKUP($G471,'02_REFERENCE'!$A$2:$S$99,4,FALSE),"N/A")</f>
        <v>Spoofing</v>
      </c>
      <c r="E471" s="21" t="str">
        <f>IFERROR(VLOOKUP($G471,'02_REFERENCE'!$A$2:$S$99,15,FALSE),"N/A")</f>
        <v>High</v>
      </c>
      <c r="F471" s="21" t="str">
        <f>IFERROR(VLOOKUP($G471,'02_REFERENCE'!$A$2:$S$99,17,FALSE),"N/A")</f>
        <v>Yes</v>
      </c>
      <c r="G471" s="21" t="inlineStr">
        <is>
          <t>S2-RT-030</t>
        </is>
      </c>
      <c r="H471" s="21" t="inlineStr">
        <is>
          <t>Duplicate</t>
        </is>
      </c>
      <c r="I471" s="21" t="inlineStr">
        <is>
          <t>TP</t>
        </is>
      </c>
      <c r="J471" s="21" t="inlineStr">
        <is>
          <t>M</t>
        </is>
      </c>
      <c r="K471" s="21" t="inlineStr">
        <is>
          <t>N</t>
        </is>
      </c>
      <c r="L471" s="21" t="inlineStr">
        <is>
          <t>Yes</t>
        </is>
      </c>
      <c r="M471" s="21" t="inlineStr">
        <is>
          <t>TMT-S2-F076</t>
        </is>
      </c>
      <c r="N471" s="22" t="inlineStr">
        <is>
          <t>Spoofing/impersonation of the external LLM provider -&gt; reference S2-RT-030 (compromise or substitution of the external model service). [Equivalence: restates TMT-S2-F076 — one-to-one rule applied.]</t>
        </is>
      </c>
      <c r="O471" s="5" t="inlineStr">
        <is>
          <t>model_substitution</t>
        </is>
      </c>
      <c r="P471" s="16" t="inlineStr">
        <is>
          <t>Spoofing the EE2 External LLM Provider External Entity</t>
        </is>
      </c>
      <c r="Q471" s="16" t="inlineStr">
        <is>
          <t>scenario 2</t>
        </is>
      </c>
      <c r="R471" s="16" t="inlineStr">
        <is>
          <t>Generated LLM Response</t>
        </is>
      </c>
      <c r="S471" s="5" t="inlineStr">
        <is>
          <t>Confirmed</t>
        </is>
      </c>
    </row>
    <row r="472" ht="16" customHeight="1">
      <c r="A472" s="5" t="inlineStr">
        <is>
          <t>TMT-S2-F081</t>
        </is>
      </c>
      <c r="B472" s="5" t="inlineStr">
        <is>
          <t>TMT</t>
        </is>
      </c>
      <c r="C472" s="5" t="inlineStr">
        <is>
          <t>S2</t>
        </is>
      </c>
      <c r="D472" s="21" t="str">
        <f>IFERROR(VLOOKUP($G472,'02_REFERENCE'!$A$2:$S$99,4,FALSE),"N/A")</f>
        <v>Tampering</v>
      </c>
      <c r="E472" s="21" t="str">
        <f>IFERROR(VLOOKUP($G472,'02_REFERENCE'!$A$2:$S$99,15,FALSE),"N/A")</f>
        <v>Critical</v>
      </c>
      <c r="F472" s="21" t="str">
        <f>IFERROR(VLOOKUP($G472,'02_REFERENCE'!$A$2:$S$99,17,FALSE),"N/A")</f>
        <v>Yes</v>
      </c>
      <c r="G472" s="21" t="inlineStr">
        <is>
          <t>S2-RT-026</t>
        </is>
      </c>
      <c r="H472" s="21" t="inlineStr">
        <is>
          <t>Primary TP</t>
        </is>
      </c>
      <c r="I472" s="21" t="inlineStr">
        <is>
          <t>TP</t>
        </is>
      </c>
      <c r="J472" s="21" t="inlineStr">
        <is>
          <t>M</t>
        </is>
      </c>
      <c r="K472" s="21" t="inlineStr">
        <is>
          <t>Y</t>
        </is>
      </c>
      <c r="L472" s="21" t="inlineStr">
        <is>
          <t>No</t>
        </is>
      </c>
      <c r="M472" s="21" t="inlineStr"/>
      <c r="N472" s="22" t="inlineStr">
        <is>
          <t>Unvalidated input on the generated-response path -&gt; insecure handling of generated output -&gt; reference S2-RT-026.</t>
        </is>
      </c>
      <c r="O472" s="5" t="inlineStr">
        <is>
          <t>unsafe_output</t>
        </is>
      </c>
      <c r="P472" s="16" t="inlineStr">
        <is>
          <t>Potential Lack of Input Validation for P6 LLM Integration Service</t>
        </is>
      </c>
      <c r="Q472" s="16" t="inlineStr">
        <is>
          <t>scenario 2</t>
        </is>
      </c>
      <c r="R472" s="16" t="inlineStr">
        <is>
          <t>Generated LLM Response</t>
        </is>
      </c>
      <c r="S472" s="5" t="inlineStr">
        <is>
          <t>Confirmed</t>
        </is>
      </c>
    </row>
    <row r="473" ht="16" customHeight="1">
      <c r="A473" s="5" t="inlineStr">
        <is>
          <t>TMT-S2-F082</t>
        </is>
      </c>
      <c r="B473" s="5" t="inlineStr">
        <is>
          <t>TMT</t>
        </is>
      </c>
      <c r="C473" s="5" t="inlineStr">
        <is>
          <t>S2</t>
        </is>
      </c>
      <c r="D473" s="21" t="str">
        <f>IFERROR(VLOOKUP($G473,'02_REFERENCE'!$A$2:$S$99,4,FALSE),"N/A")</f>
        <v>Repudiation</v>
      </c>
      <c r="E473" s="21" t="str">
        <f>IFERROR(VLOOKUP($G473,'02_REFERENCE'!$A$2:$S$99,15,FALSE),"N/A")</f>
        <v>Medium</v>
      </c>
      <c r="F473" s="21" t="str">
        <f>IFERROR(VLOOKUP($G473,'02_REFERENCE'!$A$2:$S$99,17,FALSE),"N/A")</f>
        <v>No</v>
      </c>
      <c r="G473" s="21" t="inlineStr">
        <is>
          <t>S2-RT-021</t>
        </is>
      </c>
      <c r="H473" s="21" t="inlineStr">
        <is>
          <t>Duplicate</t>
        </is>
      </c>
      <c r="I473" s="21" t="inlineStr">
        <is>
          <t>TP</t>
        </is>
      </c>
      <c r="J473" s="21" t="inlineStr">
        <is>
          <t>M</t>
        </is>
      </c>
      <c r="K473" s="21" t="inlineStr">
        <is>
          <t>N</t>
        </is>
      </c>
      <c r="L473" s="21" t="inlineStr">
        <is>
          <t>Yes</t>
        </is>
      </c>
      <c r="M473" s="21" t="inlineStr">
        <is>
          <t>TMT-S2-F032</t>
        </is>
      </c>
      <c r="N473" s="22" t="inlineStr">
        <is>
          <t>Attribution template -&gt; reference S2-RT-021 (unspecified attribution of security-relevant actions). [Equivalence: restates TMT-S2-F032 — one-to-one rule applied.]</t>
        </is>
      </c>
      <c r="O473" s="5" t="inlineStr">
        <is>
          <t>repudiation</t>
        </is>
      </c>
      <c r="P473" s="16" t="inlineStr">
        <is>
          <t>Potential Data Repudiation by P6 LLM Integration Service</t>
        </is>
      </c>
      <c r="Q473" s="16" t="inlineStr">
        <is>
          <t>scenario 2</t>
        </is>
      </c>
      <c r="R473" s="16" t="inlineStr">
        <is>
          <t>Generated LLM Response</t>
        </is>
      </c>
      <c r="S473" s="5" t="inlineStr">
        <is>
          <t>Confirmed</t>
        </is>
      </c>
    </row>
    <row r="474" ht="16" customHeight="1">
      <c r="A474" s="5" t="inlineStr">
        <is>
          <t>TMT-S2-F083</t>
        </is>
      </c>
      <c r="B474" s="5" t="inlineStr">
        <is>
          <t>TMT</t>
        </is>
      </c>
      <c r="C474" s="5" t="inlineStr">
        <is>
          <t>S2</t>
        </is>
      </c>
      <c r="D474" s="21" t="str">
        <f>IFERROR(VLOOKUP($G474,'02_REFERENCE'!$A$2:$S$99,4,FALSE),"N/A")</f>
        <v>N/A</v>
      </c>
      <c r="E474" s="21" t="str">
        <f>IFERROR(VLOOKUP($G474,'02_REFERENCE'!$A$2:$S$99,15,FALSE),"N/A")</f>
        <v>N/A</v>
      </c>
      <c r="F474" s="21" t="str">
        <f>IFERROR(VLOOKUP($G474,'02_REFERENCE'!$A$2:$S$99,17,FALSE),"N/A")</f>
        <v>N/A</v>
      </c>
      <c r="G474" s="21" t="inlineStr"/>
      <c r="H474" s="21" t="inlineStr">
        <is>
          <t>False Positive</t>
        </is>
      </c>
      <c r="I474" s="21" t="inlineStr">
        <is>
          <t>FP</t>
        </is>
      </c>
      <c r="J474" s="21" t="inlineStr">
        <is>
          <t>M</t>
        </is>
      </c>
      <c r="K474" s="21" t="inlineStr">
        <is>
          <t>N</t>
        </is>
      </c>
      <c r="L474" s="21" t="inlineStr">
        <is>
          <t>No</t>
        </is>
      </c>
      <c r="M474" s="21" t="inlineStr"/>
      <c r="N474" s="22" t="inlineStr">
        <is>
          <t>Sniffing of prompt/provider traffic: the baseline contains no reference for interception of prompt traffic (credential-token sniffing and file-interception refs are asset-specific; RT-024 covers application-side over-inclusion, not interception).</t>
        </is>
      </c>
      <c r="O474" s="5" t="inlineStr"/>
      <c r="P474" s="16" t="inlineStr">
        <is>
          <t>Data Flow Sniffing</t>
        </is>
      </c>
      <c r="Q474" s="16" t="inlineStr">
        <is>
          <t>scenario 2</t>
        </is>
      </c>
      <c r="R474" s="16" t="inlineStr">
        <is>
          <t>Generated LLM Response</t>
        </is>
      </c>
      <c r="S474" s="5" t="inlineStr">
        <is>
          <t>Confirmed</t>
        </is>
      </c>
    </row>
    <row r="475" ht="16" customHeight="1">
      <c r="A475" s="5" t="inlineStr">
        <is>
          <t>TMT-S2-F084</t>
        </is>
      </c>
      <c r="B475" s="5" t="inlineStr">
        <is>
          <t>TMT</t>
        </is>
      </c>
      <c r="C475" s="5" t="inlineStr">
        <is>
          <t>S2</t>
        </is>
      </c>
      <c r="D475" s="21" t="str">
        <f>IFERROR(VLOOKUP($G475,'02_REFERENCE'!$A$2:$S$99,4,FALSE),"N/A")</f>
        <v>N/A</v>
      </c>
      <c r="E475" s="21" t="str">
        <f>IFERROR(VLOOKUP($G475,'02_REFERENCE'!$A$2:$S$99,15,FALSE),"N/A")</f>
        <v>N/A</v>
      </c>
      <c r="F475" s="21" t="str">
        <f>IFERROR(VLOOKUP($G475,'02_REFERENCE'!$A$2:$S$99,17,FALSE),"N/A")</f>
        <v>N/A</v>
      </c>
      <c r="G475" s="21" t="inlineStr"/>
      <c r="H475" s="21" t="inlineStr">
        <is>
          <t>False Positive</t>
        </is>
      </c>
      <c r="I475" s="21" t="inlineStr">
        <is>
          <t>FP</t>
        </is>
      </c>
      <c r="J475" s="21" t="inlineStr">
        <is>
          <t>M</t>
        </is>
      </c>
      <c r="K475" s="21" t="inlineStr">
        <is>
          <t>N</t>
        </is>
      </c>
      <c r="L475" s="21" t="inlineStr">
        <is>
          <t>No</t>
        </is>
      </c>
      <c r="M475" s="21" t="inlineStr"/>
      <c r="N475" s="22" t="inlineStr">
        <is>
          <t>Process-crash template (internal availability); no reference mechanism (provider-unavailability refs concern the external service; DoS refs concern attacker-driven flooding).</t>
        </is>
      </c>
      <c r="O475" s="5" t="inlineStr"/>
      <c r="P475" s="16" t="inlineStr">
        <is>
          <t>Potential Process Crash or Stop for P6 LLM Integration Service</t>
        </is>
      </c>
      <c r="Q475" s="16" t="inlineStr">
        <is>
          <t>scenario 2</t>
        </is>
      </c>
      <c r="R475" s="16" t="inlineStr">
        <is>
          <t>Generated LLM Response</t>
        </is>
      </c>
      <c r="S475" s="5" t="inlineStr">
        <is>
          <t>Confirmed</t>
        </is>
      </c>
    </row>
    <row r="476" ht="16" customHeight="1">
      <c r="A476" s="5" t="inlineStr">
        <is>
          <t>TMT-S2-F085</t>
        </is>
      </c>
      <c r="B476" s="5" t="inlineStr">
        <is>
          <t>TMT</t>
        </is>
      </c>
      <c r="C476" s="5" t="inlineStr">
        <is>
          <t>S2</t>
        </is>
      </c>
      <c r="D476" s="21" t="str">
        <f>IFERROR(VLOOKUP($G476,'02_REFERENCE'!$A$2:$S$99,4,FALSE),"N/A")</f>
        <v>Denial of Service</v>
      </c>
      <c r="E476" s="21" t="str">
        <f>IFERROR(VLOOKUP($G476,'02_REFERENCE'!$A$2:$S$99,15,FALSE),"N/A")</f>
        <v>Medium</v>
      </c>
      <c r="F476" s="21" t="str">
        <f>IFERROR(VLOOKUP($G476,'02_REFERENCE'!$A$2:$S$99,17,FALSE),"N/A")</f>
        <v>Yes</v>
      </c>
      <c r="G476" s="21" t="inlineStr">
        <is>
          <t>S2-RT-032</t>
        </is>
      </c>
      <c r="H476" s="21" t="inlineStr">
        <is>
          <t>Duplicate</t>
        </is>
      </c>
      <c r="I476" s="21" t="inlineStr">
        <is>
          <t>TP</t>
        </is>
      </c>
      <c r="J476" s="21" t="inlineStr">
        <is>
          <t>M</t>
        </is>
      </c>
      <c r="K476" s="21" t="inlineStr">
        <is>
          <t>N</t>
        </is>
      </c>
      <c r="L476" s="21" t="inlineStr">
        <is>
          <t>Yes</t>
        </is>
      </c>
      <c r="M476" s="21" t="inlineStr">
        <is>
          <t>TMT-S2-F078</t>
        </is>
      </c>
      <c r="N476" s="22" t="inlineStr">
        <is>
          <t>Interruption of the provider exchange -&gt; reference S2-RT-032 (provider unavailability). [Equivalence: restates TMT-S2-F078 — one-to-one rule applied.]</t>
        </is>
      </c>
      <c r="O476" s="5" t="inlineStr">
        <is>
          <t>llm_unavailable</t>
        </is>
      </c>
      <c r="P476" s="16" t="inlineStr">
        <is>
          <t>Data Flow Generated LLM Response Is Potentially Interrupted</t>
        </is>
      </c>
      <c r="Q476" s="16" t="inlineStr">
        <is>
          <t>scenario 2</t>
        </is>
      </c>
      <c r="R476" s="16" t="inlineStr">
        <is>
          <t>Generated LLM Response</t>
        </is>
      </c>
      <c r="S476" s="5" t="inlineStr">
        <is>
          <t>Confirmed</t>
        </is>
      </c>
    </row>
    <row r="477" ht="16" customHeight="1">
      <c r="A477" s="5" t="inlineStr">
        <is>
          <t>TMT-S2-F086</t>
        </is>
      </c>
      <c r="B477" s="5" t="inlineStr">
        <is>
          <t>TMT</t>
        </is>
      </c>
      <c r="C477" s="5" t="inlineStr">
        <is>
          <t>S2</t>
        </is>
      </c>
      <c r="D477" s="21" t="str">
        <f>IFERROR(VLOOKUP($G477,'02_REFERENCE'!$A$2:$S$99,4,FALSE),"N/A")</f>
        <v>N/A</v>
      </c>
      <c r="E477" s="21" t="str">
        <f>IFERROR(VLOOKUP($G477,'02_REFERENCE'!$A$2:$S$99,15,FALSE),"N/A")</f>
        <v>N/A</v>
      </c>
      <c r="F477" s="21" t="str">
        <f>IFERROR(VLOOKUP($G477,'02_REFERENCE'!$A$2:$S$99,17,FALSE),"N/A")</f>
        <v>N/A</v>
      </c>
      <c r="G477" s="21" t="inlineStr"/>
      <c r="H477" s="21" t="inlineStr">
        <is>
          <t>False Positive</t>
        </is>
      </c>
      <c r="I477" s="21" t="inlineStr">
        <is>
          <t>FP</t>
        </is>
      </c>
      <c r="J477" s="21" t="inlineStr">
        <is>
          <t>M</t>
        </is>
      </c>
      <c r="K477" s="21" t="inlineStr">
        <is>
          <t>N</t>
        </is>
      </c>
      <c r="L477" s="21" t="inlineStr">
        <is>
          <t>No</t>
        </is>
      </c>
      <c r="M477" s="21" t="inlineStr"/>
      <c r="N477" s="22" t="inlineStr">
        <is>
          <t>Process-identity spoofing / memory-integrity template; no reference mechanism (authentication bypass RT-004 is logic-based, not process-spoofing).</t>
        </is>
      </c>
      <c r="O477" s="5" t="inlineStr"/>
      <c r="P477" s="16" t="inlineStr">
        <is>
          <t>Elevation Using Impersonation</t>
        </is>
      </c>
      <c r="Q477" s="16" t="inlineStr">
        <is>
          <t>scenario 2</t>
        </is>
      </c>
      <c r="R477" s="16" t="inlineStr">
        <is>
          <t>Generated LLM Response</t>
        </is>
      </c>
      <c r="S477" s="5" t="inlineStr">
        <is>
          <t>Confirmed</t>
        </is>
      </c>
    </row>
    <row r="478" ht="16" customHeight="1">
      <c r="A478" s="5" t="inlineStr">
        <is>
          <t>TMT-S2-F087</t>
        </is>
      </c>
      <c r="B478" s="5" t="inlineStr">
        <is>
          <t>TMT</t>
        </is>
      </c>
      <c r="C478" s="5" t="inlineStr">
        <is>
          <t>S2</t>
        </is>
      </c>
      <c r="D478" s="21" t="str">
        <f>IFERROR(VLOOKUP($G478,'02_REFERENCE'!$A$2:$S$99,4,FALSE),"N/A")</f>
        <v>N/A</v>
      </c>
      <c r="E478" s="21" t="str">
        <f>IFERROR(VLOOKUP($G478,'02_REFERENCE'!$A$2:$S$99,15,FALSE),"N/A")</f>
        <v>N/A</v>
      </c>
      <c r="F478" s="21" t="str">
        <f>IFERROR(VLOOKUP($G478,'02_REFERENCE'!$A$2:$S$99,17,FALSE),"N/A")</f>
        <v>N/A</v>
      </c>
      <c r="G478" s="21" t="inlineStr"/>
      <c r="H478" s="21" t="inlineStr">
        <is>
          <t>False Positive</t>
        </is>
      </c>
      <c r="I478" s="21" t="inlineStr">
        <is>
          <t>FP</t>
        </is>
      </c>
      <c r="J478" s="21" t="inlineStr">
        <is>
          <t>M</t>
        </is>
      </c>
      <c r="K478" s="21" t="inlineStr">
        <is>
          <t>N</t>
        </is>
      </c>
      <c r="L478" s="21" t="inlineStr">
        <is>
          <t>No</t>
        </is>
      </c>
      <c r="M478" s="21" t="inlineStr"/>
      <c r="N478" s="22" t="inlineStr">
        <is>
          <t>Process-identity spoofing / memory-integrity template; no reference mechanism (authentication bypass RT-004 is logic-based, not process-spoofing).</t>
        </is>
      </c>
      <c r="O478" s="5" t="inlineStr"/>
      <c r="P478" s="16" t="inlineStr">
        <is>
          <t>P6 LLM Integration Service May be Subject to Elevation of Privilege Using Remote Code Execution</t>
        </is>
      </c>
      <c r="Q478" s="16" t="inlineStr">
        <is>
          <t>scenario 2</t>
        </is>
      </c>
      <c r="R478" s="16" t="inlineStr">
        <is>
          <t>Generated LLM Response</t>
        </is>
      </c>
      <c r="S478" s="5" t="inlineStr">
        <is>
          <t>Confirmed</t>
        </is>
      </c>
    </row>
    <row r="479" ht="16" customHeight="1">
      <c r="A479" s="5" t="inlineStr">
        <is>
          <t>TMT-S2-F088</t>
        </is>
      </c>
      <c r="B479" s="5" t="inlineStr">
        <is>
          <t>TMT</t>
        </is>
      </c>
      <c r="C479" s="5" t="inlineStr">
        <is>
          <t>S2</t>
        </is>
      </c>
      <c r="D479" s="21" t="str">
        <f>IFERROR(VLOOKUP($G479,'02_REFERENCE'!$A$2:$S$99,4,FALSE),"N/A")</f>
        <v>N/A</v>
      </c>
      <c r="E479" s="21" t="str">
        <f>IFERROR(VLOOKUP($G479,'02_REFERENCE'!$A$2:$S$99,15,FALSE),"N/A")</f>
        <v>N/A</v>
      </c>
      <c r="F479" s="21" t="str">
        <f>IFERROR(VLOOKUP($G479,'02_REFERENCE'!$A$2:$S$99,17,FALSE),"N/A")</f>
        <v>N/A</v>
      </c>
      <c r="G479" s="21" t="inlineStr"/>
      <c r="H479" s="21" t="inlineStr">
        <is>
          <t>False Positive</t>
        </is>
      </c>
      <c r="I479" s="21" t="inlineStr">
        <is>
          <t>FP</t>
        </is>
      </c>
      <c r="J479" s="21" t="inlineStr">
        <is>
          <t>M</t>
        </is>
      </c>
      <c r="K479" s="21" t="inlineStr">
        <is>
          <t>N</t>
        </is>
      </c>
      <c r="L479" s="21" t="inlineStr">
        <is>
          <t>No</t>
        </is>
      </c>
      <c r="M479" s="21" t="inlineStr"/>
      <c r="N479" s="22" t="inlineStr">
        <is>
          <t>Process-identity spoofing / memory-integrity template; no reference mechanism (authentication bypass RT-004 is logic-based, not process-spoofing).</t>
        </is>
      </c>
      <c r="O479" s="5" t="inlineStr"/>
      <c r="P479" s="16" t="inlineStr">
        <is>
          <t>Elevation by Changing the Execution Flow in P6 LLM Integration Service</t>
        </is>
      </c>
      <c r="Q479" s="16" t="inlineStr">
        <is>
          <t>scenario 2</t>
        </is>
      </c>
      <c r="R479" s="16" t="inlineStr">
        <is>
          <t>Generated LLM Response</t>
        </is>
      </c>
      <c r="S479" s="5" t="inlineStr">
        <is>
          <t>Confirmed</t>
        </is>
      </c>
    </row>
    <row r="480" ht="16" customHeight="1">
      <c r="A480" s="5" t="inlineStr">
        <is>
          <t>TMT-S2-F089</t>
        </is>
      </c>
      <c r="B480" s="5" t="inlineStr">
        <is>
          <t>TMT</t>
        </is>
      </c>
      <c r="C480" s="5" t="inlineStr">
        <is>
          <t>S2</t>
        </is>
      </c>
      <c r="D480" s="21" t="str">
        <f>IFERROR(VLOOKUP($G480,'02_REFERENCE'!$A$2:$S$99,4,FALSE),"N/A")</f>
        <v>N/A</v>
      </c>
      <c r="E480" s="21" t="str">
        <f>IFERROR(VLOOKUP($G480,'02_REFERENCE'!$A$2:$S$99,15,FALSE),"N/A")</f>
        <v>N/A</v>
      </c>
      <c r="F480" s="21" t="str">
        <f>IFERROR(VLOOKUP($G480,'02_REFERENCE'!$A$2:$S$99,17,FALSE),"N/A")</f>
        <v>N/A</v>
      </c>
      <c r="G480" s="21" t="inlineStr"/>
      <c r="H480" s="21" t="inlineStr">
        <is>
          <t>False Positive</t>
        </is>
      </c>
      <c r="I480" s="21" t="inlineStr">
        <is>
          <t>FP</t>
        </is>
      </c>
      <c r="J480" s="21" t="inlineStr">
        <is>
          <t>M</t>
        </is>
      </c>
      <c r="K480" s="21" t="inlineStr">
        <is>
          <t>N</t>
        </is>
      </c>
      <c r="L480" s="21" t="inlineStr">
        <is>
          <t>No</t>
        </is>
      </c>
      <c r="M480" s="21" t="inlineStr"/>
      <c r="N480" s="22" t="inlineStr">
        <is>
          <t>CSRF template; the reference baseline contains no CSRF mechanism (session threats are fixation/theft/replay/prediction/storage).</t>
        </is>
      </c>
      <c r="O480" s="5" t="inlineStr"/>
      <c r="P480" s="16" t="inlineStr">
        <is>
          <t>Cross Site Request Forgery</t>
        </is>
      </c>
      <c r="Q480" s="16" t="inlineStr">
        <is>
          <t>scenario 2</t>
        </is>
      </c>
      <c r="R480" s="16" t="inlineStr">
        <is>
          <t>Generated LLM Response</t>
        </is>
      </c>
      <c r="S480" s="5" t="inlineStr">
        <is>
          <t>Confirmed</t>
        </is>
      </c>
    </row>
    <row r="481" ht="16" customHeight="1">
      <c r="A481" s="5" t="inlineStr">
        <is>
          <t>CHATGPT-S2-F001</t>
        </is>
      </c>
      <c r="B481" s="5" t="inlineStr">
        <is>
          <t>CHATGPT</t>
        </is>
      </c>
      <c r="C481" s="5" t="inlineStr">
        <is>
          <t>S2</t>
        </is>
      </c>
      <c r="D481" s="21" t="str">
        <f>IFERROR(VLOOKUP($G481,'02_REFERENCE'!$A$2:$S$99,4,FALSE),"N/A")</f>
        <v>Information Disclosure</v>
      </c>
      <c r="E481" s="21" t="str">
        <f>IFERROR(VLOOKUP($G481,'02_REFERENCE'!$A$2:$S$99,15,FALSE),"N/A")</f>
        <v>Critical</v>
      </c>
      <c r="F481" s="21" t="str">
        <f>IFERROR(VLOOKUP($G481,'02_REFERENCE'!$A$2:$S$99,17,FALSE),"N/A")</f>
        <v>No</v>
      </c>
      <c r="G481" s="21" t="inlineStr">
        <is>
          <t>S2-RT-015</t>
        </is>
      </c>
      <c r="H481" s="21" t="inlineStr">
        <is>
          <t>Primary TP</t>
        </is>
      </c>
      <c r="I481" s="21" t="inlineStr">
        <is>
          <t>TP</t>
        </is>
      </c>
      <c r="J481" s="21" t="inlineStr">
        <is>
          <t>L</t>
        </is>
      </c>
      <c r="K481" s="21" t="inlineStr">
        <is>
          <t>Y</t>
        </is>
      </c>
      <c r="L481" s="21" t="inlineStr">
        <is>
          <t>No</t>
        </is>
      </c>
      <c r="M481" s="21" t="inlineStr"/>
      <c r="N481" s="22" t="inlineStr">
        <is>
          <t>Mechanism class mass_disclosure; evidence: Exposure of confidential documents</t>
        </is>
      </c>
      <c r="O481" s="5" t="inlineStr">
        <is>
          <t>mass_disclosure</t>
        </is>
      </c>
      <c r="P481" s="16" t="inlineStr">
        <is>
          <t>Unauthorized File Retrieval</t>
        </is>
      </c>
      <c r="Q481" s="16" t="inlineStr">
        <is>
          <t>EE1 → P1 → P2 → DS1</t>
        </is>
      </c>
      <c r="R481" s="16" t="inlineStr"/>
      <c r="S481" s="5" t="inlineStr">
        <is>
          <t>Manual review</t>
        </is>
      </c>
    </row>
    <row r="482" ht="16" customHeight="1">
      <c r="A482" s="5" t="inlineStr">
        <is>
          <t>CHATGPT-S2-F002</t>
        </is>
      </c>
      <c r="B482" s="5" t="inlineStr">
        <is>
          <t>CHATGPT</t>
        </is>
      </c>
      <c r="C482" s="5" t="inlineStr">
        <is>
          <t>S2</t>
        </is>
      </c>
      <c r="D482" s="21" t="str">
        <f>IFERROR(VLOOKUP($G482,'02_REFERENCE'!$A$2:$S$99,4,FALSE),"N/A")</f>
        <v>N/A</v>
      </c>
      <c r="E482" s="21" t="str">
        <f>IFERROR(VLOOKUP($G482,'02_REFERENCE'!$A$2:$S$99,15,FALSE),"N/A")</f>
        <v>N/A</v>
      </c>
      <c r="F482" s="21" t="str">
        <f>IFERROR(VLOOKUP($G482,'02_REFERENCE'!$A$2:$S$99,17,FALSE),"N/A")</f>
        <v>N/A</v>
      </c>
      <c r="G482" s="21" t="inlineStr"/>
      <c r="H482" s="21" t="inlineStr">
        <is>
          <t>False Positive</t>
        </is>
      </c>
      <c r="I482" s="21" t="inlineStr">
        <is>
          <t>FP</t>
        </is>
      </c>
      <c r="J482" s="21" t="inlineStr">
        <is>
          <t>M</t>
        </is>
      </c>
      <c r="K482" s="21" t="inlineStr">
        <is>
          <t>N</t>
        </is>
      </c>
      <c r="L482" s="21" t="inlineStr">
        <is>
          <t>No</t>
        </is>
      </c>
      <c r="M482" s="21" t="inlineStr"/>
      <c r="N482" s="22" t="inlineStr">
        <is>
          <t>No reference threat corresponds to this finding's mechanism (scoring found no class with sufficient evidence).</t>
        </is>
      </c>
      <c r="O482" s="5" t="inlineStr"/>
      <c r="P482" s="16" t="inlineStr">
        <is>
          <t>IDOR / Broken File-Level Authorization</t>
        </is>
      </c>
      <c r="Q482" s="16" t="inlineStr">
        <is>
          <t>EE1 → P1 → P2 → DS2/DS1</t>
        </is>
      </c>
      <c r="R482" s="16" t="inlineStr"/>
      <c r="S482" s="5" t="inlineStr">
        <is>
          <t>Confirmed</t>
        </is>
      </c>
    </row>
    <row r="483" ht="16" customHeight="1">
      <c r="A483" s="5" t="inlineStr">
        <is>
          <t>CHATGPT-S2-F003</t>
        </is>
      </c>
      <c r="B483" s="5" t="inlineStr">
        <is>
          <t>CHATGPT</t>
        </is>
      </c>
      <c r="C483" s="5" t="inlineStr">
        <is>
          <t>S2</t>
        </is>
      </c>
      <c r="D483" s="21" t="str">
        <f>IFERROR(VLOOKUP($G483,'02_REFERENCE'!$A$2:$S$99,4,FALSE),"N/A")</f>
        <v>N/A</v>
      </c>
      <c r="E483" s="21" t="str">
        <f>IFERROR(VLOOKUP($G483,'02_REFERENCE'!$A$2:$S$99,15,FALSE),"N/A")</f>
        <v>N/A</v>
      </c>
      <c r="F483" s="21" t="str">
        <f>IFERROR(VLOOKUP($G483,'02_REFERENCE'!$A$2:$S$99,17,FALSE),"N/A")</f>
        <v>N/A</v>
      </c>
      <c r="G483" s="21" t="inlineStr"/>
      <c r="H483" s="21" t="inlineStr">
        <is>
          <t>False Positive</t>
        </is>
      </c>
      <c r="I483" s="21" t="inlineStr">
        <is>
          <t>FP</t>
        </is>
      </c>
      <c r="J483" s="21" t="inlineStr">
        <is>
          <t>M</t>
        </is>
      </c>
      <c r="K483" s="21" t="inlineStr">
        <is>
          <t>N</t>
        </is>
      </c>
      <c r="L483" s="21" t="inlineStr">
        <is>
          <t>No</t>
        </is>
      </c>
      <c r="M483" s="21" t="inlineStr"/>
      <c r="N483" s="22" t="inlineStr">
        <is>
          <t>No reference threat corresponds to this finding's mechanism (scoring found no class with sufficient evidence).</t>
        </is>
      </c>
      <c r="O483" s="5" t="inlineStr"/>
      <c r="P483" s="16" t="inlineStr">
        <is>
          <t>Manipulation of Authoritative Permissions</t>
        </is>
      </c>
      <c r="Q483" s="16" t="inlineStr">
        <is>
          <t>P2 ↔ DS2</t>
        </is>
      </c>
      <c r="R483" s="16" t="inlineStr"/>
      <c r="S483" s="5" t="inlineStr">
        <is>
          <t>Confirmed</t>
        </is>
      </c>
    </row>
    <row r="484" ht="16" customHeight="1">
      <c r="A484" s="5" t="inlineStr">
        <is>
          <t>CHATGPT-S2-F004</t>
        </is>
      </c>
      <c r="B484" s="5" t="inlineStr">
        <is>
          <t>CHATGPT</t>
        </is>
      </c>
      <c r="C484" s="5" t="inlineStr">
        <is>
          <t>S2</t>
        </is>
      </c>
      <c r="D484" s="21" t="str">
        <f>IFERROR(VLOOKUP($G484,'02_REFERENCE'!$A$2:$S$99,4,FALSE),"N/A")</f>
        <v>N/A</v>
      </c>
      <c r="E484" s="21" t="str">
        <f>IFERROR(VLOOKUP($G484,'02_REFERENCE'!$A$2:$S$99,15,FALSE),"N/A")</f>
        <v>N/A</v>
      </c>
      <c r="F484" s="21" t="str">
        <f>IFERROR(VLOOKUP($G484,'02_REFERENCE'!$A$2:$S$99,17,FALSE),"N/A")</f>
        <v>N/A</v>
      </c>
      <c r="G484" s="21" t="inlineStr"/>
      <c r="H484" s="21" t="inlineStr">
        <is>
          <t>False Positive</t>
        </is>
      </c>
      <c r="I484" s="21" t="inlineStr">
        <is>
          <t>FP</t>
        </is>
      </c>
      <c r="J484" s="21" t="inlineStr">
        <is>
          <t>M</t>
        </is>
      </c>
      <c r="K484" s="21" t="inlineStr">
        <is>
          <t>N</t>
        </is>
      </c>
      <c r="L484" s="21" t="inlineStr">
        <is>
          <t>No</t>
        </is>
      </c>
      <c r="M484" s="21" t="inlineStr"/>
      <c r="N484" s="22" t="inlineStr">
        <is>
          <t>No reference threat corresponds to this finding's mechanism (scoring found no class with sufficient evidence).</t>
        </is>
      </c>
      <c r="O484" s="5" t="inlineStr"/>
      <c r="P484" s="16" t="inlineStr">
        <is>
          <t>AI-Based Authorization Bypass</t>
        </is>
      </c>
      <c r="Q484" s="16" t="inlineStr">
        <is>
          <t>EE1 → P1 → P3 → P4 → External LLM Provider</t>
        </is>
      </c>
      <c r="R484" s="16" t="inlineStr"/>
      <c r="S484" s="5" t="inlineStr">
        <is>
          <t>Confirmed</t>
        </is>
      </c>
    </row>
    <row r="485" ht="16" customHeight="1">
      <c r="A485" s="5" t="inlineStr">
        <is>
          <t>CHATGPT-S2-F005</t>
        </is>
      </c>
      <c r="B485" s="5" t="inlineStr">
        <is>
          <t>CHATGPT</t>
        </is>
      </c>
      <c r="C485" s="5" t="inlineStr">
        <is>
          <t>S2</t>
        </is>
      </c>
      <c r="D485" s="21" t="str">
        <f>IFERROR(VLOOKUP($G485,'02_REFERENCE'!$A$2:$S$99,4,FALSE),"N/A")</f>
        <v>Tampering</v>
      </c>
      <c r="E485" s="21" t="str">
        <f>IFERROR(VLOOKUP($G485,'02_REFERENCE'!$A$2:$S$99,15,FALSE),"N/A")</f>
        <v>High</v>
      </c>
      <c r="F485" s="21" t="str">
        <f>IFERROR(VLOOKUP($G485,'02_REFERENCE'!$A$2:$S$99,17,FALSE),"N/A")</f>
        <v>Yes</v>
      </c>
      <c r="G485" s="21" t="inlineStr">
        <is>
          <t>S2-RT-023</t>
        </is>
      </c>
      <c r="H485" s="21" t="inlineStr">
        <is>
          <t>Primary TP</t>
        </is>
      </c>
      <c r="I485" s="21" t="inlineStr">
        <is>
          <t>TP</t>
        </is>
      </c>
      <c r="J485" s="21" t="inlineStr">
        <is>
          <t>H</t>
        </is>
      </c>
      <c r="K485" s="21" t="inlineStr">
        <is>
          <t>Y</t>
        </is>
      </c>
      <c r="L485" s="21" t="inlineStr">
        <is>
          <t>No</t>
        </is>
      </c>
      <c r="M485" s="21" t="inlineStr"/>
      <c r="N485" s="22" t="inlineStr">
        <is>
          <t>Mechanism class prompt_injection_indirect; evidence: Indirect Prompt Injection; Injection A malicious document; document contains instruct</t>
        </is>
      </c>
      <c r="O485" s="5" t="inlineStr">
        <is>
          <t>prompt_injection_indirect</t>
        </is>
      </c>
      <c r="P485" s="16" t="inlineStr">
        <is>
          <t>Indirect Prompt Injection</t>
        </is>
      </c>
      <c r="Q485" s="16" t="inlineStr">
        <is>
          <t>Uploaded file → DS1 → P2 → P3 → P4 → External LLM Provider</t>
        </is>
      </c>
      <c r="R485" s="16" t="inlineStr"/>
      <c r="S485" s="5" t="inlineStr">
        <is>
          <t>Confirmed</t>
        </is>
      </c>
    </row>
    <row r="486" ht="16" customHeight="1">
      <c r="A486" s="5" t="inlineStr">
        <is>
          <t>CHATGPT-S2-F006</t>
        </is>
      </c>
      <c r="B486" s="5" t="inlineStr">
        <is>
          <t>CHATGPT</t>
        </is>
      </c>
      <c r="C486" s="5" t="inlineStr">
        <is>
          <t>S2</t>
        </is>
      </c>
      <c r="D486" s="21" t="str">
        <f>IFERROR(VLOOKUP($G486,'02_REFERENCE'!$A$2:$S$99,4,FALSE),"N/A")</f>
        <v>Tampering</v>
      </c>
      <c r="E486" s="21" t="str">
        <f>IFERROR(VLOOKUP($G486,'02_REFERENCE'!$A$2:$S$99,15,FALSE),"N/A")</f>
        <v>Critical</v>
      </c>
      <c r="F486" s="21" t="str">
        <f>IFERROR(VLOOKUP($G486,'02_REFERENCE'!$A$2:$S$99,17,FALSE),"N/A")</f>
        <v>No</v>
      </c>
      <c r="G486" s="21" t="inlineStr">
        <is>
          <t>S2-RT-010</t>
        </is>
      </c>
      <c r="H486" s="21" t="inlineStr">
        <is>
          <t>Primary TP</t>
        </is>
      </c>
      <c r="I486" s="21" t="inlineStr">
        <is>
          <t>TP</t>
        </is>
      </c>
      <c r="J486" s="21" t="inlineStr">
        <is>
          <t>M</t>
        </is>
      </c>
      <c r="K486" s="21" t="inlineStr">
        <is>
          <t>Y</t>
        </is>
      </c>
      <c r="L486" s="21" t="inlineStr">
        <is>
          <t>No</t>
        </is>
      </c>
      <c r="M486" s="21" t="inlineStr"/>
      <c r="N486" s="22" t="inlineStr">
        <is>
          <t>Mechanism class malicious_upload; evidence: Malicious Uploaded File An attacker upload</t>
        </is>
      </c>
      <c r="O486" s="5" t="inlineStr">
        <is>
          <t>malicious_upload</t>
        </is>
      </c>
      <c r="P486" s="16" t="inlineStr">
        <is>
          <t>Malicious Uploaded File</t>
        </is>
      </c>
      <c r="Q486" s="16" t="inlineStr">
        <is>
          <t>EE1 → P1 → P2 → DS1</t>
        </is>
      </c>
      <c r="R486" s="16" t="inlineStr"/>
      <c r="S486" s="5" t="inlineStr">
        <is>
          <t>Confirmed</t>
        </is>
      </c>
    </row>
    <row r="487" ht="16" customHeight="1">
      <c r="A487" s="5" t="inlineStr">
        <is>
          <t>CHATGPT-S2-F007</t>
        </is>
      </c>
      <c r="B487" s="5" t="inlineStr">
        <is>
          <t>CHATGPT</t>
        </is>
      </c>
      <c r="C487" s="5" t="inlineStr">
        <is>
          <t>S2</t>
        </is>
      </c>
      <c r="D487" s="21" t="str">
        <f>IFERROR(VLOOKUP($G487,'02_REFERENCE'!$A$2:$S$99,4,FALSE),"N/A")</f>
        <v>N/A</v>
      </c>
      <c r="E487" s="21" t="str">
        <f>IFERROR(VLOOKUP($G487,'02_REFERENCE'!$A$2:$S$99,15,FALSE),"N/A")</f>
        <v>N/A</v>
      </c>
      <c r="F487" s="21" t="str">
        <f>IFERROR(VLOOKUP($G487,'02_REFERENCE'!$A$2:$S$99,17,FALSE),"N/A")</f>
        <v>N/A</v>
      </c>
      <c r="G487" s="21" t="inlineStr"/>
      <c r="H487" s="21" t="inlineStr">
        <is>
          <t>False Positive</t>
        </is>
      </c>
      <c r="I487" s="21" t="inlineStr">
        <is>
          <t>FP</t>
        </is>
      </c>
      <c r="J487" s="21" t="inlineStr">
        <is>
          <t>H</t>
        </is>
      </c>
      <c r="K487" s="21" t="inlineStr">
        <is>
          <t>N</t>
        </is>
      </c>
      <c r="L487" s="21" t="inlineStr">
        <is>
          <t>No</t>
        </is>
      </c>
      <c r="M487" s="21" t="inlineStr"/>
      <c r="N487" s="22" t="inlineStr">
        <is>
          <t>Template-class kb_disclosure (no reference threat): Context Disclos; Disclosure P2 may authorize access to a document</t>
        </is>
      </c>
      <c r="O487" s="5" t="inlineStr">
        <is>
          <t>kb_disclosure</t>
        </is>
      </c>
      <c r="P487" s="16" t="inlineStr">
        <is>
          <t>Unauthorized Context Disclosure</t>
        </is>
      </c>
      <c r="Q487" s="16" t="inlineStr">
        <is>
          <t>P2 → P3 → P4 → EE2</t>
        </is>
      </c>
      <c r="R487" s="16" t="inlineStr"/>
      <c r="S487" s="5" t="inlineStr">
        <is>
          <t>Confirmed</t>
        </is>
      </c>
    </row>
    <row r="488" ht="16" customHeight="1">
      <c r="A488" s="5" t="inlineStr">
        <is>
          <t>CHATGPT-S2-F008</t>
        </is>
      </c>
      <c r="B488" s="5" t="inlineStr">
        <is>
          <t>CHATGPT</t>
        </is>
      </c>
      <c r="C488" s="5" t="inlineStr">
        <is>
          <t>S2</t>
        </is>
      </c>
      <c r="D488" s="21" t="str">
        <f>IFERROR(VLOOKUP($G488,'02_REFERENCE'!$A$2:$S$99,4,FALSE),"N/A")</f>
        <v>Information Disclosure</v>
      </c>
      <c r="E488" s="21" t="str">
        <f>IFERROR(VLOOKUP($G488,'02_REFERENCE'!$A$2:$S$99,15,FALSE),"N/A")</f>
        <v>High</v>
      </c>
      <c r="F488" s="21" t="str">
        <f>IFERROR(VLOOKUP($G488,'02_REFERENCE'!$A$2:$S$99,17,FALSE),"N/A")</f>
        <v>Yes</v>
      </c>
      <c r="G488" s="21" t="inlineStr">
        <is>
          <t>S2-RT-018</t>
        </is>
      </c>
      <c r="H488" s="21" t="inlineStr">
        <is>
          <t>Duplicate</t>
        </is>
      </c>
      <c r="I488" s="21" t="inlineStr">
        <is>
          <t>TP</t>
        </is>
      </c>
      <c r="J488" s="21" t="inlineStr">
        <is>
          <t>L</t>
        </is>
      </c>
      <c r="K488" s="21" t="inlineStr">
        <is>
          <t>N</t>
        </is>
      </c>
      <c r="L488" s="21" t="inlineStr">
        <is>
          <t>Yes</t>
        </is>
      </c>
      <c r="M488" s="21" t="inlineStr">
        <is>
          <t>CHATGPT-S2-F009</t>
        </is>
      </c>
      <c r="N488" s="22" t="inlineStr">
        <is>
          <t>Mechanism class sensitive_to_llm; evidence: document information. DS1 → P3 → P4 → External LLM Provider [Equivalence: restates CHATGPT-S2-F009 — one-to-one rule applied.]</t>
        </is>
      </c>
      <c r="O488" s="5" t="inlineStr">
        <is>
          <t>sensitive_to_llm</t>
        </is>
      </c>
      <c r="P488" s="16" t="inlineStr">
        <is>
          <t>Context Mixing Between Users or Documents</t>
        </is>
      </c>
      <c r="Q488" s="16" t="inlineStr">
        <is>
          <t>DS1 → P3 → P4 → External LLM Provider</t>
        </is>
      </c>
      <c r="R488" s="16" t="inlineStr"/>
      <c r="S488" s="5" t="inlineStr">
        <is>
          <t>Manual review</t>
        </is>
      </c>
    </row>
    <row r="489" ht="16" customHeight="1">
      <c r="A489" s="5" t="inlineStr">
        <is>
          <t>CHATGPT-S2-F009</t>
        </is>
      </c>
      <c r="B489" s="5" t="inlineStr">
        <is>
          <t>CHATGPT</t>
        </is>
      </c>
      <c r="C489" s="5" t="inlineStr">
        <is>
          <t>S2</t>
        </is>
      </c>
      <c r="D489" s="21" t="str">
        <f>IFERROR(VLOOKUP($G489,'02_REFERENCE'!$A$2:$S$99,4,FALSE),"N/A")</f>
        <v>Information Disclosure</v>
      </c>
      <c r="E489" s="21" t="str">
        <f>IFERROR(VLOOKUP($G489,'02_REFERENCE'!$A$2:$S$99,15,FALSE),"N/A")</f>
        <v>High</v>
      </c>
      <c r="F489" s="21" t="str">
        <f>IFERROR(VLOOKUP($G489,'02_REFERENCE'!$A$2:$S$99,17,FALSE),"N/A")</f>
        <v>Yes</v>
      </c>
      <c r="G489" s="21" t="inlineStr">
        <is>
          <t>S2-RT-018</t>
        </is>
      </c>
      <c r="H489" s="21" t="inlineStr">
        <is>
          <t>Primary TP</t>
        </is>
      </c>
      <c r="I489" s="21" t="inlineStr">
        <is>
          <t>TP</t>
        </is>
      </c>
      <c r="J489" s="21" t="inlineStr">
        <is>
          <t>M</t>
        </is>
      </c>
      <c r="K489" s="21" t="inlineStr">
        <is>
          <t>Y</t>
        </is>
      </c>
      <c r="L489" s="21" t="inlineStr">
        <is>
          <t>No</t>
        </is>
      </c>
      <c r="M489" s="21" t="inlineStr"/>
      <c r="N489" s="22" t="inlineStr">
        <is>
          <t>Mechanism class sensitive_to_llm; evidence: Disclosure to External LLM</t>
        </is>
      </c>
      <c r="O489" s="5" t="inlineStr">
        <is>
          <t>sensitive_to_llm</t>
        </is>
      </c>
      <c r="P489" s="16" t="inlineStr">
        <is>
          <t>Metadata Disclosure to External LLM</t>
        </is>
      </c>
      <c r="Q489" s="16" t="inlineStr">
        <is>
          <t>DS1 → P3/P4 → EE2</t>
        </is>
      </c>
      <c r="R489" s="16" t="inlineStr"/>
      <c r="S489" s="5" t="inlineStr">
        <is>
          <t>Confirmed</t>
        </is>
      </c>
    </row>
    <row r="490" ht="16" customHeight="1">
      <c r="A490" s="5" t="inlineStr">
        <is>
          <t>CHATGPT-S2-F010</t>
        </is>
      </c>
      <c r="B490" s="5" t="inlineStr">
        <is>
          <t>CHATGPT</t>
        </is>
      </c>
      <c r="C490" s="5" t="inlineStr">
        <is>
          <t>S2</t>
        </is>
      </c>
      <c r="D490" s="21" t="str">
        <f>IFERROR(VLOOKUP($G490,'02_REFERENCE'!$A$2:$S$99,4,FALSE),"N/A")</f>
        <v>Information Disclosure</v>
      </c>
      <c r="E490" s="21" t="str">
        <f>IFERROR(VLOOKUP($G490,'02_REFERENCE'!$A$2:$S$99,15,FALSE),"N/A")</f>
        <v>Critical</v>
      </c>
      <c r="F490" s="21" t="str">
        <f>IFERROR(VLOOKUP($G490,'02_REFERENCE'!$A$2:$S$99,17,FALSE),"N/A")</f>
        <v>No</v>
      </c>
      <c r="G490" s="21" t="inlineStr">
        <is>
          <t>S2-RT-015</t>
        </is>
      </c>
      <c r="H490" s="21" t="inlineStr">
        <is>
          <t>Duplicate</t>
        </is>
      </c>
      <c r="I490" s="21" t="inlineStr">
        <is>
          <t>TP</t>
        </is>
      </c>
      <c r="J490" s="21" t="inlineStr">
        <is>
          <t>L</t>
        </is>
      </c>
      <c r="K490" s="21" t="inlineStr">
        <is>
          <t>N</t>
        </is>
      </c>
      <c r="L490" s="21" t="inlineStr">
        <is>
          <t>Yes</t>
        </is>
      </c>
      <c r="M490" s="21" t="inlineStr">
        <is>
          <t>CHATGPT-S2-F001</t>
        </is>
      </c>
      <c r="N490" s="22" t="inlineStr">
        <is>
          <t>Mechanism class mass_disclosure; evidence: Disclosure An attacker attempts to obtain user identities [Equivalence: restates CHATGPT-S2-F001 — one-to-one rule applied.]</t>
        </is>
      </c>
      <c r="O490" s="5" t="inlineStr">
        <is>
          <t>mass_disclosure</t>
        </is>
      </c>
      <c r="P490" s="16" t="inlineStr">
        <is>
          <t>Authorization Data Disclosure</t>
        </is>
      </c>
      <c r="Q490" s="16" t="inlineStr">
        <is>
          <t>DS2 → P2</t>
        </is>
      </c>
      <c r="R490" s="16" t="inlineStr"/>
      <c r="S490" s="5" t="inlineStr">
        <is>
          <t>Manual review</t>
        </is>
      </c>
    </row>
    <row r="491" ht="16" customHeight="1">
      <c r="A491" s="5" t="inlineStr">
        <is>
          <t>CHATGPT-S2-F011</t>
        </is>
      </c>
      <c r="B491" s="5" t="inlineStr">
        <is>
          <t>CHATGPT</t>
        </is>
      </c>
      <c r="C491" s="5" t="inlineStr">
        <is>
          <t>S2</t>
        </is>
      </c>
      <c r="D491" s="21" t="str">
        <f>IFERROR(VLOOKUP($G491,'02_REFERENCE'!$A$2:$S$99,4,FALSE),"N/A")</f>
        <v>N/A</v>
      </c>
      <c r="E491" s="21" t="str">
        <f>IFERROR(VLOOKUP($G491,'02_REFERENCE'!$A$2:$S$99,15,FALSE),"N/A")</f>
        <v>N/A</v>
      </c>
      <c r="F491" s="21" t="str">
        <f>IFERROR(VLOOKUP($G491,'02_REFERENCE'!$A$2:$S$99,17,FALSE),"N/A")</f>
        <v>N/A</v>
      </c>
      <c r="G491" s="21" t="inlineStr"/>
      <c r="H491" s="21" t="inlineStr">
        <is>
          <t>False Positive</t>
        </is>
      </c>
      <c r="I491" s="21" t="inlineStr">
        <is>
          <t>FP</t>
        </is>
      </c>
      <c r="J491" s="21" t="inlineStr">
        <is>
          <t>M</t>
        </is>
      </c>
      <c r="K491" s="21" t="inlineStr">
        <is>
          <t>N</t>
        </is>
      </c>
      <c r="L491" s="21" t="inlineStr">
        <is>
          <t>No</t>
        </is>
      </c>
      <c r="M491" s="21" t="inlineStr"/>
      <c r="N491" s="22" t="inlineStr">
        <is>
          <t>No reference threat corresponds to this finding's mechanism (scoring found no class with sufficient evidence).</t>
        </is>
      </c>
      <c r="O491" s="5" t="inlineStr"/>
      <c r="P491" s="16" t="inlineStr">
        <is>
          <t>Direct Prompt Injection</t>
        </is>
      </c>
      <c r="Q491" s="16" t="inlineStr">
        <is>
          <t>EE1 → P1 → P3 → P4 → EE2</t>
        </is>
      </c>
      <c r="R491" s="16" t="inlineStr"/>
      <c r="S491" s="5" t="inlineStr">
        <is>
          <t>Confirmed</t>
        </is>
      </c>
    </row>
    <row r="492" ht="16" customHeight="1">
      <c r="A492" s="5" t="inlineStr">
        <is>
          <t>CHATGPT-S2-F012</t>
        </is>
      </c>
      <c r="B492" s="5" t="inlineStr">
        <is>
          <t>CHATGPT</t>
        </is>
      </c>
      <c r="C492" s="5" t="inlineStr">
        <is>
          <t>S2</t>
        </is>
      </c>
      <c r="D492" s="21" t="str">
        <f>IFERROR(VLOOKUP($G492,'02_REFERENCE'!$A$2:$S$99,4,FALSE),"N/A")</f>
        <v>N/A</v>
      </c>
      <c r="E492" s="21" t="str">
        <f>IFERROR(VLOOKUP($G492,'02_REFERENCE'!$A$2:$S$99,15,FALSE),"N/A")</f>
        <v>N/A</v>
      </c>
      <c r="F492" s="21" t="str">
        <f>IFERROR(VLOOKUP($G492,'02_REFERENCE'!$A$2:$S$99,17,FALSE),"N/A")</f>
        <v>N/A</v>
      </c>
      <c r="G492" s="21" t="inlineStr"/>
      <c r="H492" s="21" t="inlineStr">
        <is>
          <t>False Positive</t>
        </is>
      </c>
      <c r="I492" s="21" t="inlineStr">
        <is>
          <t>FP</t>
        </is>
      </c>
      <c r="J492" s="21" t="inlineStr">
        <is>
          <t>M</t>
        </is>
      </c>
      <c r="K492" s="21" t="inlineStr">
        <is>
          <t>N</t>
        </is>
      </c>
      <c r="L492" s="21" t="inlineStr">
        <is>
          <t>No</t>
        </is>
      </c>
      <c r="M492" s="21" t="inlineStr"/>
      <c r="N492" s="22" t="inlineStr">
        <is>
          <t>No reference threat corresponds to this finding's mechanism (scoring found no class with sufficient evidence).</t>
        </is>
      </c>
      <c r="O492" s="5" t="inlineStr"/>
      <c r="P492" s="16" t="inlineStr">
        <is>
          <t>Unreliable AI-Generated Information</t>
        </is>
      </c>
      <c r="Q492" s="16" t="inlineStr">
        <is>
          <t>P4 → P3 → P1 → EE1</t>
        </is>
      </c>
      <c r="R492" s="16" t="inlineStr"/>
      <c r="S492" s="5" t="inlineStr">
        <is>
          <t>Confirmed</t>
        </is>
      </c>
    </row>
    <row r="493" ht="16" customHeight="1">
      <c r="A493" s="5" t="inlineStr">
        <is>
          <t>CHATGPT-S2-F013</t>
        </is>
      </c>
      <c r="B493" s="5" t="inlineStr">
        <is>
          <t>CHATGPT</t>
        </is>
      </c>
      <c r="C493" s="5" t="inlineStr">
        <is>
          <t>S2</t>
        </is>
      </c>
      <c r="D493" s="21" t="str">
        <f>IFERROR(VLOOKUP($G493,'02_REFERENCE'!$A$2:$S$99,4,FALSE),"N/A")</f>
        <v>N/A</v>
      </c>
      <c r="E493" s="21" t="str">
        <f>IFERROR(VLOOKUP($G493,'02_REFERENCE'!$A$2:$S$99,15,FALSE),"N/A")</f>
        <v>N/A</v>
      </c>
      <c r="F493" s="21" t="str">
        <f>IFERROR(VLOOKUP($G493,'02_REFERENCE'!$A$2:$S$99,17,FALSE),"N/A")</f>
        <v>N/A</v>
      </c>
      <c r="G493" s="21" t="inlineStr"/>
      <c r="H493" s="21" t="inlineStr">
        <is>
          <t>False Positive</t>
        </is>
      </c>
      <c r="I493" s="21" t="inlineStr">
        <is>
          <t>FP</t>
        </is>
      </c>
      <c r="J493" s="21" t="inlineStr">
        <is>
          <t>M</t>
        </is>
      </c>
      <c r="K493" s="21" t="inlineStr">
        <is>
          <t>N</t>
        </is>
      </c>
      <c r="L493" s="21" t="inlineStr">
        <is>
          <t>No</t>
        </is>
      </c>
      <c r="M493" s="21" t="inlineStr"/>
      <c r="N493" s="22" t="inlineStr">
        <is>
          <t>No reference threat corresponds to this finding's mechanism (scoring found no class with sufficient evidence).</t>
        </is>
      </c>
      <c r="O493" s="5" t="inlineStr"/>
      <c r="P493" s="16" t="inlineStr">
        <is>
          <t>Unsafe AI Output</t>
        </is>
      </c>
      <c r="Q493" s="16" t="inlineStr">
        <is>
          <t>EE2 → P4 → P3 → P1</t>
        </is>
      </c>
      <c r="R493" s="16" t="inlineStr"/>
      <c r="S493" s="5" t="inlineStr">
        <is>
          <t>Confirmed</t>
        </is>
      </c>
    </row>
    <row r="494" ht="16" customHeight="1">
      <c r="A494" s="5" t="inlineStr">
        <is>
          <t>CHATGPT-S2-F014</t>
        </is>
      </c>
      <c r="B494" s="5" t="inlineStr">
        <is>
          <t>CHATGPT</t>
        </is>
      </c>
      <c r="C494" s="5" t="inlineStr">
        <is>
          <t>S2</t>
        </is>
      </c>
      <c r="D494" s="21" t="str">
        <f>IFERROR(VLOOKUP($G494,'02_REFERENCE'!$A$2:$S$99,4,FALSE),"N/A")</f>
        <v>Tampering</v>
      </c>
      <c r="E494" s="21" t="str">
        <f>IFERROR(VLOOKUP($G494,'02_REFERENCE'!$A$2:$S$99,15,FALSE),"N/A")</f>
        <v>High</v>
      </c>
      <c r="F494" s="21" t="str">
        <f>IFERROR(VLOOKUP($G494,'02_REFERENCE'!$A$2:$S$99,17,FALSE),"N/A")</f>
        <v>Yes</v>
      </c>
      <c r="G494" s="21" t="inlineStr">
        <is>
          <t>S2-RT-022</t>
        </is>
      </c>
      <c r="H494" s="21" t="inlineStr">
        <is>
          <t>Primary TP</t>
        </is>
      </c>
      <c r="I494" s="21" t="inlineStr">
        <is>
          <t>TP</t>
        </is>
      </c>
      <c r="J494" s="21" t="inlineStr">
        <is>
          <t>H</t>
        </is>
      </c>
      <c r="K494" s="21" t="inlineStr">
        <is>
          <t>Y</t>
        </is>
      </c>
      <c r="L494" s="21" t="inlineStr">
        <is>
          <t>No</t>
        </is>
      </c>
      <c r="M494" s="21" t="inlineStr"/>
      <c r="N494" s="22" t="inlineStr">
        <is>
          <t>Mechanism class prompt_injection_direct; evidence: prompt injection; prompt inject; prompt inject</t>
        </is>
      </c>
      <c r="O494" s="5" t="inlineStr">
        <is>
          <t>prompt_injection_direct</t>
        </is>
      </c>
      <c r="P494" s="16" t="inlineStr">
        <is>
          <t>Excessive AI Privilege</t>
        </is>
      </c>
      <c r="Q494" s="16" t="inlineStr">
        <is>
          <t>P3/P4 ↔ P2/DS1</t>
        </is>
      </c>
      <c r="R494" s="16" t="inlineStr"/>
      <c r="S494" s="5" t="inlineStr">
        <is>
          <t>Confirmed</t>
        </is>
      </c>
    </row>
    <row r="495" ht="16" customHeight="1">
      <c r="A495" s="5" t="inlineStr">
        <is>
          <t>CHATGPT-S2-F015</t>
        </is>
      </c>
      <c r="B495" s="5" t="inlineStr">
        <is>
          <t>CHATGPT</t>
        </is>
      </c>
      <c r="C495" s="5" t="inlineStr">
        <is>
          <t>S2</t>
        </is>
      </c>
      <c r="D495" s="21" t="str">
        <f>IFERROR(VLOOKUP($G495,'02_REFERENCE'!$A$2:$S$99,4,FALSE),"N/A")</f>
        <v>Information Disclosure</v>
      </c>
      <c r="E495" s="21" t="str">
        <f>IFERROR(VLOOKUP($G495,'02_REFERENCE'!$A$2:$S$99,15,FALSE),"N/A")</f>
        <v>High</v>
      </c>
      <c r="F495" s="21" t="str">
        <f>IFERROR(VLOOKUP($G495,'02_REFERENCE'!$A$2:$S$99,17,FALSE),"N/A")</f>
        <v>Yes</v>
      </c>
      <c r="G495" s="21" t="inlineStr">
        <is>
          <t>S2-RT-018</t>
        </is>
      </c>
      <c r="H495" s="21" t="inlineStr">
        <is>
          <t>Duplicate</t>
        </is>
      </c>
      <c r="I495" s="21" t="inlineStr">
        <is>
          <t>TP</t>
        </is>
      </c>
      <c r="J495" s="21" t="inlineStr">
        <is>
          <t>L</t>
        </is>
      </c>
      <c r="K495" s="21" t="inlineStr">
        <is>
          <t>N</t>
        </is>
      </c>
      <c r="L495" s="21" t="inlineStr">
        <is>
          <t>Yes</t>
        </is>
      </c>
      <c r="M495" s="21" t="inlineStr">
        <is>
          <t>CHATGPT-S2-F009</t>
        </is>
      </c>
      <c r="N495" s="22" t="inlineStr">
        <is>
          <t>Mechanism class sensitive_to_llm; evidence: document context and sanitized prompt [Equivalence: restates CHATGPT-S2-F009 — one-to-one rule applied.]</t>
        </is>
      </c>
      <c r="O495" s="5" t="inlineStr">
        <is>
          <t>sensitive_to_llm</t>
        </is>
      </c>
      <c r="P495" s="16" t="inlineStr">
        <is>
          <t>External Provider Confidentiality Risk</t>
        </is>
      </c>
      <c r="Q495" s="16" t="inlineStr">
        <is>
          <t>P4 → EE2</t>
        </is>
      </c>
      <c r="R495" s="16" t="inlineStr"/>
      <c r="S495" s="5" t="inlineStr">
        <is>
          <t>Manual review</t>
        </is>
      </c>
    </row>
    <row r="496" ht="16" customHeight="1">
      <c r="A496" s="5" t="inlineStr">
        <is>
          <t>CHATGPT-S2-F016</t>
        </is>
      </c>
      <c r="B496" s="5" t="inlineStr">
        <is>
          <t>CHATGPT</t>
        </is>
      </c>
      <c r="C496" s="5" t="inlineStr">
        <is>
          <t>S2</t>
        </is>
      </c>
      <c r="D496" s="21" t="str">
        <f>IFERROR(VLOOKUP($G496,'02_REFERENCE'!$A$2:$S$99,4,FALSE),"N/A")</f>
        <v>Tampering</v>
      </c>
      <c r="E496" s="21" t="str">
        <f>IFERROR(VLOOKUP($G496,'02_REFERENCE'!$A$2:$S$99,15,FALSE),"N/A")</f>
        <v>Medium</v>
      </c>
      <c r="F496" s="21" t="str">
        <f>IFERROR(VLOOKUP($G496,'02_REFERENCE'!$A$2:$S$99,17,FALSE),"N/A")</f>
        <v>Yes</v>
      </c>
      <c r="G496" s="21" t="inlineStr">
        <is>
          <t>S2-RT-027</t>
        </is>
      </c>
      <c r="H496" s="21" t="inlineStr">
        <is>
          <t>Primary TP</t>
        </is>
      </c>
      <c r="I496" s="21" t="inlineStr">
        <is>
          <t>TP</t>
        </is>
      </c>
      <c r="J496" s="21" t="inlineStr">
        <is>
          <t>L</t>
        </is>
      </c>
      <c r="K496" s="21" t="inlineStr">
        <is>
          <t>Y</t>
        </is>
      </c>
      <c r="L496" s="21" t="inlineStr">
        <is>
          <t>No</t>
        </is>
      </c>
      <c r="M496" s="21" t="inlineStr"/>
      <c r="N496" s="22" t="inlineStr">
        <is>
          <t>Mechanism class hallucination; evidence: false information</t>
        </is>
      </c>
      <c r="O496" s="5" t="inlineStr">
        <is>
          <t>hallucination</t>
        </is>
      </c>
      <c r="P496" s="16" t="inlineStr">
        <is>
          <t>Document-Based Semantic Manipulation</t>
        </is>
      </c>
      <c r="Q496" s="16" t="inlineStr">
        <is>
          <t>EE1 → DS1 → P3 → P4</t>
        </is>
      </c>
      <c r="R496" s="16" t="inlineStr"/>
      <c r="S496" s="5" t="inlineStr">
        <is>
          <t>Manual review</t>
        </is>
      </c>
    </row>
    <row r="497" ht="16" customHeight="1">
      <c r="A497" s="5" t="inlineStr">
        <is>
          <t>CHATGPT-S2-F017</t>
        </is>
      </c>
      <c r="B497" s="5" t="inlineStr">
        <is>
          <t>CHATGPT</t>
        </is>
      </c>
      <c r="C497" s="5" t="inlineStr">
        <is>
          <t>S2</t>
        </is>
      </c>
      <c r="D497" s="21" t="str">
        <f>IFERROR(VLOOKUP($G497,'02_REFERENCE'!$A$2:$S$99,4,FALSE),"N/A")</f>
        <v>Elevation of Privilege</v>
      </c>
      <c r="E497" s="21" t="str">
        <f>IFERROR(VLOOKUP($G497,'02_REFERENCE'!$A$2:$S$99,15,FALSE),"N/A")</f>
        <v>Critical</v>
      </c>
      <c r="F497" s="21" t="str">
        <f>IFERROR(VLOOKUP($G497,'02_REFERENCE'!$A$2:$S$99,17,FALSE),"N/A")</f>
        <v>No</v>
      </c>
      <c r="G497" s="21" t="inlineStr">
        <is>
          <t>S2-RT-004</t>
        </is>
      </c>
      <c r="H497" s="21" t="inlineStr">
        <is>
          <t>Duplicate</t>
        </is>
      </c>
      <c r="I497" s="21" t="inlineStr">
        <is>
          <t>TP</t>
        </is>
      </c>
      <c r="J497" s="21" t="inlineStr">
        <is>
          <t>L</t>
        </is>
      </c>
      <c r="K497" s="21" t="inlineStr">
        <is>
          <t>N</t>
        </is>
      </c>
      <c r="L497" s="21" t="inlineStr">
        <is>
          <t>Yes</t>
        </is>
      </c>
      <c r="M497" s="21" t="inlineStr">
        <is>
          <t>CHATGPT-S2-F044</t>
        </is>
      </c>
      <c r="N497" s="22" t="inlineStr">
        <is>
          <t>Mechanism class idor; evidence: modify a file belonging to another user [Equivalence: restates CHATGPT-S2-F044 — one-to-one rule applied.]</t>
        </is>
      </c>
      <c r="O497" s="5" t="inlineStr">
        <is>
          <t>idor</t>
        </is>
      </c>
      <c r="P497" s="16" t="inlineStr">
        <is>
          <t>Unauthorized File Modification</t>
        </is>
      </c>
      <c r="Q497" s="16" t="inlineStr">
        <is>
          <t>EE1 → P1 → P2 → DS1</t>
        </is>
      </c>
      <c r="R497" s="16" t="inlineStr"/>
      <c r="S497" s="5" t="inlineStr">
        <is>
          <t>Manual review</t>
        </is>
      </c>
    </row>
    <row r="498" ht="16" customHeight="1">
      <c r="A498" s="5" t="inlineStr">
        <is>
          <t>CHATGPT-S2-F018</t>
        </is>
      </c>
      <c r="B498" s="5" t="inlineStr">
        <is>
          <t>CHATGPT</t>
        </is>
      </c>
      <c r="C498" s="5" t="inlineStr">
        <is>
          <t>S2</t>
        </is>
      </c>
      <c r="D498" s="21" t="str">
        <f>IFERROR(VLOOKUP($G498,'02_REFERENCE'!$A$2:$S$99,4,FALSE),"N/A")</f>
        <v>Tampering</v>
      </c>
      <c r="E498" s="21" t="str">
        <f>IFERROR(VLOOKUP($G498,'02_REFERENCE'!$A$2:$S$99,15,FALSE),"N/A")</f>
        <v>Critical</v>
      </c>
      <c r="F498" s="21" t="str">
        <f>IFERROR(VLOOKUP($G498,'02_REFERENCE'!$A$2:$S$99,17,FALSE),"N/A")</f>
        <v>No</v>
      </c>
      <c r="G498" s="21" t="inlineStr">
        <is>
          <t>S2-RT-010</t>
        </is>
      </c>
      <c r="H498" s="21" t="inlineStr">
        <is>
          <t>Duplicate</t>
        </is>
      </c>
      <c r="I498" s="21" t="inlineStr">
        <is>
          <t>TP</t>
        </is>
      </c>
      <c r="J498" s="21" t="inlineStr">
        <is>
          <t>M</t>
        </is>
      </c>
      <c r="K498" s="21" t="inlineStr">
        <is>
          <t>N</t>
        </is>
      </c>
      <c r="L498" s="21" t="inlineStr">
        <is>
          <t>Yes</t>
        </is>
      </c>
      <c r="M498" s="21" t="inlineStr">
        <is>
          <t>CHATGPT-S2-F006</t>
        </is>
      </c>
      <c r="N498" s="22" t="inlineStr">
        <is>
          <t>Mechanism class malicious_upload; evidence: Malicious File [Equivalence: restates CHATGPT-S2-F006 — one-to-one rule applied.]</t>
        </is>
      </c>
      <c r="O498" s="5" t="inlineStr">
        <is>
          <t>malicious_upload</t>
        </is>
      </c>
      <c r="P498" s="16" t="inlineStr">
        <is>
          <t>Malicious Filename / Path Manipulation</t>
        </is>
      </c>
      <c r="Q498" s="16" t="inlineStr">
        <is>
          <t>EE1 → P1 → P2 → DS1</t>
        </is>
      </c>
      <c r="R498" s="16" t="inlineStr"/>
      <c r="S498" s="5" t="inlineStr">
        <is>
          <t>Confirmed</t>
        </is>
      </c>
    </row>
    <row r="499" ht="16" customHeight="1">
      <c r="A499" s="5" t="inlineStr">
        <is>
          <t>CHATGPT-S2-F019</t>
        </is>
      </c>
      <c r="B499" s="5" t="inlineStr">
        <is>
          <t>CHATGPT</t>
        </is>
      </c>
      <c r="C499" s="5" t="inlineStr">
        <is>
          <t>S2</t>
        </is>
      </c>
      <c r="D499" s="21" t="str">
        <f>IFERROR(VLOOKUP($G499,'02_REFERENCE'!$A$2:$S$99,4,FALSE),"N/A")</f>
        <v>Denial of Service</v>
      </c>
      <c r="E499" s="21" t="str">
        <f>IFERROR(VLOOKUP($G499,'02_REFERENCE'!$A$2:$S$99,15,FALSE),"N/A")</f>
        <v>Medium</v>
      </c>
      <c r="F499" s="21" t="str">
        <f>IFERROR(VLOOKUP($G499,'02_REFERENCE'!$A$2:$S$99,17,FALSE),"N/A")</f>
        <v>Yes</v>
      </c>
      <c r="G499" s="21" t="inlineStr">
        <is>
          <t>S2-RT-033</t>
        </is>
      </c>
      <c r="H499" s="21" t="inlineStr">
        <is>
          <t>Primary TP</t>
        </is>
      </c>
      <c r="I499" s="21" t="inlineStr">
        <is>
          <t>TP</t>
        </is>
      </c>
      <c r="J499" s="21" t="inlineStr">
        <is>
          <t>H</t>
        </is>
      </c>
      <c r="K499" s="21" t="inlineStr">
        <is>
          <t>Y</t>
        </is>
      </c>
      <c r="L499" s="21" t="inlineStr">
        <is>
          <t>No</t>
        </is>
      </c>
      <c r="M499" s="21" t="inlineStr"/>
      <c r="N499" s="22" t="inlineStr">
        <is>
          <t>Mechanism class dos_service (victim-based DoS routing); evidence: denial of service; Resource Exhaustion; Resource Exhaustion; oversized</t>
        </is>
      </c>
      <c r="O499" s="5" t="inlineStr">
        <is>
          <t>dos_service</t>
        </is>
      </c>
      <c r="P499" s="16" t="inlineStr">
        <is>
          <t>Resource Exhaustion</t>
        </is>
      </c>
      <c r="Q499" s="16" t="inlineStr">
        <is>
          <t>EE1 → P1 → P2/P3/P4 → DS1/EE2</t>
        </is>
      </c>
      <c r="R499" s="16" t="inlineStr"/>
      <c r="S499" s="5" t="inlineStr">
        <is>
          <t>Confirmed</t>
        </is>
      </c>
    </row>
    <row r="500" ht="16" customHeight="1">
      <c r="A500" s="5" t="inlineStr">
        <is>
          <t>CHATGPT-S2-F020</t>
        </is>
      </c>
      <c r="B500" s="5" t="inlineStr">
        <is>
          <t>CHATGPT</t>
        </is>
      </c>
      <c r="C500" s="5" t="inlineStr">
        <is>
          <t>S2</t>
        </is>
      </c>
      <c r="D500" s="21" t="str">
        <f>IFERROR(VLOOKUP($G500,'02_REFERENCE'!$A$2:$S$99,4,FALSE),"N/A")</f>
        <v>Denial of Service</v>
      </c>
      <c r="E500" s="21" t="str">
        <f>IFERROR(VLOOKUP($G500,'02_REFERENCE'!$A$2:$S$99,15,FALSE),"N/A")</f>
        <v>Medium</v>
      </c>
      <c r="F500" s="21" t="str">
        <f>IFERROR(VLOOKUP($G500,'02_REFERENCE'!$A$2:$S$99,17,FALSE),"N/A")</f>
        <v>Yes</v>
      </c>
      <c r="G500" s="21" t="inlineStr">
        <is>
          <t>S2-RT-033</t>
        </is>
      </c>
      <c r="H500" s="21" t="inlineStr">
        <is>
          <t>Duplicate</t>
        </is>
      </c>
      <c r="I500" s="21" t="inlineStr">
        <is>
          <t>TP</t>
        </is>
      </c>
      <c r="J500" s="21" t="inlineStr">
        <is>
          <t>M</t>
        </is>
      </c>
      <c r="K500" s="21" t="inlineStr">
        <is>
          <t>N</t>
        </is>
      </c>
      <c r="L500" s="21" t="inlineStr">
        <is>
          <t>Yes</t>
        </is>
      </c>
      <c r="M500" s="21" t="inlineStr">
        <is>
          <t>CHATGPT-S2-F019</t>
        </is>
      </c>
      <c r="N500" s="22" t="inlineStr">
        <is>
          <t>Mechanism class dos_service (victim-based DoS routing); evidence: Resource exhaustion; Resource exhaustion [Equivalence: restates CHATGPT-S2-F019 — one-to-one rule applied.]</t>
        </is>
      </c>
      <c r="O500" s="5" t="inlineStr">
        <is>
          <t>dos_service</t>
        </is>
      </c>
      <c r="P500" s="16" t="inlineStr">
        <is>
          <t>Excessive LLM Consumption</t>
        </is>
      </c>
      <c r="Q500" s="16" t="inlineStr">
        <is>
          <t>EE1 → P3 → P4 → EE2</t>
        </is>
      </c>
      <c r="R500" s="16" t="inlineStr"/>
      <c r="S500" s="5" t="inlineStr">
        <is>
          <t>Confirmed</t>
        </is>
      </c>
    </row>
    <row r="501" ht="16" customHeight="1">
      <c r="A501" s="5" t="inlineStr">
        <is>
          <t>CHATGPT-S2-F021</t>
        </is>
      </c>
      <c r="B501" s="5" t="inlineStr">
        <is>
          <t>CHATGPT</t>
        </is>
      </c>
      <c r="C501" s="5" t="inlineStr">
        <is>
          <t>S2</t>
        </is>
      </c>
      <c r="D501" s="21" t="str">
        <f>IFERROR(VLOOKUP($G501,'02_REFERENCE'!$A$2:$S$99,4,FALSE),"N/A")</f>
        <v>N/A</v>
      </c>
      <c r="E501" s="21" t="str">
        <f>IFERROR(VLOOKUP($G501,'02_REFERENCE'!$A$2:$S$99,15,FALSE),"N/A")</f>
        <v>N/A</v>
      </c>
      <c r="F501" s="21" t="str">
        <f>IFERROR(VLOOKUP($G501,'02_REFERENCE'!$A$2:$S$99,17,FALSE),"N/A")</f>
        <v>N/A</v>
      </c>
      <c r="G501" s="21" t="inlineStr"/>
      <c r="H501" s="21" t="inlineStr">
        <is>
          <t>False Positive</t>
        </is>
      </c>
      <c r="I501" s="21" t="inlineStr">
        <is>
          <t>FP</t>
        </is>
      </c>
      <c r="J501" s="21" t="inlineStr">
        <is>
          <t>L</t>
        </is>
      </c>
      <c r="K501" s="21" t="inlineStr">
        <is>
          <t>N</t>
        </is>
      </c>
      <c r="L501" s="21" t="inlineStr">
        <is>
          <t>No</t>
        </is>
      </c>
      <c r="M501" s="21" t="inlineStr"/>
      <c r="N501" s="22" t="inlineStr">
        <is>
          <t>Template-class kb_disclosure (no reference threat): disclosed even when the exact underlying document</t>
        </is>
      </c>
      <c r="O501" s="5" t="inlineStr">
        <is>
          <t>kb_disclosure</t>
        </is>
      </c>
      <c r="P501" s="16" t="inlineStr">
        <is>
          <t>Inference-Based Data Leakage</t>
        </is>
      </c>
      <c r="Q501" s="16" t="inlineStr">
        <is>
          <t>P4 → P3 → P1 → EE1</t>
        </is>
      </c>
      <c r="R501" s="16" t="inlineStr"/>
      <c r="S501" s="5" t="inlineStr">
        <is>
          <t>Manual review</t>
        </is>
      </c>
    </row>
    <row r="502" ht="16" customHeight="1">
      <c r="A502" s="5" t="inlineStr">
        <is>
          <t>CHATGPT-S2-F022</t>
        </is>
      </c>
      <c r="B502" s="5" t="inlineStr">
        <is>
          <t>CHATGPT</t>
        </is>
      </c>
      <c r="C502" s="5" t="inlineStr">
        <is>
          <t>S2</t>
        </is>
      </c>
      <c r="D502" s="21" t="str">
        <f>IFERROR(VLOOKUP($G502,'02_REFERENCE'!$A$2:$S$99,4,FALSE),"N/A")</f>
        <v>Information Disclosure</v>
      </c>
      <c r="E502" s="21" t="str">
        <f>IFERROR(VLOOKUP($G502,'02_REFERENCE'!$A$2:$S$99,15,FALSE),"N/A")</f>
        <v>Medium</v>
      </c>
      <c r="F502" s="21" t="str">
        <f>IFERROR(VLOOKUP($G502,'02_REFERENCE'!$A$2:$S$99,17,FALSE),"N/A")</f>
        <v>Yes</v>
      </c>
      <c r="G502" s="21" t="inlineStr">
        <is>
          <t>S2-RT-024</t>
        </is>
      </c>
      <c r="H502" s="21" t="inlineStr">
        <is>
          <t>Primary TP</t>
        </is>
      </c>
      <c r="I502" s="21" t="inlineStr">
        <is>
          <t>TP</t>
        </is>
      </c>
      <c r="J502" s="21" t="inlineStr">
        <is>
          <t>H</t>
        </is>
      </c>
      <c r="K502" s="21" t="inlineStr">
        <is>
          <t>Y</t>
        </is>
      </c>
      <c r="L502" s="21" t="inlineStr">
        <is>
          <t>No</t>
        </is>
      </c>
      <c r="M502" s="21" t="inlineStr"/>
      <c r="N502" s="22" t="inlineStr">
        <is>
          <t>Mechanism class system_prompt_extract; evidence: reveal internal instructions, prompt; Prompt Leak</t>
        </is>
      </c>
      <c r="O502" s="5" t="inlineStr">
        <is>
          <t>system_prompt_extract</t>
        </is>
      </c>
      <c r="P502" s="16" t="inlineStr">
        <is>
          <t>Prompt Leakage</t>
        </is>
      </c>
      <c r="Q502" s="16" t="inlineStr">
        <is>
          <t>EE1 → P3 → P4 → EE2 → P1</t>
        </is>
      </c>
      <c r="R502" s="16" t="inlineStr"/>
      <c r="S502" s="5" t="inlineStr">
        <is>
          <t>Confirmed</t>
        </is>
      </c>
    </row>
    <row r="503" ht="16" customHeight="1">
      <c r="A503" s="5" t="inlineStr">
        <is>
          <t>CHATGPT-S2-F023</t>
        </is>
      </c>
      <c r="B503" s="5" t="inlineStr">
        <is>
          <t>CHATGPT</t>
        </is>
      </c>
      <c r="C503" s="5" t="inlineStr">
        <is>
          <t>S2</t>
        </is>
      </c>
      <c r="D503" s="21" t="str">
        <f>IFERROR(VLOOKUP($G503,'02_REFERENCE'!$A$2:$S$99,4,FALSE),"N/A")</f>
        <v>Denial of Service</v>
      </c>
      <c r="E503" s="21" t="str">
        <f>IFERROR(VLOOKUP($G503,'02_REFERENCE'!$A$2:$S$99,15,FALSE),"N/A")</f>
        <v>Medium</v>
      </c>
      <c r="F503" s="21" t="str">
        <f>IFERROR(VLOOKUP($G503,'02_REFERENCE'!$A$2:$S$99,17,FALSE),"N/A")</f>
        <v>Yes</v>
      </c>
      <c r="G503" s="21" t="inlineStr">
        <is>
          <t>S2-RT-032</t>
        </is>
      </c>
      <c r="H503" s="21" t="inlineStr">
        <is>
          <t>Primary TP</t>
        </is>
      </c>
      <c r="I503" s="21" t="inlineStr">
        <is>
          <t>TP</t>
        </is>
      </c>
      <c r="J503" s="21" t="inlineStr">
        <is>
          <t>M</t>
        </is>
      </c>
      <c r="K503" s="21" t="inlineStr">
        <is>
          <t>Y</t>
        </is>
      </c>
      <c r="L503" s="21" t="inlineStr">
        <is>
          <t>No</t>
        </is>
      </c>
      <c r="M503" s="21" t="inlineStr"/>
      <c r="N503" s="22" t="inlineStr">
        <is>
          <t>Mechanism class llm_unavailable; evidence: hanges or weaknesses in the provider's model, service; LLM provider outside its direct control. Changes</t>
        </is>
      </c>
      <c r="O503" s="5" t="inlineStr">
        <is>
          <t>llm_unavailable</t>
        </is>
      </c>
      <c r="P503" s="16" t="inlineStr">
        <is>
          <t>External LLM Dependency Risk</t>
        </is>
      </c>
      <c r="Q503" s="16" t="inlineStr">
        <is>
          <t>P4 ↔ EE2</t>
        </is>
      </c>
      <c r="R503" s="16" t="inlineStr"/>
      <c r="S503" s="5" t="inlineStr">
        <is>
          <t>Confirmed</t>
        </is>
      </c>
    </row>
    <row r="504" ht="16" customHeight="1">
      <c r="A504" s="5" t="inlineStr">
        <is>
          <t>CHATGPT-S2-F024</t>
        </is>
      </c>
      <c r="B504" s="5" t="inlineStr">
        <is>
          <t>CHATGPT</t>
        </is>
      </c>
      <c r="C504" s="5" t="inlineStr">
        <is>
          <t>S2</t>
        </is>
      </c>
      <c r="D504" s="21" t="str">
        <f>IFERROR(VLOOKUP($G504,'02_REFERENCE'!$A$2:$S$99,4,FALSE),"N/A")</f>
        <v>Elevation of Privilege</v>
      </c>
      <c r="E504" s="21" t="str">
        <f>IFERROR(VLOOKUP($G504,'02_REFERENCE'!$A$2:$S$99,15,FALSE),"N/A")</f>
        <v>Critical</v>
      </c>
      <c r="F504" s="21" t="str">
        <f>IFERROR(VLOOKUP($G504,'02_REFERENCE'!$A$2:$S$99,17,FALSE),"N/A")</f>
        <v>No</v>
      </c>
      <c r="G504" s="21" t="inlineStr">
        <is>
          <t>S2-RT-003</t>
        </is>
      </c>
      <c r="H504" s="21" t="inlineStr">
        <is>
          <t>Primary TP</t>
        </is>
      </c>
      <c r="I504" s="21" t="inlineStr">
        <is>
          <t>TP</t>
        </is>
      </c>
      <c r="J504" s="21" t="inlineStr">
        <is>
          <t>M</t>
        </is>
      </c>
      <c r="K504" s="21" t="inlineStr">
        <is>
          <t>Y</t>
        </is>
      </c>
      <c r="L504" s="21" t="inlineStr">
        <is>
          <t>No</t>
        </is>
      </c>
      <c r="M504" s="21" t="inlineStr"/>
      <c r="N504" s="22" t="inlineStr">
        <is>
          <t>Mechanism class access_bypass_logic; evidence: authorization decisions and potential access-control bypass</t>
        </is>
      </c>
      <c r="O504" s="5" t="inlineStr">
        <is>
          <t>access_bypass_logic</t>
        </is>
      </c>
      <c r="P504" s="16" t="inlineStr">
        <is>
          <t>Authorization Responsibility Drift</t>
        </is>
      </c>
      <c r="Q504" s="16" t="inlineStr">
        <is>
          <t>P2 ↔ P3 ↔ P4</t>
        </is>
      </c>
      <c r="R504" s="16" t="inlineStr"/>
      <c r="S504" s="5" t="inlineStr">
        <is>
          <t>Confirmed</t>
        </is>
      </c>
    </row>
    <row r="505" ht="16" customHeight="1">
      <c r="A505" s="5" t="inlineStr">
        <is>
          <t>CHATGPT-S2-F025</t>
        </is>
      </c>
      <c r="B505" s="5" t="inlineStr">
        <is>
          <t>CHATGPT</t>
        </is>
      </c>
      <c r="C505" s="5" t="inlineStr">
        <is>
          <t>S2</t>
        </is>
      </c>
      <c r="D505" s="21" t="str">
        <f>IFERROR(VLOOKUP($G505,'02_REFERENCE'!$A$2:$S$99,4,FALSE),"N/A")</f>
        <v>Tampering</v>
      </c>
      <c r="E505" s="21" t="str">
        <f>IFERROR(VLOOKUP($G505,'02_REFERENCE'!$A$2:$S$99,15,FALSE),"N/A")</f>
        <v>Critical</v>
      </c>
      <c r="F505" s="21" t="str">
        <f>IFERROR(VLOOKUP($G505,'02_REFERENCE'!$A$2:$S$99,17,FALSE),"N/A")</f>
        <v>No</v>
      </c>
      <c r="G505" s="21" t="inlineStr">
        <is>
          <t>S2-RT-010</t>
        </is>
      </c>
      <c r="H505" s="21" t="inlineStr">
        <is>
          <t>Duplicate</t>
        </is>
      </c>
      <c r="I505" s="21" t="inlineStr">
        <is>
          <t>TP</t>
        </is>
      </c>
      <c r="J505" s="21" t="inlineStr">
        <is>
          <t>L</t>
        </is>
      </c>
      <c r="K505" s="21" t="inlineStr">
        <is>
          <t>N</t>
        </is>
      </c>
      <c r="L505" s="21" t="inlineStr">
        <is>
          <t>Yes</t>
        </is>
      </c>
      <c r="M505" s="21" t="inlineStr">
        <is>
          <t>CHATGPT-S2-F006</t>
        </is>
      </c>
      <c r="N505" s="22" t="inlineStr">
        <is>
          <t>Mechanism class malicious_upload; evidence: Malicious document content [Equivalence: restates CHATGPT-S2-F006 — one-to-one rule applied.]</t>
        </is>
      </c>
      <c r="O505" s="5" t="inlineStr">
        <is>
          <t>malicious_upload</t>
        </is>
      </c>
      <c r="P505" s="16" t="inlineStr">
        <is>
          <t>Context Integrity Manipulation</t>
        </is>
      </c>
      <c r="Q505" s="16" t="inlineStr">
        <is>
          <t>DS1 → P3 → P4 → EE2</t>
        </is>
      </c>
      <c r="R505" s="16" t="inlineStr"/>
      <c r="S505" s="5" t="inlineStr">
        <is>
          <t>Manual review</t>
        </is>
      </c>
    </row>
    <row r="506" ht="16" customHeight="1">
      <c r="A506" s="5" t="inlineStr">
        <is>
          <t>CHATGPT-S2-F026</t>
        </is>
      </c>
      <c r="B506" s="5" t="inlineStr">
        <is>
          <t>CHATGPT</t>
        </is>
      </c>
      <c r="C506" s="5" t="inlineStr">
        <is>
          <t>S2</t>
        </is>
      </c>
      <c r="D506" s="21" t="str">
        <f>IFERROR(VLOOKUP($G506,'02_REFERENCE'!$A$2:$S$99,4,FALSE),"N/A")</f>
        <v>Information Disclosure</v>
      </c>
      <c r="E506" s="21" t="str">
        <f>IFERROR(VLOOKUP($G506,'02_REFERENCE'!$A$2:$S$99,15,FALSE),"N/A")</f>
        <v>Medium</v>
      </c>
      <c r="F506" s="21" t="str">
        <f>IFERROR(VLOOKUP($G506,'02_REFERENCE'!$A$2:$S$99,17,FALSE),"N/A")</f>
        <v>No</v>
      </c>
      <c r="G506" s="21" t="inlineStr">
        <is>
          <t>S2-RT-016</t>
        </is>
      </c>
      <c r="H506" s="21" t="inlineStr">
        <is>
          <t>Duplicate</t>
        </is>
      </c>
      <c r="I506" s="21" t="inlineStr">
        <is>
          <t>TP</t>
        </is>
      </c>
      <c r="J506" s="21" t="inlineStr">
        <is>
          <t>L</t>
        </is>
      </c>
      <c r="K506" s="21" t="inlineStr">
        <is>
          <t>N</t>
        </is>
      </c>
      <c r="L506" s="21" t="inlineStr">
        <is>
          <t>Yes</t>
        </is>
      </c>
      <c r="M506" s="21" t="inlineStr">
        <is>
          <t>CHATGPT-S2-F045</t>
        </is>
      </c>
      <c r="N506" s="22" t="inlineStr">
        <is>
          <t>Mechanism class enumeration; evidence: reveal whether a particular file exists [Equivalence: restates CHATGPT-S2-F045 — one-to-one rule applied.]</t>
        </is>
      </c>
      <c r="O506" s="5" t="inlineStr">
        <is>
          <t>enumeration</t>
        </is>
      </c>
      <c r="P506" s="16" t="inlineStr">
        <is>
          <t>Authorization and File Error Leakage</t>
        </is>
      </c>
      <c r="Q506" s="16" t="inlineStr">
        <is>
          <t>P2 → P1 → EE1</t>
        </is>
      </c>
      <c r="R506" s="16" t="inlineStr"/>
      <c r="S506" s="5" t="inlineStr">
        <is>
          <t>Manual review</t>
        </is>
      </c>
    </row>
    <row r="507" ht="16" customHeight="1">
      <c r="A507" s="5" t="inlineStr">
        <is>
          <t>CHATGPT-S2-F027</t>
        </is>
      </c>
      <c r="B507" s="5" t="inlineStr">
        <is>
          <t>CHATGPT</t>
        </is>
      </c>
      <c r="C507" s="5" t="inlineStr">
        <is>
          <t>S2</t>
        </is>
      </c>
      <c r="D507" s="21" t="str">
        <f>IFERROR(VLOOKUP($G507,'02_REFERENCE'!$A$2:$S$99,4,FALSE),"N/A")</f>
        <v>Elevation of Privilege</v>
      </c>
      <c r="E507" s="21" t="str">
        <f>IFERROR(VLOOKUP($G507,'02_REFERENCE'!$A$2:$S$99,15,FALSE),"N/A")</f>
        <v>Critical</v>
      </c>
      <c r="F507" s="21" t="str">
        <f>IFERROR(VLOOKUP($G507,'02_REFERENCE'!$A$2:$S$99,17,FALSE),"N/A")</f>
        <v>No</v>
      </c>
      <c r="G507" s="21" t="inlineStr">
        <is>
          <t>S2-RT-003</t>
        </is>
      </c>
      <c r="H507" s="21" t="inlineStr">
        <is>
          <t>Duplicate</t>
        </is>
      </c>
      <c r="I507" s="21" t="inlineStr">
        <is>
          <t>TP</t>
        </is>
      </c>
      <c r="J507" s="21" t="inlineStr">
        <is>
          <t>M</t>
        </is>
      </c>
      <c r="K507" s="21" t="inlineStr">
        <is>
          <t>N</t>
        </is>
      </c>
      <c r="L507" s="21" t="inlineStr">
        <is>
          <t>Yes</t>
        </is>
      </c>
      <c r="M507" s="21" t="inlineStr">
        <is>
          <t>CHATGPT-S2-F024</t>
        </is>
      </c>
      <c r="N507" s="22" t="inlineStr">
        <is>
          <t>Mechanism class access_bypass_logic; evidence: bypass of intended file authorization; authorized file access. Complete bypass [Equivalence: restates CHATGPT-S2-F024 — one-to-one rule applied.]</t>
        </is>
      </c>
      <c r="O507" s="5" t="inlineStr">
        <is>
          <t>access_bypass_logic</t>
        </is>
      </c>
      <c r="P507" s="16" t="inlineStr">
        <is>
          <t>Identity Spoofing</t>
        </is>
      </c>
      <c r="Q507" s="16" t="inlineStr">
        <is>
          <t>EE1 → P1 → P2 → DS2</t>
        </is>
      </c>
      <c r="R507" s="16" t="inlineStr"/>
      <c r="S507" s="5" t="inlineStr">
        <is>
          <t>Confirmed</t>
        </is>
      </c>
    </row>
    <row r="508" ht="16" customHeight="1">
      <c r="A508" s="5" t="inlineStr">
        <is>
          <t>CHATGPT-S2-F028</t>
        </is>
      </c>
      <c r="B508" s="5" t="inlineStr">
        <is>
          <t>CHATGPT</t>
        </is>
      </c>
      <c r="C508" s="5" t="inlineStr">
        <is>
          <t>S2</t>
        </is>
      </c>
      <c r="D508" s="21" t="str">
        <f>IFERROR(VLOOKUP($G508,'02_REFERENCE'!$A$2:$S$99,4,FALSE),"N/A")</f>
        <v>Repudiation</v>
      </c>
      <c r="E508" s="21" t="str">
        <f>IFERROR(VLOOKUP($G508,'02_REFERENCE'!$A$2:$S$99,15,FALSE),"N/A")</f>
        <v>Medium</v>
      </c>
      <c r="F508" s="21" t="str">
        <f>IFERROR(VLOOKUP($G508,'02_REFERENCE'!$A$2:$S$99,17,FALSE),"N/A")</f>
        <v>No</v>
      </c>
      <c r="G508" s="21" t="inlineStr">
        <is>
          <t>S2-RT-021</t>
        </is>
      </c>
      <c r="H508" s="21" t="inlineStr">
        <is>
          <t>Primary TP</t>
        </is>
      </c>
      <c r="I508" s="21" t="inlineStr">
        <is>
          <t>TP</t>
        </is>
      </c>
      <c r="J508" s="21" t="inlineStr">
        <is>
          <t>L</t>
        </is>
      </c>
      <c r="K508" s="21" t="inlineStr">
        <is>
          <t>Y</t>
        </is>
      </c>
      <c r="L508" s="21" t="inlineStr">
        <is>
          <t>No</t>
        </is>
      </c>
      <c r="M508" s="21" t="inlineStr"/>
      <c r="N508" s="22" t="inlineStr">
        <is>
          <t>Mechanism class repudiation; evidence: Attribution If file operations cannot be</t>
        </is>
      </c>
      <c r="O508" s="5" t="inlineStr">
        <is>
          <t>repudiation</t>
        </is>
      </c>
      <c r="P508" s="16" t="inlineStr">
        <is>
          <t>Lack of Reliable Operation Attribution</t>
        </is>
      </c>
      <c r="Q508" s="16" t="inlineStr">
        <is>
          <t>EE1 → P1 → P2 → DS1</t>
        </is>
      </c>
      <c r="R508" s="16" t="inlineStr"/>
      <c r="S508" s="5" t="inlineStr">
        <is>
          <t>Manual review</t>
        </is>
      </c>
    </row>
    <row r="509" ht="16" customHeight="1">
      <c r="A509" s="5" t="inlineStr">
        <is>
          <t>CHATGPT-S2-F029</t>
        </is>
      </c>
      <c r="B509" s="5" t="inlineStr">
        <is>
          <t>CHATGPT</t>
        </is>
      </c>
      <c r="C509" s="5" t="inlineStr">
        <is>
          <t>S2</t>
        </is>
      </c>
      <c r="D509" s="21" t="str">
        <f>IFERROR(VLOOKUP($G509,'02_REFERENCE'!$A$2:$S$99,4,FALSE),"N/A")</f>
        <v>Denial of Service</v>
      </c>
      <c r="E509" s="21" t="str">
        <f>IFERROR(VLOOKUP($G509,'02_REFERENCE'!$A$2:$S$99,15,FALSE),"N/A")</f>
        <v>High</v>
      </c>
      <c r="F509" s="21" t="str">
        <f>IFERROR(VLOOKUP($G509,'02_REFERENCE'!$A$2:$S$99,17,FALSE),"N/A")</f>
        <v>No</v>
      </c>
      <c r="G509" s="21" t="inlineStr">
        <is>
          <t>S2-RT-031</t>
        </is>
      </c>
      <c r="H509" s="21" t="inlineStr">
        <is>
          <t>Duplicate</t>
        </is>
      </c>
      <c r="I509" s="21" t="inlineStr">
        <is>
          <t>TP</t>
        </is>
      </c>
      <c r="J509" s="21" t="inlineStr">
        <is>
          <t>M</t>
        </is>
      </c>
      <c r="K509" s="21" t="inlineStr">
        <is>
          <t>N</t>
        </is>
      </c>
      <c r="L509" s="21" t="inlineStr">
        <is>
          <t>Yes</t>
        </is>
      </c>
      <c r="M509" s="21" t="inlineStr">
        <is>
          <t>CHATGPT-S2-F051</t>
        </is>
      </c>
      <c r="N509" s="22" t="inlineStr">
        <is>
          <t>Mechanism class dos_service (victim-based DoS routing); evidence: Exhaust [Equivalence: restates CHATGPT-S2-F051 — one-to-one rule applied.]</t>
        </is>
      </c>
      <c r="O509" s="5" t="inlineStr">
        <is>
          <t>dos_service</t>
        </is>
      </c>
      <c r="P509" s="16" t="inlineStr">
        <is>
          <t>Storage Exhaustion</t>
        </is>
      </c>
      <c r="Q509" s="16" t="inlineStr">
        <is>
          <t>EE1 → P1 → P2 → DS1</t>
        </is>
      </c>
      <c r="R509" s="16" t="inlineStr"/>
      <c r="S509" s="5" t="inlineStr">
        <is>
          <t>Confirmed</t>
        </is>
      </c>
    </row>
    <row r="510" ht="16" customHeight="1">
      <c r="A510" s="5" t="inlineStr">
        <is>
          <t>CHATGPT-S2-F030</t>
        </is>
      </c>
      <c r="B510" s="5" t="inlineStr">
        <is>
          <t>CHATGPT</t>
        </is>
      </c>
      <c r="C510" s="5" t="inlineStr">
        <is>
          <t>S2</t>
        </is>
      </c>
      <c r="D510" s="21" t="str">
        <f>IFERROR(VLOOKUP($G510,'02_REFERENCE'!$A$2:$S$99,4,FALSE),"N/A")</f>
        <v>Tampering</v>
      </c>
      <c r="E510" s="21" t="str">
        <f>IFERROR(VLOOKUP($G510,'02_REFERENCE'!$A$2:$S$99,15,FALSE),"N/A")</f>
        <v>Critical</v>
      </c>
      <c r="F510" s="21" t="str">
        <f>IFERROR(VLOOKUP($G510,'02_REFERENCE'!$A$2:$S$99,17,FALSE),"N/A")</f>
        <v>No</v>
      </c>
      <c r="G510" s="21" t="inlineStr">
        <is>
          <t>S2-RT-010</t>
        </is>
      </c>
      <c r="H510" s="21" t="inlineStr">
        <is>
          <t>Duplicate</t>
        </is>
      </c>
      <c r="I510" s="21" t="inlineStr">
        <is>
          <t>TP</t>
        </is>
      </c>
      <c r="J510" s="21" t="inlineStr">
        <is>
          <t>L</t>
        </is>
      </c>
      <c r="K510" s="21" t="inlineStr">
        <is>
          <t>N</t>
        </is>
      </c>
      <c r="L510" s="21" t="inlineStr">
        <is>
          <t>Yes</t>
        </is>
      </c>
      <c r="M510" s="21" t="inlineStr">
        <is>
          <t>CHATGPT-S2-F006</t>
        </is>
      </c>
      <c r="N510" s="22" t="inlineStr">
        <is>
          <t>Mechanism class malicious_upload; evidence: malicious document [Equivalence: restates CHATGPT-S2-F006 — one-to-one rule applied.]</t>
        </is>
      </c>
      <c r="O510" s="5" t="inlineStr">
        <is>
          <t>malicious_upload</t>
        </is>
      </c>
      <c r="P510" s="16" t="inlineStr">
        <is>
          <t>File-to-LLM Attack Chain</t>
        </is>
      </c>
      <c r="Q510" s="16" t="inlineStr">
        <is>
          <t>EE1 → P1 → P2 → DS1 → P3 → P4 → EE2</t>
        </is>
      </c>
      <c r="R510" s="16" t="inlineStr"/>
      <c r="S510" s="5" t="inlineStr">
        <is>
          <t>Manual review</t>
        </is>
      </c>
    </row>
    <row r="511" ht="16" customHeight="1">
      <c r="A511" s="5" t="inlineStr">
        <is>
          <t>CHATGPT-S2-F031</t>
        </is>
      </c>
      <c r="B511" s="5" t="inlineStr">
        <is>
          <t>CHATGPT</t>
        </is>
      </c>
      <c r="C511" s="5" t="inlineStr">
        <is>
          <t>S2</t>
        </is>
      </c>
      <c r="D511" s="21" t="str">
        <f>IFERROR(VLOOKUP($G511,'02_REFERENCE'!$A$2:$S$99,4,FALSE),"N/A")</f>
        <v>Information Disclosure</v>
      </c>
      <c r="E511" s="21" t="str">
        <f>IFERROR(VLOOKUP($G511,'02_REFERENCE'!$A$2:$S$99,15,FALSE),"N/A")</f>
        <v>Critical</v>
      </c>
      <c r="F511" s="21" t="str">
        <f>IFERROR(VLOOKUP($G511,'02_REFERENCE'!$A$2:$S$99,17,FALSE),"N/A")</f>
        <v>No</v>
      </c>
      <c r="G511" s="21" t="inlineStr">
        <is>
          <t>S2-RT-015</t>
        </is>
      </c>
      <c r="H511" s="21" t="inlineStr">
        <is>
          <t>Duplicate</t>
        </is>
      </c>
      <c r="I511" s="21" t="inlineStr">
        <is>
          <t>TP</t>
        </is>
      </c>
      <c r="J511" s="21" t="inlineStr">
        <is>
          <t>L</t>
        </is>
      </c>
      <c r="K511" s="21" t="inlineStr">
        <is>
          <t>N</t>
        </is>
      </c>
      <c r="L511" s="21" t="inlineStr">
        <is>
          <t>Yes</t>
        </is>
      </c>
      <c r="M511" s="21" t="inlineStr">
        <is>
          <t>CHATGPT-S2-F001</t>
        </is>
      </c>
      <c r="N511" s="22" t="inlineStr">
        <is>
          <t>Mechanism class mass_disclosure; evidence: exposure of private documents [Equivalence: restates CHATGPT-S2-F001 — one-to-one rule applied.]</t>
        </is>
      </c>
      <c r="O511" s="5" t="inlineStr">
        <is>
          <t>mass_disclosure</t>
        </is>
      </c>
      <c r="P511" s="16" t="inlineStr">
        <is>
          <t>Broken File Access Control</t>
        </is>
      </c>
      <c r="Q511" s="16" t="inlineStr">
        <is>
          <t>EE1 → P1 → P2 → DS1</t>
        </is>
      </c>
      <c r="R511" s="16" t="inlineStr"/>
      <c r="S511" s="5" t="inlineStr">
        <is>
          <t>Manual review</t>
        </is>
      </c>
    </row>
    <row r="512" ht="16" customHeight="1">
      <c r="A512" s="5" t="inlineStr">
        <is>
          <t>CHATGPT-S2-F032</t>
        </is>
      </c>
      <c r="B512" s="5" t="inlineStr">
        <is>
          <t>CHATGPT</t>
        </is>
      </c>
      <c r="C512" s="5" t="inlineStr">
        <is>
          <t>S2</t>
        </is>
      </c>
      <c r="D512" s="21" t="str">
        <f>IFERROR(VLOOKUP($G512,'02_REFERENCE'!$A$2:$S$99,4,FALSE),"N/A")</f>
        <v>Elevation of Privilege</v>
      </c>
      <c r="E512" s="21" t="str">
        <f>IFERROR(VLOOKUP($G512,'02_REFERENCE'!$A$2:$S$99,15,FALSE),"N/A")</f>
        <v>Critical</v>
      </c>
      <c r="F512" s="21" t="str">
        <f>IFERROR(VLOOKUP($G512,'02_REFERENCE'!$A$2:$S$99,17,FALSE),"N/A")</f>
        <v>No</v>
      </c>
      <c r="G512" s="21" t="inlineStr">
        <is>
          <t>S2-RT-003</t>
        </is>
      </c>
      <c r="H512" s="21" t="inlineStr">
        <is>
          <t>Duplicate</t>
        </is>
      </c>
      <c r="I512" s="21" t="inlineStr">
        <is>
          <t>TP</t>
        </is>
      </c>
      <c r="J512" s="21" t="inlineStr">
        <is>
          <t>M</t>
        </is>
      </c>
      <c r="K512" s="21" t="inlineStr">
        <is>
          <t>N</t>
        </is>
      </c>
      <c r="L512" s="21" t="inlineStr">
        <is>
          <t>Yes</t>
        </is>
      </c>
      <c r="M512" s="21" t="inlineStr">
        <is>
          <t>CHATGPT-S2-F024</t>
        </is>
      </c>
      <c r="N512" s="22" t="inlineStr">
        <is>
          <t>Mechanism class access_bypass_logic; evidence: Authorization Bypass [Equivalence: restates CHATGPT-S2-F024 — one-to-one rule applied.]</t>
        </is>
      </c>
      <c r="O512" s="5" t="inlineStr">
        <is>
          <t>access_bypass_logic</t>
        </is>
      </c>
      <c r="P512" s="16" t="inlineStr">
        <is>
          <t>AI-Mediated Authorization Bypass</t>
        </is>
      </c>
      <c r="Q512" s="16" t="inlineStr">
        <is>
          <t>EE1 → P1 → P3/P4 → DS1</t>
        </is>
      </c>
      <c r="R512" s="16" t="inlineStr"/>
      <c r="S512" s="5" t="inlineStr">
        <is>
          <t>Confirmed</t>
        </is>
      </c>
    </row>
    <row r="513" ht="16" customHeight="1">
      <c r="A513" s="5" t="inlineStr">
        <is>
          <t>CHATGPT-S2-F033</t>
        </is>
      </c>
      <c r="B513" s="5" t="inlineStr">
        <is>
          <t>CHATGPT</t>
        </is>
      </c>
      <c r="C513" s="5" t="inlineStr">
        <is>
          <t>S2</t>
        </is>
      </c>
      <c r="D513" s="21" t="str">
        <f>IFERROR(VLOOKUP($G513,'02_REFERENCE'!$A$2:$S$99,4,FALSE),"N/A")</f>
        <v>Information Disclosure</v>
      </c>
      <c r="E513" s="21" t="str">
        <f>IFERROR(VLOOKUP($G513,'02_REFERENCE'!$A$2:$S$99,15,FALSE),"N/A")</f>
        <v>Medium</v>
      </c>
      <c r="F513" s="21" t="str">
        <f>IFERROR(VLOOKUP($G513,'02_REFERENCE'!$A$2:$S$99,17,FALSE),"N/A")</f>
        <v>Yes</v>
      </c>
      <c r="G513" s="21" t="inlineStr">
        <is>
          <t>S2-RT-024</t>
        </is>
      </c>
      <c r="H513" s="21" t="inlineStr">
        <is>
          <t>Duplicate</t>
        </is>
      </c>
      <c r="I513" s="21" t="inlineStr">
        <is>
          <t>TP</t>
        </is>
      </c>
      <c r="J513" s="21" t="inlineStr">
        <is>
          <t>M</t>
        </is>
      </c>
      <c r="K513" s="21" t="inlineStr">
        <is>
          <t>N</t>
        </is>
      </c>
      <c r="L513" s="21" t="inlineStr">
        <is>
          <t>Yes</t>
        </is>
      </c>
      <c r="M513" s="21" t="inlineStr">
        <is>
          <t>CHATGPT-S2-F022</t>
        </is>
      </c>
      <c r="N513" s="22" t="inlineStr">
        <is>
          <t>Mechanism class system_prompt_extract; evidence: reveal system information," or instruction; instructions," "reveal [Equivalence: restates CHATGPT-S2-F022 — one-to-one rule applied.]</t>
        </is>
      </c>
      <c r="O513" s="5" t="inlineStr">
        <is>
          <t>system_prompt_extract</t>
        </is>
      </c>
      <c r="P513" s="16" t="inlineStr">
        <is>
          <t>Document-Based Prompt Injection</t>
        </is>
      </c>
      <c r="Q513" s="16" t="inlineStr">
        <is>
          <t>EE1 → P1 → P2 → DS1 → P3 → P4 → EE2</t>
        </is>
      </c>
      <c r="R513" s="16" t="inlineStr"/>
      <c r="S513" s="5" t="inlineStr">
        <is>
          <t>Confirmed</t>
        </is>
      </c>
    </row>
    <row r="514" ht="16" customHeight="1">
      <c r="A514" s="5" t="inlineStr">
        <is>
          <t>CHATGPT-S2-F034</t>
        </is>
      </c>
      <c r="B514" s="5" t="inlineStr">
        <is>
          <t>CHATGPT</t>
        </is>
      </c>
      <c r="C514" s="5" t="inlineStr">
        <is>
          <t>S2</t>
        </is>
      </c>
      <c r="D514" s="21" t="str">
        <f>IFERROR(VLOOKUP($G514,'02_REFERENCE'!$A$2:$S$99,4,FALSE),"N/A")</f>
        <v>Tampering</v>
      </c>
      <c r="E514" s="21" t="str">
        <f>IFERROR(VLOOKUP($G514,'02_REFERENCE'!$A$2:$S$99,15,FALSE),"N/A")</f>
        <v>High</v>
      </c>
      <c r="F514" s="21" t="str">
        <f>IFERROR(VLOOKUP($G514,'02_REFERENCE'!$A$2:$S$99,17,FALSE),"N/A")</f>
        <v>Yes</v>
      </c>
      <c r="G514" s="21" t="inlineStr">
        <is>
          <t>S2-RT-023</t>
        </is>
      </c>
      <c r="H514" s="21" t="inlineStr">
        <is>
          <t>Duplicate</t>
        </is>
      </c>
      <c r="I514" s="21" t="inlineStr">
        <is>
          <t>TP</t>
        </is>
      </c>
      <c r="J514" s="21" t="inlineStr">
        <is>
          <t>H</t>
        </is>
      </c>
      <c r="K514" s="21" t="inlineStr">
        <is>
          <t>N</t>
        </is>
      </c>
      <c r="L514" s="21" t="inlineStr">
        <is>
          <t>Yes</t>
        </is>
      </c>
      <c r="M514" s="21" t="inlineStr">
        <is>
          <t>CHATGPT-S2-F005</t>
        </is>
      </c>
      <c r="N514" s="22" t="inlineStr">
        <is>
          <t>Mechanism class prompt_injection_indirect; evidence: Indirect Prompt Injection; Injection via Document Content; Document Content A malicious instruction embed [Equivalence: restates CHATGPT-S2-F005 — one-to-one rule applied.]</t>
        </is>
      </c>
      <c r="O514" s="5" t="inlineStr">
        <is>
          <t>prompt_injection_indirect</t>
        </is>
      </c>
      <c r="P514" s="16" t="inlineStr">
        <is>
          <t>Indirect Prompt Injection via Document Content</t>
        </is>
      </c>
      <c r="Q514" s="16" t="inlineStr">
        <is>
          <t>DS1 → P3 → P4 → EE2</t>
        </is>
      </c>
      <c r="R514" s="16" t="inlineStr"/>
      <c r="S514" s="5" t="inlineStr">
        <is>
          <t>Confirmed</t>
        </is>
      </c>
    </row>
    <row r="515" ht="16" customHeight="1">
      <c r="A515" s="5" t="inlineStr">
        <is>
          <t>CHATGPT-S2-F035</t>
        </is>
      </c>
      <c r="B515" s="5" t="inlineStr">
        <is>
          <t>CHATGPT</t>
        </is>
      </c>
      <c r="C515" s="5" t="inlineStr">
        <is>
          <t>S2</t>
        </is>
      </c>
      <c r="D515" s="21" t="str">
        <f>IFERROR(VLOOKUP($G515,'02_REFERENCE'!$A$2:$S$99,4,FALSE),"N/A")</f>
        <v>Tampering</v>
      </c>
      <c r="E515" s="21" t="str">
        <f>IFERROR(VLOOKUP($G515,'02_REFERENCE'!$A$2:$S$99,15,FALSE),"N/A")</f>
        <v>Critical</v>
      </c>
      <c r="F515" s="21" t="str">
        <f>IFERROR(VLOOKUP($G515,'02_REFERENCE'!$A$2:$S$99,17,FALSE),"N/A")</f>
        <v>No</v>
      </c>
      <c r="G515" s="21" t="inlineStr">
        <is>
          <t>S2-RT-010</t>
        </is>
      </c>
      <c r="H515" s="21" t="inlineStr">
        <is>
          <t>Duplicate</t>
        </is>
      </c>
      <c r="I515" s="21" t="inlineStr">
        <is>
          <t>TP</t>
        </is>
      </c>
      <c r="J515" s="21" t="inlineStr">
        <is>
          <t>M</t>
        </is>
      </c>
      <c r="K515" s="21" t="inlineStr">
        <is>
          <t>N</t>
        </is>
      </c>
      <c r="L515" s="21" t="inlineStr">
        <is>
          <t>Yes</t>
        </is>
      </c>
      <c r="M515" s="21" t="inlineStr">
        <is>
          <t>CHATGPT-S2-F006</t>
        </is>
      </c>
      <c r="N515" s="22" t="inlineStr">
        <is>
          <t>Mechanism class malicious_upload; evidence: Malicious Document Payload An attacker upload [Equivalence: restates CHATGPT-S2-F006 — one-to-one rule applied.]</t>
        </is>
      </c>
      <c r="O515" s="5" t="inlineStr">
        <is>
          <t>malicious_upload</t>
        </is>
      </c>
      <c r="P515" s="16" t="inlineStr">
        <is>
          <t>Malicious Document Payload</t>
        </is>
      </c>
      <c r="Q515" s="16" t="inlineStr">
        <is>
          <t>EE1 → P1 → P2 → DS1</t>
        </is>
      </c>
      <c r="R515" s="16" t="inlineStr"/>
      <c r="S515" s="5" t="inlineStr">
        <is>
          <t>Confirmed</t>
        </is>
      </c>
    </row>
    <row r="516" ht="16" customHeight="1">
      <c r="A516" s="5" t="inlineStr">
        <is>
          <t>CHATGPT-S2-F036</t>
        </is>
      </c>
      <c r="B516" s="5" t="inlineStr">
        <is>
          <t>CHATGPT</t>
        </is>
      </c>
      <c r="C516" s="5" t="inlineStr">
        <is>
          <t>S2</t>
        </is>
      </c>
      <c r="D516" s="21" t="str">
        <f>IFERROR(VLOOKUP($G516,'02_REFERENCE'!$A$2:$S$99,4,FALSE),"N/A")</f>
        <v>N/A</v>
      </c>
      <c r="E516" s="21" t="str">
        <f>IFERROR(VLOOKUP($G516,'02_REFERENCE'!$A$2:$S$99,15,FALSE),"N/A")</f>
        <v>N/A</v>
      </c>
      <c r="F516" s="21" t="str">
        <f>IFERROR(VLOOKUP($G516,'02_REFERENCE'!$A$2:$S$99,17,FALSE),"N/A")</f>
        <v>N/A</v>
      </c>
      <c r="G516" s="21" t="inlineStr"/>
      <c r="H516" s="21" t="inlineStr">
        <is>
          <t>False Positive</t>
        </is>
      </c>
      <c r="I516" s="21" t="inlineStr">
        <is>
          <t>FP</t>
        </is>
      </c>
      <c r="J516" s="21" t="inlineStr">
        <is>
          <t>L</t>
        </is>
      </c>
      <c r="K516" s="21" t="inlineStr">
        <is>
          <t>N</t>
        </is>
      </c>
      <c r="L516" s="21" t="inlineStr">
        <is>
          <t>No</t>
        </is>
      </c>
      <c r="M516" s="21" t="inlineStr"/>
      <c r="N516" s="22" t="inlineStr">
        <is>
          <t>Template-class kb_disclosure (no reference threat): context. Sensitive document disclos</t>
        </is>
      </c>
      <c r="O516" s="5" t="inlineStr">
        <is>
          <t>kb_disclosure</t>
        </is>
      </c>
      <c r="P516" s="16" t="inlineStr">
        <is>
          <t>Context Authorization Failure</t>
        </is>
      </c>
      <c r="Q516" s="16" t="inlineStr">
        <is>
          <t>P2 → P3 → P4 → EE2</t>
        </is>
      </c>
      <c r="R516" s="16" t="inlineStr"/>
      <c r="S516" s="5" t="inlineStr">
        <is>
          <t>Manual review</t>
        </is>
      </c>
    </row>
    <row r="517" ht="16" customHeight="1">
      <c r="A517" s="5" t="inlineStr">
        <is>
          <t>CHATGPT-S2-F037</t>
        </is>
      </c>
      <c r="B517" s="5" t="inlineStr">
        <is>
          <t>CHATGPT</t>
        </is>
      </c>
      <c r="C517" s="5" t="inlineStr">
        <is>
          <t>S2</t>
        </is>
      </c>
      <c r="D517" s="21" t="str">
        <f>IFERROR(VLOOKUP($G517,'02_REFERENCE'!$A$2:$S$99,4,FALSE),"N/A")</f>
        <v>N/A</v>
      </c>
      <c r="E517" s="21" t="str">
        <f>IFERROR(VLOOKUP($G517,'02_REFERENCE'!$A$2:$S$99,15,FALSE),"N/A")</f>
        <v>N/A</v>
      </c>
      <c r="F517" s="21" t="str">
        <f>IFERROR(VLOOKUP($G517,'02_REFERENCE'!$A$2:$S$99,17,FALSE),"N/A")</f>
        <v>N/A</v>
      </c>
      <c r="G517" s="21" t="inlineStr"/>
      <c r="H517" s="21" t="inlineStr">
        <is>
          <t>False Positive</t>
        </is>
      </c>
      <c r="I517" s="21" t="inlineStr">
        <is>
          <t>FP</t>
        </is>
      </c>
      <c r="J517" s="21" t="inlineStr">
        <is>
          <t>H</t>
        </is>
      </c>
      <c r="K517" s="21" t="inlineStr">
        <is>
          <t>N</t>
        </is>
      </c>
      <c r="L517" s="21" t="inlineStr">
        <is>
          <t>No</t>
        </is>
      </c>
      <c r="M517" s="21" t="inlineStr"/>
      <c r="N517" s="22" t="inlineStr">
        <is>
          <t>Template-class kb_disclosure (no reference threat): Context Leak; Leakage Even when the supplied document context</t>
        </is>
      </c>
      <c r="O517" s="5" t="inlineStr">
        <is>
          <t>kb_disclosure</t>
        </is>
      </c>
      <c r="P517" s="16" t="inlineStr">
        <is>
          <t>Sensitive Context Leakage</t>
        </is>
      </c>
      <c r="Q517" s="16" t="inlineStr">
        <is>
          <t>P3 → P4 → EE2 → P4/P3 → EE1</t>
        </is>
      </c>
      <c r="R517" s="16" t="inlineStr"/>
      <c r="S517" s="5" t="inlineStr">
        <is>
          <t>Confirmed</t>
        </is>
      </c>
    </row>
    <row r="518" ht="16" customHeight="1">
      <c r="A518" s="5" t="inlineStr">
        <is>
          <t>CHATGPT-S2-F038</t>
        </is>
      </c>
      <c r="B518" s="5" t="inlineStr">
        <is>
          <t>CHATGPT</t>
        </is>
      </c>
      <c r="C518" s="5" t="inlineStr">
        <is>
          <t>S2</t>
        </is>
      </c>
      <c r="D518" s="21" t="str">
        <f>IFERROR(VLOOKUP($G518,'02_REFERENCE'!$A$2:$S$99,4,FALSE),"N/A")</f>
        <v>Information Disclosure</v>
      </c>
      <c r="E518" s="21" t="str">
        <f>IFERROR(VLOOKUP($G518,'02_REFERENCE'!$A$2:$S$99,15,FALSE),"N/A")</f>
        <v>Medium</v>
      </c>
      <c r="F518" s="21" t="str">
        <f>IFERROR(VLOOKUP($G518,'02_REFERENCE'!$A$2:$S$99,17,FALSE),"N/A")</f>
        <v>Yes</v>
      </c>
      <c r="G518" s="21" t="inlineStr">
        <is>
          <t>S2-RT-024</t>
        </is>
      </c>
      <c r="H518" s="21" t="inlineStr">
        <is>
          <t>Duplicate</t>
        </is>
      </c>
      <c r="I518" s="21" t="inlineStr">
        <is>
          <t>TP</t>
        </is>
      </c>
      <c r="J518" s="21" t="inlineStr">
        <is>
          <t>L</t>
        </is>
      </c>
      <c r="K518" s="21" t="inlineStr">
        <is>
          <t>N</t>
        </is>
      </c>
      <c r="L518" s="21" t="inlineStr">
        <is>
          <t>Yes</t>
        </is>
      </c>
      <c r="M518" s="21" t="inlineStr">
        <is>
          <t>CHATGPT-S2-F022</t>
        </is>
      </c>
      <c r="N518" s="22" t="inlineStr">
        <is>
          <t>Mechanism class system_prompt_extract; evidence: prompt and transmitted to EE2. Disclos [Equivalence: restates CHATGPT-S2-F022 — one-to-one rule applied.]</t>
        </is>
      </c>
      <c r="O518" s="5" t="inlineStr">
        <is>
          <t>system_prompt_extract</t>
        </is>
      </c>
      <c r="P518" s="16" t="inlineStr">
        <is>
          <t>Metadata Exposure</t>
        </is>
      </c>
      <c r="Q518" s="16" t="inlineStr">
        <is>
          <t>DS1 → P2/P3/P4 → EE2</t>
        </is>
      </c>
      <c r="R518" s="16" t="inlineStr"/>
      <c r="S518" s="5" t="inlineStr">
        <is>
          <t>Manual review</t>
        </is>
      </c>
    </row>
    <row r="519" ht="16" customHeight="1">
      <c r="A519" s="5" t="inlineStr">
        <is>
          <t>CHATGPT-S2-F039</t>
        </is>
      </c>
      <c r="B519" s="5" t="inlineStr">
        <is>
          <t>CHATGPT</t>
        </is>
      </c>
      <c r="C519" s="5" t="inlineStr">
        <is>
          <t>S2</t>
        </is>
      </c>
      <c r="D519" s="21" t="str">
        <f>IFERROR(VLOOKUP($G519,'02_REFERENCE'!$A$2:$S$99,4,FALSE),"N/A")</f>
        <v>N/A</v>
      </c>
      <c r="E519" s="21" t="str">
        <f>IFERROR(VLOOKUP($G519,'02_REFERENCE'!$A$2:$S$99,15,FALSE),"N/A")</f>
        <v>N/A</v>
      </c>
      <c r="F519" s="21" t="str">
        <f>IFERROR(VLOOKUP($G519,'02_REFERENCE'!$A$2:$S$99,17,FALSE),"N/A")</f>
        <v>N/A</v>
      </c>
      <c r="G519" s="21" t="inlineStr"/>
      <c r="H519" s="21" t="inlineStr">
        <is>
          <t>False Positive</t>
        </is>
      </c>
      <c r="I519" s="21" t="inlineStr">
        <is>
          <t>FP</t>
        </is>
      </c>
      <c r="J519" s="21" t="inlineStr">
        <is>
          <t>M</t>
        </is>
      </c>
      <c r="K519" s="21" t="inlineStr">
        <is>
          <t>N</t>
        </is>
      </c>
      <c r="L519" s="21" t="inlineStr">
        <is>
          <t>No</t>
        </is>
      </c>
      <c r="M519" s="21" t="inlineStr"/>
      <c r="N519" s="22" t="inlineStr">
        <is>
          <t>No reference threat corresponds to this finding's mechanism (scoring found no class with sufficient evidence).</t>
        </is>
      </c>
      <c r="O519" s="5" t="inlineStr"/>
      <c r="P519" s="16" t="inlineStr">
        <is>
          <t>Authorization Data Disclosure</t>
        </is>
      </c>
      <c r="Q519" s="16" t="inlineStr">
        <is>
          <t>P2 ↔ DS2</t>
        </is>
      </c>
      <c r="R519" s="16" t="inlineStr"/>
      <c r="S519" s="5" t="inlineStr">
        <is>
          <t>Confirmed</t>
        </is>
      </c>
    </row>
    <row r="520" ht="16" customHeight="1">
      <c r="A520" s="5" t="inlineStr">
        <is>
          <t>CHATGPT-S2-F040</t>
        </is>
      </c>
      <c r="B520" s="5" t="inlineStr">
        <is>
          <t>CHATGPT</t>
        </is>
      </c>
      <c r="C520" s="5" t="inlineStr">
        <is>
          <t>S2</t>
        </is>
      </c>
      <c r="D520" s="21" t="str">
        <f>IFERROR(VLOOKUP($G520,'02_REFERENCE'!$A$2:$S$99,4,FALSE),"N/A")</f>
        <v>N/A</v>
      </c>
      <c r="E520" s="21" t="str">
        <f>IFERROR(VLOOKUP($G520,'02_REFERENCE'!$A$2:$S$99,15,FALSE),"N/A")</f>
        <v>N/A</v>
      </c>
      <c r="F520" s="21" t="str">
        <f>IFERROR(VLOOKUP($G520,'02_REFERENCE'!$A$2:$S$99,17,FALSE),"N/A")</f>
        <v>N/A</v>
      </c>
      <c r="G520" s="21" t="inlineStr"/>
      <c r="H520" s="21" t="inlineStr">
        <is>
          <t>False Positive</t>
        </is>
      </c>
      <c r="I520" s="21" t="inlineStr">
        <is>
          <t>FP</t>
        </is>
      </c>
      <c r="J520" s="21" t="inlineStr">
        <is>
          <t>M</t>
        </is>
      </c>
      <c r="K520" s="21" t="inlineStr">
        <is>
          <t>N</t>
        </is>
      </c>
      <c r="L520" s="21" t="inlineStr">
        <is>
          <t>No</t>
        </is>
      </c>
      <c r="M520" s="21" t="inlineStr"/>
      <c r="N520" s="22" t="inlineStr">
        <is>
          <t>Template-class kb_disclosure (no reference threat): context, manipulate document interpretation, or induce discl; extract hidden context, manipulate document</t>
        </is>
      </c>
      <c r="O520" s="5" t="inlineStr">
        <is>
          <t>kb_disclosure</t>
        </is>
      </c>
      <c r="P520" s="16" t="inlineStr">
        <is>
          <t>Adversarial User Prompt</t>
        </is>
      </c>
      <c r="Q520" s="16" t="inlineStr">
        <is>
          <t>EE1 → P1 → P3 → P4 → EE2</t>
        </is>
      </c>
      <c r="R520" s="16" t="inlineStr"/>
      <c r="S520" s="5" t="inlineStr">
        <is>
          <t>Confirmed</t>
        </is>
      </c>
    </row>
    <row r="521" ht="16" customHeight="1">
      <c r="A521" s="5" t="inlineStr">
        <is>
          <t>CHATGPT-S2-F041</t>
        </is>
      </c>
      <c r="B521" s="5" t="inlineStr">
        <is>
          <t>CHATGPT</t>
        </is>
      </c>
      <c r="C521" s="5" t="inlineStr">
        <is>
          <t>S2</t>
        </is>
      </c>
      <c r="D521" s="21" t="str">
        <f>IFERROR(VLOOKUP($G521,'02_REFERENCE'!$A$2:$S$99,4,FALSE),"N/A")</f>
        <v>Tampering</v>
      </c>
      <c r="E521" s="21" t="str">
        <f>IFERROR(VLOOKUP($G521,'02_REFERENCE'!$A$2:$S$99,15,FALSE),"N/A")</f>
        <v>Medium</v>
      </c>
      <c r="F521" s="21" t="str">
        <f>IFERROR(VLOOKUP($G521,'02_REFERENCE'!$A$2:$S$99,17,FALSE),"N/A")</f>
        <v>Yes</v>
      </c>
      <c r="G521" s="21" t="inlineStr">
        <is>
          <t>S2-RT-027</t>
        </is>
      </c>
      <c r="H521" s="21" t="inlineStr">
        <is>
          <t>Duplicate</t>
        </is>
      </c>
      <c r="I521" s="21" t="inlineStr">
        <is>
          <t>TP</t>
        </is>
      </c>
      <c r="J521" s="21" t="inlineStr">
        <is>
          <t>L</t>
        </is>
      </c>
      <c r="K521" s="21" t="inlineStr">
        <is>
          <t>N</t>
        </is>
      </c>
      <c r="L521" s="21" t="inlineStr">
        <is>
          <t>Yes</t>
        </is>
      </c>
      <c r="M521" s="21" t="inlineStr">
        <is>
          <t>CHATGPT-S2-F016</t>
        </is>
      </c>
      <c r="N521" s="22" t="inlineStr">
        <is>
          <t>Mechanism class hallucination; evidence: hallucinat [Equivalence: restates CHATGPT-S2-F016 — one-to-one rule applied.]</t>
        </is>
      </c>
      <c r="O521" s="5" t="inlineStr">
        <is>
          <t>hallucination</t>
        </is>
      </c>
      <c r="P521" s="16" t="inlineStr">
        <is>
          <t>Untrusted LLM Output</t>
        </is>
      </c>
      <c r="Q521" s="16" t="inlineStr">
        <is>
          <t>EE2 → P4 → P3 → P1 → EE1</t>
        </is>
      </c>
      <c r="R521" s="16" t="inlineStr"/>
      <c r="S521" s="5" t="inlineStr">
        <is>
          <t>Manual review</t>
        </is>
      </c>
    </row>
    <row r="522" ht="16" customHeight="1">
      <c r="A522" s="5" t="inlineStr">
        <is>
          <t>CHATGPT-S2-F042</t>
        </is>
      </c>
      <c r="B522" s="5" t="inlineStr">
        <is>
          <t>CHATGPT</t>
        </is>
      </c>
      <c r="C522" s="5" t="inlineStr">
        <is>
          <t>S2</t>
        </is>
      </c>
      <c r="D522" s="21" t="str">
        <f>IFERROR(VLOOKUP($G522,'02_REFERENCE'!$A$2:$S$99,4,FALSE),"N/A")</f>
        <v>N/A</v>
      </c>
      <c r="E522" s="21" t="str">
        <f>IFERROR(VLOOKUP($G522,'02_REFERENCE'!$A$2:$S$99,15,FALSE),"N/A")</f>
        <v>N/A</v>
      </c>
      <c r="F522" s="21" t="str">
        <f>IFERROR(VLOOKUP($G522,'02_REFERENCE'!$A$2:$S$99,17,FALSE),"N/A")</f>
        <v>N/A</v>
      </c>
      <c r="G522" s="21" t="inlineStr"/>
      <c r="H522" s="21" t="inlineStr">
        <is>
          <t>False Positive</t>
        </is>
      </c>
      <c r="I522" s="21" t="inlineStr">
        <is>
          <t>FP</t>
        </is>
      </c>
      <c r="J522" s="21" t="inlineStr">
        <is>
          <t>M</t>
        </is>
      </c>
      <c r="K522" s="21" t="inlineStr">
        <is>
          <t>N</t>
        </is>
      </c>
      <c r="L522" s="21" t="inlineStr">
        <is>
          <t>No</t>
        </is>
      </c>
      <c r="M522" s="21" t="inlineStr"/>
      <c r="N522" s="22" t="inlineStr">
        <is>
          <t>No reference threat corresponds to this finding's mechanism (scoring found no class with sufficient evidence).</t>
        </is>
      </c>
      <c r="O522" s="5" t="inlineStr"/>
      <c r="P522" s="16" t="inlineStr">
        <is>
          <t>Fabricated Document Content</t>
        </is>
      </c>
      <c r="Q522" s="16" t="inlineStr">
        <is>
          <t>P3/P4 → EE1</t>
        </is>
      </c>
      <c r="R522" s="16" t="inlineStr"/>
      <c r="S522" s="5" t="inlineStr">
        <is>
          <t>Confirmed</t>
        </is>
      </c>
    </row>
    <row r="523" ht="16" customHeight="1">
      <c r="A523" s="5" t="inlineStr">
        <is>
          <t>CHATGPT-S2-F043</t>
        </is>
      </c>
      <c r="B523" s="5" t="inlineStr">
        <is>
          <t>CHATGPT</t>
        </is>
      </c>
      <c r="C523" s="5" t="inlineStr">
        <is>
          <t>S2</t>
        </is>
      </c>
      <c r="D523" s="21" t="str">
        <f>IFERROR(VLOOKUP($G523,'02_REFERENCE'!$A$2:$S$99,4,FALSE),"N/A")</f>
        <v>Spoofing</v>
      </c>
      <c r="E523" s="21" t="str">
        <f>IFERROR(VLOOKUP($G523,'02_REFERENCE'!$A$2:$S$99,15,FALSE),"N/A")</f>
        <v>High</v>
      </c>
      <c r="F523" s="21" t="str">
        <f>IFERROR(VLOOKUP($G523,'02_REFERENCE'!$A$2:$S$99,17,FALSE),"N/A")</f>
        <v>Yes</v>
      </c>
      <c r="G523" s="21" t="inlineStr">
        <is>
          <t>S2-RT-030</t>
        </is>
      </c>
      <c r="H523" s="21" t="inlineStr">
        <is>
          <t>Primary TP</t>
        </is>
      </c>
      <c r="I523" s="21" t="inlineStr">
        <is>
          <t>TP</t>
        </is>
      </c>
      <c r="J523" s="21" t="inlineStr">
        <is>
          <t>M</t>
        </is>
      </c>
      <c r="K523" s="21" t="inlineStr">
        <is>
          <t>Y</t>
        </is>
      </c>
      <c r="L523" s="21" t="inlineStr">
        <is>
          <t>No</t>
        </is>
      </c>
      <c r="M523" s="21" t="inlineStr"/>
      <c r="N523" s="22" t="inlineStr">
        <is>
          <t>Mechanism class model_substitution; evidence: compromise of the entire file authorization model; compromise of the entire file authorization model</t>
        </is>
      </c>
      <c r="O523" s="5" t="inlineStr">
        <is>
          <t>model_substitution</t>
        </is>
      </c>
      <c r="P523" s="16" t="inlineStr">
        <is>
          <t>Excessive AI Authority</t>
        </is>
      </c>
      <c r="Q523" s="16" t="inlineStr">
        <is>
          <t>P3/P4 ↔ P2/DS1</t>
        </is>
      </c>
      <c r="R523" s="16" t="inlineStr"/>
      <c r="S523" s="5" t="inlineStr">
        <is>
          <t>Confirmed</t>
        </is>
      </c>
    </row>
    <row r="524" ht="16" customHeight="1">
      <c r="A524" s="5" t="inlineStr">
        <is>
          <t>CHATGPT-S2-F044</t>
        </is>
      </c>
      <c r="B524" s="5" t="inlineStr">
        <is>
          <t>CHATGPT</t>
        </is>
      </c>
      <c r="C524" s="5" t="inlineStr">
        <is>
          <t>S2</t>
        </is>
      </c>
      <c r="D524" s="21" t="str">
        <f>IFERROR(VLOOKUP($G524,'02_REFERENCE'!$A$2:$S$99,4,FALSE),"N/A")</f>
        <v>Elevation of Privilege</v>
      </c>
      <c r="E524" s="21" t="str">
        <f>IFERROR(VLOOKUP($G524,'02_REFERENCE'!$A$2:$S$99,15,FALSE),"N/A")</f>
        <v>Critical</v>
      </c>
      <c r="F524" s="21" t="str">
        <f>IFERROR(VLOOKUP($G524,'02_REFERENCE'!$A$2:$S$99,17,FALSE),"N/A")</f>
        <v>No</v>
      </c>
      <c r="G524" s="21" t="inlineStr">
        <is>
          <t>S2-RT-004</t>
        </is>
      </c>
      <c r="H524" s="21" t="inlineStr">
        <is>
          <t>Primary TP</t>
        </is>
      </c>
      <c r="I524" s="21" t="inlineStr">
        <is>
          <t>TP</t>
        </is>
      </c>
      <c r="J524" s="21" t="inlineStr">
        <is>
          <t>H</t>
        </is>
      </c>
      <c r="K524" s="21" t="inlineStr">
        <is>
          <t>Y</t>
        </is>
      </c>
      <c r="L524" s="21" t="inlineStr">
        <is>
          <t>No</t>
        </is>
      </c>
      <c r="M524" s="21" t="inlineStr"/>
      <c r="N524" s="22" t="inlineStr">
        <is>
          <t>Mechanism class idor; evidence: access to another user; Unauthorized access to another</t>
        </is>
      </c>
      <c r="O524" s="5" t="inlineStr">
        <is>
          <t>idor</t>
        </is>
      </c>
      <c r="P524" s="16" t="inlineStr">
        <is>
          <t>Metadata-Based Authorization Bypass</t>
        </is>
      </c>
      <c r="Q524" s="16" t="inlineStr">
        <is>
          <t>EE1 → P1 → P2 → DS2</t>
        </is>
      </c>
      <c r="R524" s="16" t="inlineStr"/>
      <c r="S524" s="5" t="inlineStr">
        <is>
          <t>Confirmed</t>
        </is>
      </c>
    </row>
    <row r="525" ht="16" customHeight="1">
      <c r="A525" s="5" t="inlineStr">
        <is>
          <t>CHATGPT-S2-F045</t>
        </is>
      </c>
      <c r="B525" s="5" t="inlineStr">
        <is>
          <t>CHATGPT</t>
        </is>
      </c>
      <c r="C525" s="5" t="inlineStr">
        <is>
          <t>S2</t>
        </is>
      </c>
      <c r="D525" s="21" t="str">
        <f>IFERROR(VLOOKUP($G525,'02_REFERENCE'!$A$2:$S$99,4,FALSE),"N/A")</f>
        <v>Information Disclosure</v>
      </c>
      <c r="E525" s="21" t="str">
        <f>IFERROR(VLOOKUP($G525,'02_REFERENCE'!$A$2:$S$99,15,FALSE),"N/A")</f>
        <v>Medium</v>
      </c>
      <c r="F525" s="21" t="str">
        <f>IFERROR(VLOOKUP($G525,'02_REFERENCE'!$A$2:$S$99,17,FALSE),"N/A")</f>
        <v>No</v>
      </c>
      <c r="G525" s="21" t="inlineStr">
        <is>
          <t>S2-RT-016</t>
        </is>
      </c>
      <c r="H525" s="21" t="inlineStr">
        <is>
          <t>Primary TP</t>
        </is>
      </c>
      <c r="I525" s="21" t="inlineStr">
        <is>
          <t>TP</t>
        </is>
      </c>
      <c r="J525" s="21" t="inlineStr">
        <is>
          <t>M</t>
        </is>
      </c>
      <c r="K525" s="21" t="inlineStr">
        <is>
          <t>Y</t>
        </is>
      </c>
      <c r="L525" s="21" t="inlineStr">
        <is>
          <t>No</t>
        </is>
      </c>
      <c r="M525" s="21" t="inlineStr"/>
      <c r="N525" s="22" t="inlineStr">
        <is>
          <t>Mechanism class enumeration; evidence: Enumeration</t>
        </is>
      </c>
      <c r="O525" s="5" t="inlineStr">
        <is>
          <t>enumeration</t>
        </is>
      </c>
      <c r="P525" s="16" t="inlineStr">
        <is>
          <t>File Reference Enumeration</t>
        </is>
      </c>
      <c r="Q525" s="16" t="inlineStr">
        <is>
          <t>EE1 → P1 → P2 → DS1</t>
        </is>
      </c>
      <c r="R525" s="16" t="inlineStr"/>
      <c r="S525" s="5" t="inlineStr">
        <is>
          <t>Confirmed</t>
        </is>
      </c>
    </row>
    <row r="526" ht="16" customHeight="1">
      <c r="A526" s="5" t="inlineStr">
        <is>
          <t>CHATGPT-S2-F046</t>
        </is>
      </c>
      <c r="B526" s="5" t="inlineStr">
        <is>
          <t>CHATGPT</t>
        </is>
      </c>
      <c r="C526" s="5" t="inlineStr">
        <is>
          <t>S2</t>
        </is>
      </c>
      <c r="D526" s="21" t="str">
        <f>IFERROR(VLOOKUP($G526,'02_REFERENCE'!$A$2:$S$99,4,FALSE),"N/A")</f>
        <v>Tampering</v>
      </c>
      <c r="E526" s="21" t="str">
        <f>IFERROR(VLOOKUP($G526,'02_REFERENCE'!$A$2:$S$99,15,FALSE),"N/A")</f>
        <v>High</v>
      </c>
      <c r="F526" s="21" t="str">
        <f>IFERROR(VLOOKUP($G526,'02_REFERENCE'!$A$2:$S$99,17,FALSE),"N/A")</f>
        <v>No</v>
      </c>
      <c r="G526" s="21" t="inlineStr">
        <is>
          <t>S2-RT-013</t>
        </is>
      </c>
      <c r="H526" s="21" t="inlineStr">
        <is>
          <t>Primary TP</t>
        </is>
      </c>
      <c r="I526" s="21" t="inlineStr">
        <is>
          <t>TP</t>
        </is>
      </c>
      <c r="J526" s="21" t="inlineStr">
        <is>
          <t>L</t>
        </is>
      </c>
      <c r="K526" s="21" t="inlineStr">
        <is>
          <t>Y</t>
        </is>
      </c>
      <c r="L526" s="21" t="inlineStr">
        <is>
          <t>No</t>
        </is>
      </c>
      <c r="M526" s="21" t="inlineStr"/>
      <c r="N526" s="22" t="inlineStr">
        <is>
          <t>Mechanism class metadata_tamper; evidence: modify protected file metadata</t>
        </is>
      </c>
      <c r="O526" s="5" t="inlineStr">
        <is>
          <t>metadata_tamper</t>
        </is>
      </c>
      <c r="P526" s="16" t="inlineStr">
        <is>
          <t>Unauthorized File Modification</t>
        </is>
      </c>
      <c r="Q526" s="16" t="inlineStr">
        <is>
          <t>EE1 → P1 → P2 → DS1</t>
        </is>
      </c>
      <c r="R526" s="16" t="inlineStr"/>
      <c r="S526" s="5" t="inlineStr">
        <is>
          <t>Manual review</t>
        </is>
      </c>
    </row>
    <row r="527" ht="16" customHeight="1">
      <c r="A527" s="5" t="inlineStr">
        <is>
          <t>CHATGPT-S2-F047</t>
        </is>
      </c>
      <c r="B527" s="5" t="inlineStr">
        <is>
          <t>CHATGPT</t>
        </is>
      </c>
      <c r="C527" s="5" t="inlineStr">
        <is>
          <t>S2</t>
        </is>
      </c>
      <c r="D527" s="21" t="str">
        <f>IFERROR(VLOOKUP($G527,'02_REFERENCE'!$A$2:$S$99,4,FALSE),"N/A")</f>
        <v>Tampering</v>
      </c>
      <c r="E527" s="21" t="str">
        <f>IFERROR(VLOOKUP($G527,'02_REFERENCE'!$A$2:$S$99,15,FALSE),"N/A")</f>
        <v>High</v>
      </c>
      <c r="F527" s="21" t="str">
        <f>IFERROR(VLOOKUP($G527,'02_REFERENCE'!$A$2:$S$99,17,FALSE),"N/A")</f>
        <v>Yes</v>
      </c>
      <c r="G527" s="21" t="inlineStr">
        <is>
          <t>S2-RT-023</t>
        </is>
      </c>
      <c r="H527" s="21" t="inlineStr">
        <is>
          <t>Duplicate</t>
        </is>
      </c>
      <c r="I527" s="21" t="inlineStr">
        <is>
          <t>TP</t>
        </is>
      </c>
      <c r="J527" s="21" t="inlineStr">
        <is>
          <t>M</t>
        </is>
      </c>
      <c r="K527" s="21" t="inlineStr">
        <is>
          <t>N</t>
        </is>
      </c>
      <c r="L527" s="21" t="inlineStr">
        <is>
          <t>Yes</t>
        </is>
      </c>
      <c r="M527" s="21" t="inlineStr">
        <is>
          <t>CHATGPT-S2-F005</t>
        </is>
      </c>
      <c r="N527" s="22" t="inlineStr">
        <is>
          <t>Mechanism class prompt_injection_indirect; evidence: Context Poison [Equivalence: restates CHATGPT-S2-F005 — one-to-one rule applied.]</t>
        </is>
      </c>
      <c r="O527" s="5" t="inlineStr">
        <is>
          <t>prompt_injection_indirect</t>
        </is>
      </c>
      <c r="P527" s="16" t="inlineStr">
        <is>
          <t>Authorized-Context Poisoning</t>
        </is>
      </c>
      <c r="Q527" s="16" t="inlineStr">
        <is>
          <t>EE1 → P2 → DS1 → P3/P4</t>
        </is>
      </c>
      <c r="R527" s="16" t="inlineStr"/>
      <c r="S527" s="5" t="inlineStr">
        <is>
          <t>Confirmed</t>
        </is>
      </c>
    </row>
    <row r="528" ht="16" customHeight="1">
      <c r="A528" s="5" t="inlineStr">
        <is>
          <t>CHATGPT-S2-F048</t>
        </is>
      </c>
      <c r="B528" s="5" t="inlineStr">
        <is>
          <t>CHATGPT</t>
        </is>
      </c>
      <c r="C528" s="5" t="inlineStr">
        <is>
          <t>S2</t>
        </is>
      </c>
      <c r="D528" s="21" t="str">
        <f>IFERROR(VLOOKUP($G528,'02_REFERENCE'!$A$2:$S$99,4,FALSE),"N/A")</f>
        <v>Tampering</v>
      </c>
      <c r="E528" s="21" t="str">
        <f>IFERROR(VLOOKUP($G528,'02_REFERENCE'!$A$2:$S$99,15,FALSE),"N/A")</f>
        <v>High</v>
      </c>
      <c r="F528" s="21" t="str">
        <f>IFERROR(VLOOKUP($G528,'02_REFERENCE'!$A$2:$S$99,17,FALSE),"N/A")</f>
        <v>Yes</v>
      </c>
      <c r="G528" s="21" t="inlineStr">
        <is>
          <t>S2-RT-023</t>
        </is>
      </c>
      <c r="H528" s="21" t="inlineStr">
        <is>
          <t>Duplicate</t>
        </is>
      </c>
      <c r="I528" s="21" t="inlineStr">
        <is>
          <t>TP</t>
        </is>
      </c>
      <c r="J528" s="21" t="inlineStr">
        <is>
          <t>L</t>
        </is>
      </c>
      <c r="K528" s="21" t="inlineStr">
        <is>
          <t>N</t>
        </is>
      </c>
      <c r="L528" s="21" t="inlineStr">
        <is>
          <t>Yes</t>
        </is>
      </c>
      <c r="M528" s="21" t="inlineStr">
        <is>
          <t>CHATGPT-S2-F005</t>
        </is>
      </c>
      <c r="N528" s="22" t="inlineStr">
        <is>
          <t>Mechanism class prompt_injection_indirect; evidence: injection, context [Equivalence: restates CHATGPT-S2-F005 — one-to-one rule applied.]</t>
        </is>
      </c>
      <c r="O528" s="5" t="inlineStr">
        <is>
          <t>prompt_injection_indirect</t>
        </is>
      </c>
      <c r="P528" s="16" t="inlineStr">
        <is>
          <t>Insecure LLM Context Construction</t>
        </is>
      </c>
      <c r="Q528" s="16" t="inlineStr">
        <is>
          <t>P3 → P4 → EE2</t>
        </is>
      </c>
      <c r="R528" s="16" t="inlineStr"/>
      <c r="S528" s="5" t="inlineStr">
        <is>
          <t>Manual review</t>
        </is>
      </c>
    </row>
    <row r="529" ht="16" customHeight="1">
      <c r="A529" s="5" t="inlineStr">
        <is>
          <t>CHATGPT-S2-F049</t>
        </is>
      </c>
      <c r="B529" s="5" t="inlineStr">
        <is>
          <t>CHATGPT</t>
        </is>
      </c>
      <c r="C529" s="5" t="inlineStr">
        <is>
          <t>S2</t>
        </is>
      </c>
      <c r="D529" s="21" t="str">
        <f>IFERROR(VLOOKUP($G529,'02_REFERENCE'!$A$2:$S$99,4,FALSE),"N/A")</f>
        <v>Information Disclosure</v>
      </c>
      <c r="E529" s="21" t="str">
        <f>IFERROR(VLOOKUP($G529,'02_REFERENCE'!$A$2:$S$99,15,FALSE),"N/A")</f>
        <v>Medium</v>
      </c>
      <c r="F529" s="21" t="str">
        <f>IFERROR(VLOOKUP($G529,'02_REFERENCE'!$A$2:$S$99,17,FALSE),"N/A")</f>
        <v>Yes</v>
      </c>
      <c r="G529" s="21" t="inlineStr">
        <is>
          <t>S2-RT-019</t>
        </is>
      </c>
      <c r="H529" s="21" t="inlineStr">
        <is>
          <t>Primary TP</t>
        </is>
      </c>
      <c r="I529" s="21" t="inlineStr">
        <is>
          <t>TP</t>
        </is>
      </c>
      <c r="J529" s="21" t="inlineStr">
        <is>
          <t>M</t>
        </is>
      </c>
      <c r="K529" s="21" t="inlineStr">
        <is>
          <t>Y</t>
        </is>
      </c>
      <c r="L529" s="21" t="inlineStr">
        <is>
          <t>No</t>
        </is>
      </c>
      <c r="M529" s="21" t="inlineStr"/>
      <c r="N529" s="22" t="inlineStr">
        <is>
          <t>Mechanism class provider_retention; evidence: provider-side; retention, logging, or provider</t>
        </is>
      </c>
      <c r="O529" s="5" t="inlineStr">
        <is>
          <t>provider_retention</t>
        </is>
      </c>
      <c r="P529" s="16" t="inlineStr">
        <is>
          <t>External Provider Confidentiality Risk</t>
        </is>
      </c>
      <c r="Q529" s="16" t="inlineStr">
        <is>
          <t>P4 → EE2</t>
        </is>
      </c>
      <c r="R529" s="16" t="inlineStr"/>
      <c r="S529" s="5" t="inlineStr">
        <is>
          <t>Confirmed</t>
        </is>
      </c>
    </row>
    <row r="530" ht="16" customHeight="1">
      <c r="A530" s="5" t="inlineStr">
        <is>
          <t>CHATGPT-S2-F050</t>
        </is>
      </c>
      <c r="B530" s="5" t="inlineStr">
        <is>
          <t>CHATGPT</t>
        </is>
      </c>
      <c r="C530" s="5" t="inlineStr">
        <is>
          <t>S2</t>
        </is>
      </c>
      <c r="D530" s="21" t="str">
        <f>IFERROR(VLOOKUP($G530,'02_REFERENCE'!$A$2:$S$99,4,FALSE),"N/A")</f>
        <v>N/A</v>
      </c>
      <c r="E530" s="21" t="str">
        <f>IFERROR(VLOOKUP($G530,'02_REFERENCE'!$A$2:$S$99,15,FALSE),"N/A")</f>
        <v>N/A</v>
      </c>
      <c r="F530" s="21" t="str">
        <f>IFERROR(VLOOKUP($G530,'02_REFERENCE'!$A$2:$S$99,17,FALSE),"N/A")</f>
        <v>N/A</v>
      </c>
      <c r="G530" s="21" t="inlineStr"/>
      <c r="H530" s="21" t="inlineStr">
        <is>
          <t>False Positive</t>
        </is>
      </c>
      <c r="I530" s="21" t="inlineStr">
        <is>
          <t>FP</t>
        </is>
      </c>
      <c r="J530" s="21" t="inlineStr">
        <is>
          <t>M</t>
        </is>
      </c>
      <c r="K530" s="21" t="inlineStr">
        <is>
          <t>N</t>
        </is>
      </c>
      <c r="L530" s="21" t="inlineStr">
        <is>
          <t>No</t>
        </is>
      </c>
      <c r="M530" s="21" t="inlineStr"/>
      <c r="N530" s="22" t="inlineStr">
        <is>
          <t>No reference threat corresponds to this finding's mechanism (scoring found no class with sufficient evidence).</t>
        </is>
      </c>
      <c r="O530" s="5" t="inlineStr"/>
      <c r="P530" s="16" t="inlineStr">
        <is>
          <t>Compromised External LLM Provider</t>
        </is>
      </c>
      <c r="Q530" s="16" t="inlineStr">
        <is>
          <t>P4 ↔ EE2</t>
        </is>
      </c>
      <c r="R530" s="16" t="inlineStr"/>
      <c r="S530" s="5" t="inlineStr">
        <is>
          <t>Confirmed</t>
        </is>
      </c>
    </row>
    <row r="531" ht="16" customHeight="1">
      <c r="A531" s="5" t="inlineStr">
        <is>
          <t>CHATGPT-S2-F051</t>
        </is>
      </c>
      <c r="B531" s="5" t="inlineStr">
        <is>
          <t>CHATGPT</t>
        </is>
      </c>
      <c r="C531" s="5" t="inlineStr">
        <is>
          <t>S2</t>
        </is>
      </c>
      <c r="D531" s="21" t="str">
        <f>IFERROR(VLOOKUP($G531,'02_REFERENCE'!$A$2:$S$99,4,FALSE),"N/A")</f>
        <v>Denial of Service</v>
      </c>
      <c r="E531" s="21" t="str">
        <f>IFERROR(VLOOKUP($G531,'02_REFERENCE'!$A$2:$S$99,15,FALSE),"N/A")</f>
        <v>High</v>
      </c>
      <c r="F531" s="21" t="str">
        <f>IFERROR(VLOOKUP($G531,'02_REFERENCE'!$A$2:$S$99,17,FALSE),"N/A")</f>
        <v>No</v>
      </c>
      <c r="G531" s="21" t="inlineStr">
        <is>
          <t>S2-RT-031</t>
        </is>
      </c>
      <c r="H531" s="21" t="inlineStr">
        <is>
          <t>Primary TP</t>
        </is>
      </c>
      <c r="I531" s="21" t="inlineStr">
        <is>
          <t>TP</t>
        </is>
      </c>
      <c r="J531" s="21" t="inlineStr">
        <is>
          <t>H</t>
        </is>
      </c>
      <c r="K531" s="21" t="inlineStr">
        <is>
          <t>Y</t>
        </is>
      </c>
      <c r="L531" s="21" t="inlineStr">
        <is>
          <t>No</t>
        </is>
      </c>
      <c r="M531" s="21" t="inlineStr"/>
      <c r="N531" s="22" t="inlineStr">
        <is>
          <t>Mechanism class dos_service (victim-based DoS routing); evidence: Resource Exhaustion; Resource Exhaustion</t>
        </is>
      </c>
      <c r="O531" s="5" t="inlineStr">
        <is>
          <t>dos_service</t>
        </is>
      </c>
      <c r="P531" s="16" t="inlineStr">
        <is>
          <t>Resource Exhaustion via File Upload</t>
        </is>
      </c>
      <c r="Q531" s="16" t="inlineStr">
        <is>
          <t>EE1 → P1 → P2 → DS1</t>
        </is>
      </c>
      <c r="R531" s="16" t="inlineStr"/>
      <c r="S531" s="5" t="inlineStr">
        <is>
          <t>Confirmed</t>
        </is>
      </c>
    </row>
    <row r="532" ht="16" customHeight="1">
      <c r="A532" s="5" t="inlineStr">
        <is>
          <t>CHATGPT-S2-F052</t>
        </is>
      </c>
      <c r="B532" s="5" t="inlineStr">
        <is>
          <t>CHATGPT</t>
        </is>
      </c>
      <c r="C532" s="5" t="inlineStr">
        <is>
          <t>S2</t>
        </is>
      </c>
      <c r="D532" s="21" t="str">
        <f>IFERROR(VLOOKUP($G532,'02_REFERENCE'!$A$2:$S$99,4,FALSE),"N/A")</f>
        <v>Denial of Service</v>
      </c>
      <c r="E532" s="21" t="str">
        <f>IFERROR(VLOOKUP($G532,'02_REFERENCE'!$A$2:$S$99,15,FALSE),"N/A")</f>
        <v>Medium</v>
      </c>
      <c r="F532" s="21" t="str">
        <f>IFERROR(VLOOKUP($G532,'02_REFERENCE'!$A$2:$S$99,17,FALSE),"N/A")</f>
        <v>Yes</v>
      </c>
      <c r="G532" s="21" t="inlineStr">
        <is>
          <t>S2-RT-033</t>
        </is>
      </c>
      <c r="H532" s="21" t="inlineStr">
        <is>
          <t>Duplicate</t>
        </is>
      </c>
      <c r="I532" s="21" t="inlineStr">
        <is>
          <t>TP</t>
        </is>
      </c>
      <c r="J532" s="21" t="inlineStr">
        <is>
          <t>H</t>
        </is>
      </c>
      <c r="K532" s="21" t="inlineStr">
        <is>
          <t>N</t>
        </is>
      </c>
      <c r="L532" s="21" t="inlineStr">
        <is>
          <t>Yes</t>
        </is>
      </c>
      <c r="M532" s="21" t="inlineStr">
        <is>
          <t>CHATGPT-S2-F019</t>
        </is>
      </c>
      <c r="N532" s="22" t="inlineStr">
        <is>
          <t>Mechanism class dos_service (victim-based DoS routing); evidence: Resource Exhaustion; Resource Exhaustion [Equivalence: restates CHATGPT-S2-F019 — one-to-one rule applied.]</t>
        </is>
      </c>
      <c r="O532" s="5" t="inlineStr">
        <is>
          <t>dos_service</t>
        </is>
      </c>
      <c r="P532" s="16" t="inlineStr">
        <is>
          <t>LLM Resource Exhaustion</t>
        </is>
      </c>
      <c r="Q532" s="16" t="inlineStr">
        <is>
          <t>EE1 → P3 → P4 → EE2</t>
        </is>
      </c>
      <c r="R532" s="16" t="inlineStr"/>
      <c r="S532" s="5" t="inlineStr">
        <is>
          <t>Confirmed</t>
        </is>
      </c>
    </row>
    <row r="533" ht="16" customHeight="1">
      <c r="A533" s="5" t="inlineStr">
        <is>
          <t>CHATGPT-S2-F053</t>
        </is>
      </c>
      <c r="B533" s="5" t="inlineStr">
        <is>
          <t>CHATGPT</t>
        </is>
      </c>
      <c r="C533" s="5" t="inlineStr">
        <is>
          <t>S2</t>
        </is>
      </c>
      <c r="D533" s="21" t="str">
        <f>IFERROR(VLOOKUP($G533,'02_REFERENCE'!$A$2:$S$99,4,FALSE),"N/A")</f>
        <v>N/A</v>
      </c>
      <c r="E533" s="21" t="str">
        <f>IFERROR(VLOOKUP($G533,'02_REFERENCE'!$A$2:$S$99,15,FALSE),"N/A")</f>
        <v>N/A</v>
      </c>
      <c r="F533" s="21" t="str">
        <f>IFERROR(VLOOKUP($G533,'02_REFERENCE'!$A$2:$S$99,17,FALSE),"N/A")</f>
        <v>N/A</v>
      </c>
      <c r="G533" s="21" t="inlineStr"/>
      <c r="H533" s="21" t="inlineStr">
        <is>
          <t>False Positive</t>
        </is>
      </c>
      <c r="I533" s="21" t="inlineStr">
        <is>
          <t>FP</t>
        </is>
      </c>
      <c r="J533" s="21" t="inlineStr">
        <is>
          <t>M</t>
        </is>
      </c>
      <c r="K533" s="21" t="inlineStr">
        <is>
          <t>N</t>
        </is>
      </c>
      <c r="L533" s="21" t="inlineStr">
        <is>
          <t>No</t>
        </is>
      </c>
      <c r="M533" s="21" t="inlineStr"/>
      <c r="N533" s="22" t="inlineStr">
        <is>
          <t>No reference threat corresponds to this finding's mechanism (scoring found no class with sufficient evidence).</t>
        </is>
      </c>
      <c r="O533" s="5" t="inlineStr"/>
      <c r="P533" s="16" t="inlineStr">
        <is>
          <t>Incorrect Document Interpretation</t>
        </is>
      </c>
      <c r="Q533" s="16" t="inlineStr">
        <is>
          <t>DS1 → P3 → P4 → EE2 → P3 → EE1</t>
        </is>
      </c>
      <c r="R533" s="16" t="inlineStr"/>
      <c r="S533" s="5" t="inlineStr">
        <is>
          <t>Confirmed</t>
        </is>
      </c>
    </row>
    <row r="534" ht="16" customHeight="1">
      <c r="A534" s="5" t="inlineStr">
        <is>
          <t>CHATGPT-S2-F054</t>
        </is>
      </c>
      <c r="B534" s="5" t="inlineStr">
        <is>
          <t>CHATGPT</t>
        </is>
      </c>
      <c r="C534" s="5" t="inlineStr">
        <is>
          <t>S2</t>
        </is>
      </c>
      <c r="D534" s="21" t="str">
        <f>IFERROR(VLOOKUP($G534,'02_REFERENCE'!$A$2:$S$99,4,FALSE),"N/A")</f>
        <v>Information Disclosure</v>
      </c>
      <c r="E534" s="21" t="str">
        <f>IFERROR(VLOOKUP($G534,'02_REFERENCE'!$A$2:$S$99,15,FALSE),"N/A")</f>
        <v>Medium</v>
      </c>
      <c r="F534" s="21" t="str">
        <f>IFERROR(VLOOKUP($G534,'02_REFERENCE'!$A$2:$S$99,17,FALSE),"N/A")</f>
        <v>No</v>
      </c>
      <c r="G534" s="21" t="inlineStr">
        <is>
          <t>S2-RT-016</t>
        </is>
      </c>
      <c r="H534" s="21" t="inlineStr">
        <is>
          <t>Duplicate</t>
        </is>
      </c>
      <c r="I534" s="21" t="inlineStr">
        <is>
          <t>TP</t>
        </is>
      </c>
      <c r="J534" s="21" t="inlineStr">
        <is>
          <t>L</t>
        </is>
      </c>
      <c r="K534" s="21" t="inlineStr">
        <is>
          <t>N</t>
        </is>
      </c>
      <c r="L534" s="21" t="inlineStr">
        <is>
          <t>Yes</t>
        </is>
      </c>
      <c r="M534" s="21" t="inlineStr">
        <is>
          <t>CHATGPT-S2-F045</t>
        </is>
      </c>
      <c r="N534" s="22" t="inlineStr">
        <is>
          <t>Mechanism class enumeration; evidence: reveal whether a file exists [Equivalence: restates CHATGPT-S2-F045 — one-to-one rule applied.]</t>
        </is>
      </c>
      <c r="O534" s="5" t="inlineStr">
        <is>
          <t>enumeration</t>
        </is>
      </c>
      <c r="P534" s="16" t="inlineStr">
        <is>
          <t>Unauthorized Error-Based Disclosure</t>
        </is>
      </c>
      <c r="Q534" s="16" t="inlineStr">
        <is>
          <t>EE1 → P1 → P2 → DS1/DS2 → P1 → EE1</t>
        </is>
      </c>
      <c r="R534" s="16" t="inlineStr"/>
      <c r="S534" s="5" t="inlineStr">
        <is>
          <t>Manual review</t>
        </is>
      </c>
    </row>
    <row r="535" ht="16" customHeight="1">
      <c r="A535" s="5" t="inlineStr">
        <is>
          <t>CHATGPT-S2-F055</t>
        </is>
      </c>
      <c r="B535" s="5" t="inlineStr">
        <is>
          <t>CHATGPT</t>
        </is>
      </c>
      <c r="C535" s="5" t="inlineStr">
        <is>
          <t>S2</t>
        </is>
      </c>
      <c r="D535" s="21" t="str">
        <f>IFERROR(VLOOKUP($G535,'02_REFERENCE'!$A$2:$S$99,4,FALSE),"N/A")</f>
        <v>N/A</v>
      </c>
      <c r="E535" s="21" t="str">
        <f>IFERROR(VLOOKUP($G535,'02_REFERENCE'!$A$2:$S$99,15,FALSE),"N/A")</f>
        <v>N/A</v>
      </c>
      <c r="F535" s="21" t="str">
        <f>IFERROR(VLOOKUP($G535,'02_REFERENCE'!$A$2:$S$99,17,FALSE),"N/A")</f>
        <v>N/A</v>
      </c>
      <c r="G535" s="21" t="inlineStr"/>
      <c r="H535" s="21" t="inlineStr">
        <is>
          <t>False Positive</t>
        </is>
      </c>
      <c r="I535" s="21" t="inlineStr">
        <is>
          <t>FP</t>
        </is>
      </c>
      <c r="J535" s="21" t="inlineStr">
        <is>
          <t>M</t>
        </is>
      </c>
      <c r="K535" s="21" t="inlineStr">
        <is>
          <t>N</t>
        </is>
      </c>
      <c r="L535" s="21" t="inlineStr">
        <is>
          <t>No</t>
        </is>
      </c>
      <c r="M535" s="21" t="inlineStr"/>
      <c r="N535" s="22" t="inlineStr">
        <is>
          <t>Template-class kb_disclosure (no reference threat): Extraction From Authorized Context</t>
        </is>
      </c>
      <c r="O535" s="5" t="inlineStr">
        <is>
          <t>kb_disclosure</t>
        </is>
      </c>
      <c r="P535" s="16" t="inlineStr">
        <is>
          <t>Adversarial Extraction From Authorized Context</t>
        </is>
      </c>
      <c r="Q535" s="16" t="inlineStr">
        <is>
          <t>EE1 → P3 → P4 → EE2 → P3 → EE1</t>
        </is>
      </c>
      <c r="R535" s="16" t="inlineStr"/>
      <c r="S535" s="5" t="inlineStr">
        <is>
          <t>Confirmed</t>
        </is>
      </c>
    </row>
    <row r="536" ht="16" customHeight="1">
      <c r="A536" s="5" t="inlineStr">
        <is>
          <t>CHATGPT-S2-F056</t>
        </is>
      </c>
      <c r="B536" s="5" t="inlineStr">
        <is>
          <t>CHATGPT</t>
        </is>
      </c>
      <c r="C536" s="5" t="inlineStr">
        <is>
          <t>S2</t>
        </is>
      </c>
      <c r="D536" s="21" t="str">
        <f>IFERROR(VLOOKUP($G536,'02_REFERENCE'!$A$2:$S$99,4,FALSE),"N/A")</f>
        <v>Tampering</v>
      </c>
      <c r="E536" s="21" t="str">
        <f>IFERROR(VLOOKUP($G536,'02_REFERENCE'!$A$2:$S$99,15,FALSE),"N/A")</f>
        <v>High</v>
      </c>
      <c r="F536" s="21" t="str">
        <f>IFERROR(VLOOKUP($G536,'02_REFERENCE'!$A$2:$S$99,17,FALSE),"N/A")</f>
        <v>Yes</v>
      </c>
      <c r="G536" s="21" t="inlineStr">
        <is>
          <t>S2-RT-022</t>
        </is>
      </c>
      <c r="H536" s="21" t="inlineStr">
        <is>
          <t>Duplicate</t>
        </is>
      </c>
      <c r="I536" s="21" t="inlineStr">
        <is>
          <t>TP</t>
        </is>
      </c>
      <c r="J536" s="21" t="inlineStr">
        <is>
          <t>H</t>
        </is>
      </c>
      <c r="K536" s="21" t="inlineStr">
        <is>
          <t>N</t>
        </is>
      </c>
      <c r="L536" s="21" t="inlineStr">
        <is>
          <t>Yes</t>
        </is>
      </c>
      <c r="M536" s="21" t="inlineStr">
        <is>
          <t>CHATGPT-S2-F014</t>
        </is>
      </c>
      <c r="N536" s="22" t="inlineStr">
        <is>
          <t>Mechanism class prompt_injection_direct; evidence: prompt injection; prompt inject; prompt inject [Equivalence: restates CHATGPT-S2-F014 — one-to-one rule applied.]</t>
        </is>
      </c>
      <c r="O536" s="5" t="inlineStr">
        <is>
          <t>prompt_injection_direct</t>
        </is>
      </c>
      <c r="P536" s="16" t="inlineStr">
        <is>
          <t>Untrusted Client Input</t>
        </is>
      </c>
      <c r="Q536" s="16" t="inlineStr">
        <is>
          <t>EE1 → P1</t>
        </is>
      </c>
      <c r="R536" s="16" t="inlineStr"/>
      <c r="S536" s="5" t="inlineStr">
        <is>
          <t>Confirmed</t>
        </is>
      </c>
    </row>
    <row r="537" ht="16" customHeight="1">
      <c r="A537" s="5" t="inlineStr">
        <is>
          <t>CHATGPT-S2-F057</t>
        </is>
      </c>
      <c r="B537" s="5" t="inlineStr">
        <is>
          <t>CHATGPT</t>
        </is>
      </c>
      <c r="C537" s="5" t="inlineStr">
        <is>
          <t>S2</t>
        </is>
      </c>
      <c r="D537" s="21" t="str">
        <f>IFERROR(VLOOKUP($G537,'02_REFERENCE'!$A$2:$S$99,4,FALSE),"N/A")</f>
        <v>N/A</v>
      </c>
      <c r="E537" s="21" t="str">
        <f>IFERROR(VLOOKUP($G537,'02_REFERENCE'!$A$2:$S$99,15,FALSE),"N/A")</f>
        <v>N/A</v>
      </c>
      <c r="F537" s="21" t="str">
        <f>IFERROR(VLOOKUP($G537,'02_REFERENCE'!$A$2:$S$99,17,FALSE),"N/A")</f>
        <v>N/A</v>
      </c>
      <c r="G537" s="21" t="inlineStr"/>
      <c r="H537" s="21" t="inlineStr">
        <is>
          <t>False Positive</t>
        </is>
      </c>
      <c r="I537" s="21" t="inlineStr">
        <is>
          <t>FP</t>
        </is>
      </c>
      <c r="J537" s="21" t="inlineStr">
        <is>
          <t>M</t>
        </is>
      </c>
      <c r="K537" s="21" t="inlineStr">
        <is>
          <t>N</t>
        </is>
      </c>
      <c r="L537" s="21" t="inlineStr">
        <is>
          <t>No</t>
        </is>
      </c>
      <c r="M537" s="21" t="inlineStr"/>
      <c r="N537" s="22" t="inlineStr">
        <is>
          <t>No reference threat corresponds to this finding's mechanism (scoring found no class with sufficient evidence).</t>
        </is>
      </c>
      <c r="O537" s="5" t="inlineStr"/>
      <c r="P537" s="16" t="inlineStr">
        <is>
          <t>User Identity Spoofing</t>
        </is>
      </c>
      <c r="Q537" s="16" t="inlineStr">
        <is>
          <t>EE1 → P1 → P2 → DS2</t>
        </is>
      </c>
      <c r="R537" s="16" t="inlineStr"/>
      <c r="S537" s="5" t="inlineStr">
        <is>
          <t>Confirmed</t>
        </is>
      </c>
    </row>
    <row r="538" ht="16" customHeight="1">
      <c r="A538" s="5" t="inlineStr">
        <is>
          <t>CHATGPT-S2-F058</t>
        </is>
      </c>
      <c r="B538" s="5" t="inlineStr">
        <is>
          <t>CHATGPT</t>
        </is>
      </c>
      <c r="C538" s="5" t="inlineStr">
        <is>
          <t>S2</t>
        </is>
      </c>
      <c r="D538" s="21" t="str">
        <f>IFERROR(VLOOKUP($G538,'02_REFERENCE'!$A$2:$S$99,4,FALSE),"N/A")</f>
        <v>Tampering</v>
      </c>
      <c r="E538" s="21" t="str">
        <f>IFERROR(VLOOKUP($G538,'02_REFERENCE'!$A$2:$S$99,15,FALSE),"N/A")</f>
        <v>Critical</v>
      </c>
      <c r="F538" s="21" t="str">
        <f>IFERROR(VLOOKUP($G538,'02_REFERENCE'!$A$2:$S$99,17,FALSE),"N/A")</f>
        <v>No</v>
      </c>
      <c r="G538" s="21" t="inlineStr">
        <is>
          <t>S2-RT-010</t>
        </is>
      </c>
      <c r="H538" s="21" t="inlineStr">
        <is>
          <t>Duplicate</t>
        </is>
      </c>
      <c r="I538" s="21" t="inlineStr">
        <is>
          <t>TP</t>
        </is>
      </c>
      <c r="J538" s="21" t="inlineStr">
        <is>
          <t>L</t>
        </is>
      </c>
      <c r="K538" s="21" t="inlineStr">
        <is>
          <t>N</t>
        </is>
      </c>
      <c r="L538" s="21" t="inlineStr">
        <is>
          <t>Yes</t>
        </is>
      </c>
      <c r="M538" s="21" t="inlineStr">
        <is>
          <t>CHATGPT-S2-F006</t>
        </is>
      </c>
      <c r="N538" s="22" t="inlineStr">
        <is>
          <t>Mechanism class malicious_upload; evidence: malicious upload [Equivalence: restates CHATGPT-S2-F006 — one-to-one rule applied.]</t>
        </is>
      </c>
      <c r="O538" s="5" t="inlineStr">
        <is>
          <t>malicious_upload</t>
        </is>
      </c>
      <c r="P538" s="16" t="inlineStr">
        <is>
          <t>Untraceable File Access or Upload</t>
        </is>
      </c>
      <c r="Q538" s="16" t="inlineStr">
        <is>
          <t>EE1 → P1 → P2 → DS1/DS2</t>
        </is>
      </c>
      <c r="R538" s="16" t="inlineStr"/>
      <c r="S538" s="5" t="inlineStr">
        <is>
          <t>Manual review</t>
        </is>
      </c>
    </row>
    <row r="539" ht="16" customHeight="1">
      <c r="A539" s="5" t="inlineStr">
        <is>
          <t>CHATGPT-S2-F059</t>
        </is>
      </c>
      <c r="B539" s="5" t="inlineStr">
        <is>
          <t>CHATGPT</t>
        </is>
      </c>
      <c r="C539" s="5" t="inlineStr">
        <is>
          <t>S2</t>
        </is>
      </c>
      <c r="D539" s="21" t="str">
        <f>IFERROR(VLOOKUP($G539,'02_REFERENCE'!$A$2:$S$99,4,FALSE),"N/A")</f>
        <v>Tampering</v>
      </c>
      <c r="E539" s="21" t="str">
        <f>IFERROR(VLOOKUP($G539,'02_REFERENCE'!$A$2:$S$99,15,FALSE),"N/A")</f>
        <v>Critical</v>
      </c>
      <c r="F539" s="21" t="str">
        <f>IFERROR(VLOOKUP($G539,'02_REFERENCE'!$A$2:$S$99,17,FALSE),"N/A")</f>
        <v>No</v>
      </c>
      <c r="G539" s="21" t="inlineStr">
        <is>
          <t>S2-RT-034</t>
        </is>
      </c>
      <c r="H539" s="21" t="inlineStr">
        <is>
          <t>Primary TP</t>
        </is>
      </c>
      <c r="I539" s="21" t="inlineStr">
        <is>
          <t>TP</t>
        </is>
      </c>
      <c r="J539" s="21" t="inlineStr">
        <is>
          <t>H</t>
        </is>
      </c>
      <c r="K539" s="21" t="inlineStr">
        <is>
          <t>Y</t>
        </is>
      </c>
      <c r="L539" s="21" t="inlineStr">
        <is>
          <t>No</t>
        </is>
      </c>
      <c r="M539" s="21" t="inlineStr"/>
      <c r="N539" s="22" t="inlineStr">
        <is>
          <t>Mechanism class permission_tamper; evidence: Permission Database Manipulation If an attacker can modify; change ownership or permission</t>
        </is>
      </c>
      <c r="O539" s="5" t="inlineStr">
        <is>
          <t>permission_tamper</t>
        </is>
      </c>
      <c r="P539" s="16" t="inlineStr">
        <is>
          <t>Permission Database Manipulation</t>
        </is>
      </c>
      <c r="Q539" s="16" t="inlineStr">
        <is>
          <t>P2 ↔ DS2</t>
        </is>
      </c>
      <c r="R539" s="16" t="inlineStr"/>
      <c r="S539" s="5" t="inlineStr">
        <is>
          <t>Confirmed</t>
        </is>
      </c>
    </row>
    <row r="540" ht="16" customHeight="1">
      <c r="A540" s="5" t="inlineStr">
        <is>
          <t>CHATGPT-S2-F060</t>
        </is>
      </c>
      <c r="B540" s="5" t="inlineStr">
        <is>
          <t>CHATGPT</t>
        </is>
      </c>
      <c r="C540" s="5" t="inlineStr">
        <is>
          <t>S2</t>
        </is>
      </c>
      <c r="D540" s="21" t="str">
        <f>IFERROR(VLOOKUP($G540,'02_REFERENCE'!$A$2:$S$99,4,FALSE),"N/A")</f>
        <v>N/A</v>
      </c>
      <c r="E540" s="21" t="str">
        <f>IFERROR(VLOOKUP($G540,'02_REFERENCE'!$A$2:$S$99,15,FALSE),"N/A")</f>
        <v>N/A</v>
      </c>
      <c r="F540" s="21" t="str">
        <f>IFERROR(VLOOKUP($G540,'02_REFERENCE'!$A$2:$S$99,17,FALSE),"N/A")</f>
        <v>N/A</v>
      </c>
      <c r="G540" s="21" t="inlineStr"/>
      <c r="H540" s="21" t="inlineStr">
        <is>
          <t>False Positive</t>
        </is>
      </c>
      <c r="I540" s="21" t="inlineStr">
        <is>
          <t>FP</t>
        </is>
      </c>
      <c r="J540" s="21" t="inlineStr">
        <is>
          <t>H</t>
        </is>
      </c>
      <c r="K540" s="21" t="inlineStr">
        <is>
          <t>N</t>
        </is>
      </c>
      <c r="L540" s="21" t="inlineStr">
        <is>
          <t>No</t>
        </is>
      </c>
      <c r="M540" s="21" t="inlineStr"/>
      <c r="N540" s="22" t="inlineStr">
        <is>
          <t>Template-class kb_disclosure (no reference threat): Context Disclos; Disclosure P2 correctly authorizes a document</t>
        </is>
      </c>
      <c r="O540" s="5" t="inlineStr">
        <is>
          <t>kb_disclosure</t>
        </is>
      </c>
      <c r="P540" s="16" t="inlineStr">
        <is>
          <t>Excessive Context Disclosure</t>
        </is>
      </c>
      <c r="Q540" s="16" t="inlineStr">
        <is>
          <t>P2 → P3 → P4 → EE2</t>
        </is>
      </c>
      <c r="R540" s="16" t="inlineStr"/>
      <c r="S540" s="5" t="inlineStr">
        <is>
          <t>Confirmed</t>
        </is>
      </c>
    </row>
    <row r="541" ht="16" customHeight="1">
      <c r="A541" s="5" t="inlineStr">
        <is>
          <t>OLLAMA-S2-F001</t>
        </is>
      </c>
      <c r="B541" s="5" t="inlineStr">
        <is>
          <t>OLLAMA</t>
        </is>
      </c>
      <c r="C541" s="5" t="inlineStr">
        <is>
          <t>S2</t>
        </is>
      </c>
      <c r="D541" s="21" t="str">
        <f>IFERROR(VLOOKUP($G541,'02_REFERENCE'!$A$2:$S$99,4,FALSE),"N/A")</f>
        <v>N/A</v>
      </c>
      <c r="E541" s="21" t="str">
        <f>IFERROR(VLOOKUP($G541,'02_REFERENCE'!$A$2:$S$99,15,FALSE),"N/A")</f>
        <v>N/A</v>
      </c>
      <c r="F541" s="21" t="str">
        <f>IFERROR(VLOOKUP($G541,'02_REFERENCE'!$A$2:$S$99,17,FALSE),"N/A")</f>
        <v>N/A</v>
      </c>
      <c r="G541" s="21" t="inlineStr"/>
      <c r="H541" s="21" t="inlineStr">
        <is>
          <t>False Positive</t>
        </is>
      </c>
      <c r="I541" s="21" t="inlineStr">
        <is>
          <t>FP</t>
        </is>
      </c>
      <c r="J541" s="21" t="inlineStr">
        <is>
          <t>M</t>
        </is>
      </c>
      <c r="K541" s="21" t="inlineStr">
        <is>
          <t>N</t>
        </is>
      </c>
      <c r="L541" s="21" t="inlineStr">
        <is>
          <t>No</t>
        </is>
      </c>
      <c r="M541" s="21" t="inlineStr"/>
      <c r="N541" s="22" t="inlineStr">
        <is>
          <t>No reference threat corresponds to this finding's mechanism (scoring found no class with sufficient evidence).</t>
        </is>
      </c>
      <c r="O541" s="5" t="inlineStr"/>
      <c r="P541" s="16" t="inlineStr">
        <is>
          <t>Unauthorized Data Access</t>
        </is>
      </c>
      <c r="Q541" s="16" t="inlineStr">
        <is>
          <t>File Management Service (P2), Server Storage Repository (DS1)</t>
        </is>
      </c>
      <c r="R541" s="16" t="inlineStr"/>
      <c r="S541" s="5" t="inlineStr">
        <is>
          <t>Confirmed</t>
        </is>
      </c>
    </row>
    <row r="542" ht="16" customHeight="1">
      <c r="A542" s="5" t="inlineStr">
        <is>
          <t>OLLAMA-S2-F002</t>
        </is>
      </c>
      <c r="B542" s="5" t="inlineStr">
        <is>
          <t>OLLAMA</t>
        </is>
      </c>
      <c r="C542" s="5" t="inlineStr">
        <is>
          <t>S2</t>
        </is>
      </c>
      <c r="D542" s="21" t="str">
        <f>IFERROR(VLOOKUP($G542,'02_REFERENCE'!$A$2:$S$99,4,FALSE),"N/A")</f>
        <v>Tampering</v>
      </c>
      <c r="E542" s="21" t="str">
        <f>IFERROR(VLOOKUP($G542,'02_REFERENCE'!$A$2:$S$99,15,FALSE),"N/A")</f>
        <v>High</v>
      </c>
      <c r="F542" s="21" t="str">
        <f>IFERROR(VLOOKUP($G542,'02_REFERENCE'!$A$2:$S$99,17,FALSE),"N/A")</f>
        <v>No</v>
      </c>
      <c r="G542" s="21" t="inlineStr">
        <is>
          <t>S2-RT-013</t>
        </is>
      </c>
      <c r="H542" s="21" t="inlineStr">
        <is>
          <t>Primary TP</t>
        </is>
      </c>
      <c r="I542" s="21" t="inlineStr">
        <is>
          <t>TP</t>
        </is>
      </c>
      <c r="J542" s="21" t="inlineStr">
        <is>
          <t>L</t>
        </is>
      </c>
      <c r="K542" s="21" t="inlineStr">
        <is>
          <t>Y</t>
        </is>
      </c>
      <c r="L542" s="21" t="inlineStr">
        <is>
          <t>No</t>
        </is>
      </c>
      <c r="M542" s="21" t="inlineStr"/>
      <c r="N542" s="22" t="inlineStr">
        <is>
          <t>Mechanism class metadata_tamper; evidence: Tampering An attacker modifies file contents or metadata</t>
        </is>
      </c>
      <c r="O542" s="5" t="inlineStr">
        <is>
          <t>metadata_tamper</t>
        </is>
      </c>
      <c r="P542" s="16" t="inlineStr">
        <is>
          <t>Data Tampering</t>
        </is>
      </c>
      <c r="Q542" s="16" t="inlineStr">
        <is>
          <t>Server Storage Repository (DS1)</t>
        </is>
      </c>
      <c r="R542" s="16" t="inlineStr"/>
      <c r="S542" s="5" t="inlineStr">
        <is>
          <t>Manual review</t>
        </is>
      </c>
    </row>
    <row r="543" ht="16" customHeight="1">
      <c r="A543" s="5" t="inlineStr">
        <is>
          <t>OLLAMA-S2-F003</t>
        </is>
      </c>
      <c r="B543" s="5" t="inlineStr">
        <is>
          <t>OLLAMA</t>
        </is>
      </c>
      <c r="C543" s="5" t="inlineStr">
        <is>
          <t>S2</t>
        </is>
      </c>
      <c r="D543" s="21" t="str">
        <f>IFERROR(VLOOKUP($G543,'02_REFERENCE'!$A$2:$S$99,4,FALSE),"N/A")</f>
        <v>Spoofing</v>
      </c>
      <c r="E543" s="21" t="str">
        <f>IFERROR(VLOOKUP($G543,'02_REFERENCE'!$A$2:$S$99,15,FALSE),"N/A")</f>
        <v>High</v>
      </c>
      <c r="F543" s="21" t="str">
        <f>IFERROR(VLOOKUP($G543,'02_REFERENCE'!$A$2:$S$99,17,FALSE),"N/A")</f>
        <v>Yes</v>
      </c>
      <c r="G543" s="21" t="inlineStr">
        <is>
          <t>S2-RT-030</t>
        </is>
      </c>
      <c r="H543" s="21" t="inlineStr">
        <is>
          <t>Duplicate</t>
        </is>
      </c>
      <c r="I543" s="21" t="inlineStr">
        <is>
          <t>TP</t>
        </is>
      </c>
      <c r="J543" s="21" t="inlineStr">
        <is>
          <t>M</t>
        </is>
      </c>
      <c r="K543" s="21" t="inlineStr">
        <is>
          <t>N</t>
        </is>
      </c>
      <c r="L543" s="21" t="inlineStr">
        <is>
          <t>Yes</t>
        </is>
      </c>
      <c r="M543" s="21" t="inlineStr">
        <is>
          <t>OLLAMA-S2-F004</t>
        </is>
      </c>
      <c r="N543" s="22" t="inlineStr">
        <is>
          <t>Mechanism class model_substitution; evidence: compromised. AI File Assistant (P3), LLM; compromised. AI File Assistant (P3), LLM [Equivalence: restates OLLAMA-S2-F004 — one-to-one rule applied.]</t>
        </is>
      </c>
      <c r="O543" s="5" t="inlineStr">
        <is>
          <t>model_substitution</t>
        </is>
      </c>
      <c r="P543" s="16" t="inlineStr">
        <is>
          <t>Elevation of Privilege</t>
        </is>
      </c>
      <c r="Q543" s="16" t="inlineStr">
        <is>
          <t>AI File Assistant (P3), LLM Integration Service (P4)</t>
        </is>
      </c>
      <c r="R543" s="16" t="inlineStr"/>
      <c r="S543" s="5" t="inlineStr">
        <is>
          <t>Confirmed</t>
        </is>
      </c>
    </row>
    <row r="544" ht="16" customHeight="1">
      <c r="A544" s="5" t="inlineStr">
        <is>
          <t>OLLAMA-S2-F004</t>
        </is>
      </c>
      <c r="B544" s="5" t="inlineStr">
        <is>
          <t>OLLAMA</t>
        </is>
      </c>
      <c r="C544" s="5" t="inlineStr">
        <is>
          <t>S2</t>
        </is>
      </c>
      <c r="D544" s="21" t="str">
        <f>IFERROR(VLOOKUP($G544,'02_REFERENCE'!$A$2:$S$99,4,FALSE),"N/A")</f>
        <v>Spoofing</v>
      </c>
      <c r="E544" s="21" t="str">
        <f>IFERROR(VLOOKUP($G544,'02_REFERENCE'!$A$2:$S$99,15,FALSE),"N/A")</f>
        <v>High</v>
      </c>
      <c r="F544" s="21" t="str">
        <f>IFERROR(VLOOKUP($G544,'02_REFERENCE'!$A$2:$S$99,17,FALSE),"N/A")</f>
        <v>Yes</v>
      </c>
      <c r="G544" s="21" t="inlineStr">
        <is>
          <t>S2-RT-030</t>
        </is>
      </c>
      <c r="H544" s="21" t="inlineStr">
        <is>
          <t>Primary TP</t>
        </is>
      </c>
      <c r="I544" s="21" t="inlineStr">
        <is>
          <t>TP</t>
        </is>
      </c>
      <c r="J544" s="21" t="inlineStr">
        <is>
          <t>H</t>
        </is>
      </c>
      <c r="K544" s="21" t="inlineStr">
        <is>
          <t>Y</t>
        </is>
      </c>
      <c r="L544" s="21" t="inlineStr">
        <is>
          <t>No</t>
        </is>
      </c>
      <c r="M544" s="21" t="inlineStr"/>
      <c r="N544" s="22" t="inlineStr">
        <is>
          <t>Mechanism class model_substitution; evidence: compromising its accuracy or behavior. Integrity of LLM; LLM model, compromis; compromising its accuracy or behavior. Integrity of LLM</t>
        </is>
      </c>
      <c r="O544" s="5" t="inlineStr">
        <is>
          <t>model_substitution</t>
        </is>
      </c>
      <c r="P544" s="16" t="inlineStr">
        <is>
          <t>LLM Model Poisoning</t>
        </is>
      </c>
      <c r="Q544" s="16" t="inlineStr">
        <is>
          <t>External Entity EE2 (External LLM Provider)</t>
        </is>
      </c>
      <c r="R544" s="16" t="inlineStr"/>
      <c r="S544" s="5" t="inlineStr">
        <is>
          <t>Confirmed</t>
        </is>
      </c>
    </row>
    <row r="545" ht="16" customHeight="1">
      <c r="A545" s="5" t="inlineStr">
        <is>
          <t>OLLAMA-S2-F005</t>
        </is>
      </c>
      <c r="B545" s="5" t="inlineStr">
        <is>
          <t>OLLAMA</t>
        </is>
      </c>
      <c r="C545" s="5" t="inlineStr">
        <is>
          <t>S2</t>
        </is>
      </c>
      <c r="D545" s="21" t="str">
        <f>IFERROR(VLOOKUP($G545,'02_REFERENCE'!$A$2:$S$99,4,FALSE),"N/A")</f>
        <v>N/A</v>
      </c>
      <c r="E545" s="21" t="str">
        <f>IFERROR(VLOOKUP($G545,'02_REFERENCE'!$A$2:$S$99,15,FALSE),"N/A")</f>
        <v>N/A</v>
      </c>
      <c r="F545" s="21" t="str">
        <f>IFERROR(VLOOKUP($G545,'02_REFERENCE'!$A$2:$S$99,17,FALSE),"N/A")</f>
        <v>N/A</v>
      </c>
      <c r="G545" s="21" t="inlineStr"/>
      <c r="H545" s="21" t="inlineStr">
        <is>
          <t>False Positive</t>
        </is>
      </c>
      <c r="I545" s="21" t="inlineStr">
        <is>
          <t>FP</t>
        </is>
      </c>
      <c r="J545" s="21" t="inlineStr">
        <is>
          <t>M</t>
        </is>
      </c>
      <c r="K545" s="21" t="inlineStr">
        <is>
          <t>N</t>
        </is>
      </c>
      <c r="L545" s="21" t="inlineStr">
        <is>
          <t>No</t>
        </is>
      </c>
      <c r="M545" s="21" t="inlineStr"/>
      <c r="N545" s="22" t="inlineStr">
        <is>
          <t>No reference threat corresponds to this finding's mechanism (scoring found no class with sufficient evidence).</t>
        </is>
      </c>
      <c r="O545" s="5" t="inlineStr"/>
      <c r="P545" s="16" t="inlineStr">
        <is>
          <t>Insecure Data Processing</t>
        </is>
      </c>
      <c r="Q545" s="16" t="inlineStr">
        <is>
          <t>AI File Assistant (P3), Server Storage Repository (DS1)</t>
        </is>
      </c>
      <c r="R545" s="16" t="inlineStr"/>
      <c r="S545" s="5" t="inlineStr">
        <is>
          <t>Confirmed</t>
        </is>
      </c>
    </row>
    <row r="546" ht="16" customHeight="1">
      <c r="A546" s="5" t="inlineStr">
        <is>
          <t>OLLAMA-S2-F006</t>
        </is>
      </c>
      <c r="B546" s="5" t="inlineStr">
        <is>
          <t>OLLAMA</t>
        </is>
      </c>
      <c r="C546" s="5" t="inlineStr">
        <is>
          <t>S2</t>
        </is>
      </c>
      <c r="D546" s="21" t="str">
        <f>IFERROR(VLOOKUP($G546,'02_REFERENCE'!$A$2:$S$99,4,FALSE),"N/A")</f>
        <v>N/A</v>
      </c>
      <c r="E546" s="21" t="str">
        <f>IFERROR(VLOOKUP($G546,'02_REFERENCE'!$A$2:$S$99,15,FALSE),"N/A")</f>
        <v>N/A</v>
      </c>
      <c r="F546" s="21" t="str">
        <f>IFERROR(VLOOKUP($G546,'02_REFERENCE'!$A$2:$S$99,17,FALSE),"N/A")</f>
        <v>N/A</v>
      </c>
      <c r="G546" s="21" t="inlineStr"/>
      <c r="H546" s="21" t="inlineStr">
        <is>
          <t>False Positive</t>
        </is>
      </c>
      <c r="I546" s="21" t="inlineStr">
        <is>
          <t>FP</t>
        </is>
      </c>
      <c r="J546" s="21" t="inlineStr">
        <is>
          <t>M</t>
        </is>
      </c>
      <c r="K546" s="21" t="inlineStr">
        <is>
          <t>N</t>
        </is>
      </c>
      <c r="L546" s="21" t="inlineStr">
        <is>
          <t>No</t>
        </is>
      </c>
      <c r="M546" s="21" t="inlineStr"/>
      <c r="N546" s="22" t="inlineStr">
        <is>
          <t>No reference threat corresponds to this finding's mechanism (scoring found no class with sufficient evidence).</t>
        </is>
      </c>
      <c r="O546" s="5" t="inlineStr"/>
      <c r="P546" s="16" t="inlineStr">
        <is>
          <t>Broken Access Control</t>
        </is>
      </c>
      <c r="Q546" s="16" t="inlineStr">
        <is>
          <t>File Management Service (P2), Server Storage Repository (DS1)</t>
        </is>
      </c>
      <c r="R546" s="16" t="inlineStr"/>
      <c r="S546" s="5" t="inlineStr">
        <is>
          <t>Confirmed</t>
        </is>
      </c>
    </row>
    <row r="547" ht="16" customHeight="1">
      <c r="A547" s="5" t="inlineStr">
        <is>
          <t>OLLAMA-S2-F007</t>
        </is>
      </c>
      <c r="B547" s="5" t="inlineStr">
        <is>
          <t>OLLAMA</t>
        </is>
      </c>
      <c r="C547" s="5" t="inlineStr">
        <is>
          <t>S2</t>
        </is>
      </c>
      <c r="D547" s="21" t="str">
        <f>IFERROR(VLOOKUP($G547,'02_REFERENCE'!$A$2:$S$99,4,FALSE),"N/A")</f>
        <v>N/A</v>
      </c>
      <c r="E547" s="21" t="str">
        <f>IFERROR(VLOOKUP($G547,'02_REFERENCE'!$A$2:$S$99,15,FALSE),"N/A")</f>
        <v>N/A</v>
      </c>
      <c r="F547" s="21" t="str">
        <f>IFERROR(VLOOKUP($G547,'02_REFERENCE'!$A$2:$S$99,17,FALSE),"N/A")</f>
        <v>N/A</v>
      </c>
      <c r="G547" s="21" t="inlineStr"/>
      <c r="H547" s="21" t="inlineStr">
        <is>
          <t>False Positive</t>
        </is>
      </c>
      <c r="I547" s="21" t="inlineStr">
        <is>
          <t>FP</t>
        </is>
      </c>
      <c r="J547" s="21" t="inlineStr">
        <is>
          <t>M</t>
        </is>
      </c>
      <c r="K547" s="21" t="inlineStr">
        <is>
          <t>N</t>
        </is>
      </c>
      <c r="L547" s="21" t="inlineStr">
        <is>
          <t>No</t>
        </is>
      </c>
      <c r="M547" s="21" t="inlineStr"/>
      <c r="N547" s="22" t="inlineStr">
        <is>
          <t>No reference threat corresponds to this finding's mechanism (scoring found no class with sufficient evidence).</t>
        </is>
      </c>
      <c r="O547" s="5" t="inlineStr"/>
      <c r="P547" s="16" t="inlineStr">
        <is>
          <t>Data Exposure</t>
        </is>
      </c>
      <c r="Q547" s="16" t="inlineStr">
        <is>
          <t>Server Storage Repository (DS1)</t>
        </is>
      </c>
      <c r="R547" s="16" t="inlineStr"/>
      <c r="S547" s="5" t="inlineStr">
        <is>
          <t>Confirmed</t>
        </is>
      </c>
    </row>
    <row r="548" ht="16" customHeight="1">
      <c r="A548" s="5" t="inlineStr">
        <is>
          <t>OLLAMA-S2-F008</t>
        </is>
      </c>
      <c r="B548" s="5" t="inlineStr">
        <is>
          <t>OLLAMA</t>
        </is>
      </c>
      <c r="C548" s="5" t="inlineStr">
        <is>
          <t>S2</t>
        </is>
      </c>
      <c r="D548" s="21" t="str">
        <f>IFERROR(VLOOKUP($G548,'02_REFERENCE'!$A$2:$S$99,4,FALSE),"N/A")</f>
        <v>Spoofing</v>
      </c>
      <c r="E548" s="21" t="str">
        <f>IFERROR(VLOOKUP($G548,'02_REFERENCE'!$A$2:$S$99,15,FALSE),"N/A")</f>
        <v>High</v>
      </c>
      <c r="F548" s="21" t="str">
        <f>IFERROR(VLOOKUP($G548,'02_REFERENCE'!$A$2:$S$99,17,FALSE),"N/A")</f>
        <v>Yes</v>
      </c>
      <c r="G548" s="21" t="inlineStr">
        <is>
          <t>S2-RT-030</t>
        </is>
      </c>
      <c r="H548" s="21" t="inlineStr">
        <is>
          <t>Duplicate</t>
        </is>
      </c>
      <c r="I548" s="21" t="inlineStr">
        <is>
          <t>TP</t>
        </is>
      </c>
      <c r="J548" s="21" t="inlineStr">
        <is>
          <t>M</t>
        </is>
      </c>
      <c r="K548" s="21" t="inlineStr">
        <is>
          <t>N</t>
        </is>
      </c>
      <c r="L548" s="21" t="inlineStr">
        <is>
          <t>Yes</t>
        </is>
      </c>
      <c r="M548" s="21" t="inlineStr">
        <is>
          <t>OLLAMA-S2-F004</t>
        </is>
      </c>
      <c r="N548" s="22" t="inlineStr">
        <is>
          <t>Mechanism class model_substitution; evidence: compromised. AI File Assistant (P3), LLM; compromised. AI File Assistant (P3), LLM [Equivalence: restates OLLAMA-S2-F004 — one-to-one rule applied.]</t>
        </is>
      </c>
      <c r="O548" s="5" t="inlineStr">
        <is>
          <t>model_substitution</t>
        </is>
      </c>
      <c r="P548" s="16" t="inlineStr">
        <is>
          <t>Excessive AI Permissions</t>
        </is>
      </c>
      <c r="Q548" s="16" t="inlineStr">
        <is>
          <t>AI File Assistant (P3), LLM Integration Service (P4)</t>
        </is>
      </c>
      <c r="R548" s="16" t="inlineStr"/>
      <c r="S548" s="5" t="inlineStr">
        <is>
          <t>Confirmed</t>
        </is>
      </c>
    </row>
    <row r="549" ht="16" customHeight="1">
      <c r="A549" s="5" t="inlineStr">
        <is>
          <t>OLLAMA-S2-F009</t>
        </is>
      </c>
      <c r="B549" s="5" t="inlineStr">
        <is>
          <t>OLLAMA</t>
        </is>
      </c>
      <c r="C549" s="5" t="inlineStr">
        <is>
          <t>S2</t>
        </is>
      </c>
      <c r="D549" s="21" t="str">
        <f>IFERROR(VLOOKUP($G549,'02_REFERENCE'!$A$2:$S$99,4,FALSE),"N/A")</f>
        <v>N/A</v>
      </c>
      <c r="E549" s="21" t="str">
        <f>IFERROR(VLOOKUP($G549,'02_REFERENCE'!$A$2:$S$99,15,FALSE),"N/A")</f>
        <v>N/A</v>
      </c>
      <c r="F549" s="21" t="str">
        <f>IFERROR(VLOOKUP($G549,'02_REFERENCE'!$A$2:$S$99,17,FALSE),"N/A")</f>
        <v>N/A</v>
      </c>
      <c r="G549" s="21" t="inlineStr"/>
      <c r="H549" s="21" t="inlineStr">
        <is>
          <t>False Positive</t>
        </is>
      </c>
      <c r="I549" s="21" t="inlineStr">
        <is>
          <t>FP</t>
        </is>
      </c>
      <c r="J549" s="21" t="inlineStr">
        <is>
          <t>M</t>
        </is>
      </c>
      <c r="K549" s="21" t="inlineStr">
        <is>
          <t>N</t>
        </is>
      </c>
      <c r="L549" s="21" t="inlineStr">
        <is>
          <t>No</t>
        </is>
      </c>
      <c r="M549" s="21" t="inlineStr"/>
      <c r="N549" s="22" t="inlineStr">
        <is>
          <t>No reference threat corresponds to this finding's mechanism (scoring found no class with sufficient evidence).</t>
        </is>
      </c>
      <c r="O549" s="5" t="inlineStr"/>
      <c r="P549" s="16" t="inlineStr">
        <is>
          <t>Insecure LLM Context Handling</t>
        </is>
      </c>
      <c r="Q549" s="16" t="inlineStr">
        <is>
          <t>AI File Assistant (P3), Server Storage Repository (DS1)</t>
        </is>
      </c>
      <c r="R549" s="16" t="inlineStr"/>
      <c r="S549" s="5" t="inlineStr">
        <is>
          <t>Confirmed</t>
        </is>
      </c>
    </row>
    <row r="550" ht="16" customHeight="1">
      <c r="A550" s="5" t="inlineStr">
        <is>
          <t>OLLAMA-S2-F010</t>
        </is>
      </c>
      <c r="B550" s="5" t="inlineStr">
        <is>
          <t>OLLAMA</t>
        </is>
      </c>
      <c r="C550" s="5" t="inlineStr">
        <is>
          <t>S2</t>
        </is>
      </c>
      <c r="D550" s="21" t="str">
        <f>IFERROR(VLOOKUP($G550,'02_REFERENCE'!$A$2:$S$99,4,FALSE),"N/A")</f>
        <v>Spoofing</v>
      </c>
      <c r="E550" s="21" t="str">
        <f>IFERROR(VLOOKUP($G550,'02_REFERENCE'!$A$2:$S$99,15,FALSE),"N/A")</f>
        <v>High</v>
      </c>
      <c r="F550" s="21" t="str">
        <f>IFERROR(VLOOKUP($G550,'02_REFERENCE'!$A$2:$S$99,17,FALSE),"N/A")</f>
        <v>Yes</v>
      </c>
      <c r="G550" s="21" t="inlineStr">
        <is>
          <t>S2-RT-030</t>
        </is>
      </c>
      <c r="H550" s="21" t="inlineStr">
        <is>
          <t>Duplicate</t>
        </is>
      </c>
      <c r="I550" s="21" t="inlineStr">
        <is>
          <t>TP</t>
        </is>
      </c>
      <c r="J550" s="21" t="inlineStr">
        <is>
          <t>H</t>
        </is>
      </c>
      <c r="K550" s="21" t="inlineStr">
        <is>
          <t>N</t>
        </is>
      </c>
      <c r="L550" s="21" t="inlineStr">
        <is>
          <t>Yes</t>
        </is>
      </c>
      <c r="M550" s="21" t="inlineStr">
        <is>
          <t>OLLAMA-S2-F004</t>
        </is>
      </c>
      <c r="N550" s="22" t="inlineStr">
        <is>
          <t>Mechanism class model_substitution; evidence: compromised. External Entity EE2 (External LLM Provider; LLM provider, compromis; compromised. External Entity EE2 (External LLM Provider [Equivalence: restates OLLAMA-S2-F004 — one-to-one rule applied.]</t>
        </is>
      </c>
      <c r="O550" s="5" t="inlineStr">
        <is>
          <t>model_substitution</t>
        </is>
      </c>
      <c r="P550" s="16" t="inlineStr">
        <is>
          <t>External Entity Exploitation</t>
        </is>
      </c>
      <c r="Q550" s="16" t="inlineStr">
        <is>
          <t>External Entity EE2 (External LLM Provider)</t>
        </is>
      </c>
      <c r="R550" s="16" t="inlineStr"/>
      <c r="S550" s="5" t="inlineStr">
        <is>
          <t>Confirmed</t>
        </is>
      </c>
    </row>
    <row r="551" ht="16" customHeight="1">
      <c r="A551" s="5" t="inlineStr">
        <is>
          <t>OLLAMA-S2-F011</t>
        </is>
      </c>
      <c r="B551" s="5" t="inlineStr">
        <is>
          <t>OLLAMA</t>
        </is>
      </c>
      <c r="C551" s="5" t="inlineStr">
        <is>
          <t>S2</t>
        </is>
      </c>
      <c r="D551" s="21" t="str">
        <f>IFERROR(VLOOKUP($G551,'02_REFERENCE'!$A$2:$S$99,4,FALSE),"N/A")</f>
        <v>Tampering</v>
      </c>
      <c r="E551" s="21" t="str">
        <f>IFERROR(VLOOKUP($G551,'02_REFERENCE'!$A$2:$S$99,15,FALSE),"N/A")</f>
        <v>Critical</v>
      </c>
      <c r="F551" s="21" t="str">
        <f>IFERROR(VLOOKUP($G551,'02_REFERENCE'!$A$2:$S$99,17,FALSE),"N/A")</f>
        <v>No</v>
      </c>
      <c r="G551" s="21" t="inlineStr">
        <is>
          <t>S2-RT-010</t>
        </is>
      </c>
      <c r="H551" s="21" t="inlineStr">
        <is>
          <t>Duplicate</t>
        </is>
      </c>
      <c r="I551" s="21" t="inlineStr">
        <is>
          <t>TP</t>
        </is>
      </c>
      <c r="J551" s="21" t="inlineStr">
        <is>
          <t>L</t>
        </is>
      </c>
      <c r="K551" s="21" t="inlineStr">
        <is>
          <t>N</t>
        </is>
      </c>
      <c r="L551" s="21" t="inlineStr">
        <is>
          <t>Yes</t>
        </is>
      </c>
      <c r="M551" s="21" t="inlineStr">
        <is>
          <t>OLLAMA-S2-F012</t>
        </is>
      </c>
      <c r="N551" s="22" t="inlineStr">
        <is>
          <t>Mechanism class malicious_upload; evidence: malicious prompts into document [Equivalence: restates OLLAMA-S2-F012 — one-to-one rule applied.]</t>
        </is>
      </c>
      <c r="O551" s="5" t="inlineStr">
        <is>
          <t>malicious_upload</t>
        </is>
      </c>
      <c r="P551" s="16" t="inlineStr">
        <is>
          <t>Prompt Injection</t>
        </is>
      </c>
      <c r="Q551" s="16" t="inlineStr">
        <is>
          <t>AI File Assistant (P3), Server Storage Repository (DS1)</t>
        </is>
      </c>
      <c r="R551" s="16" t="inlineStr"/>
      <c r="S551" s="5" t="inlineStr">
        <is>
          <t>Manual review</t>
        </is>
      </c>
    </row>
    <row r="552" ht="16" customHeight="1">
      <c r="A552" s="5" t="inlineStr">
        <is>
          <t>OLLAMA-S2-F012</t>
        </is>
      </c>
      <c r="B552" s="5" t="inlineStr">
        <is>
          <t>OLLAMA</t>
        </is>
      </c>
      <c r="C552" s="5" t="inlineStr">
        <is>
          <t>S2</t>
        </is>
      </c>
      <c r="D552" s="21" t="str">
        <f>IFERROR(VLOOKUP($G552,'02_REFERENCE'!$A$2:$S$99,4,FALSE),"N/A")</f>
        <v>Tampering</v>
      </c>
      <c r="E552" s="21" t="str">
        <f>IFERROR(VLOOKUP($G552,'02_REFERENCE'!$A$2:$S$99,15,FALSE),"N/A")</f>
        <v>Critical</v>
      </c>
      <c r="F552" s="21" t="str">
        <f>IFERROR(VLOOKUP($G552,'02_REFERENCE'!$A$2:$S$99,17,FALSE),"N/A")</f>
        <v>No</v>
      </c>
      <c r="G552" s="21" t="inlineStr">
        <is>
          <t>S2-RT-010</t>
        </is>
      </c>
      <c r="H552" s="21" t="inlineStr">
        <is>
          <t>Primary TP</t>
        </is>
      </c>
      <c r="I552" s="21" t="inlineStr">
        <is>
          <t>TP</t>
        </is>
      </c>
      <c r="J552" s="21" t="inlineStr">
        <is>
          <t>M</t>
        </is>
      </c>
      <c r="K552" s="21" t="inlineStr">
        <is>
          <t>Y</t>
        </is>
      </c>
      <c r="L552" s="21" t="inlineStr">
        <is>
          <t>No</t>
        </is>
      </c>
      <c r="M552" s="21" t="inlineStr"/>
      <c r="N552" s="22" t="inlineStr">
        <is>
          <t>Mechanism class malicious_upload; evidence: Malicious Document Content</t>
        </is>
      </c>
      <c r="O552" s="5" t="inlineStr">
        <is>
          <t>malicious_upload</t>
        </is>
      </c>
      <c r="P552" s="16" t="inlineStr">
        <is>
          <t>Malicious Document Content</t>
        </is>
      </c>
      <c r="Q552" s="16" t="inlineStr">
        <is>
          <t>Server Storage Repository (DS1)</t>
        </is>
      </c>
      <c r="R552" s="16" t="inlineStr"/>
      <c r="S552" s="5" t="inlineStr">
        <is>
          <t>Confirmed</t>
        </is>
      </c>
    </row>
    <row r="553" ht="16" customHeight="1">
      <c r="A553" s="5" t="inlineStr">
        <is>
          <t>OLLAMA-S2-F013</t>
        </is>
      </c>
      <c r="B553" s="5" t="inlineStr">
        <is>
          <t>OLLAMA</t>
        </is>
      </c>
      <c r="C553" s="5" t="inlineStr">
        <is>
          <t>S2</t>
        </is>
      </c>
      <c r="D553" s="21" t="str">
        <f>IFERROR(VLOOKUP($G553,'02_REFERENCE'!$A$2:$S$99,4,FALSE),"N/A")</f>
        <v>N/A</v>
      </c>
      <c r="E553" s="21" t="str">
        <f>IFERROR(VLOOKUP($G553,'02_REFERENCE'!$A$2:$S$99,15,FALSE),"N/A")</f>
        <v>N/A</v>
      </c>
      <c r="F553" s="21" t="str">
        <f>IFERROR(VLOOKUP($G553,'02_REFERENCE'!$A$2:$S$99,17,FALSE),"N/A")</f>
        <v>N/A</v>
      </c>
      <c r="G553" s="21" t="inlineStr"/>
      <c r="H553" s="21" t="inlineStr">
        <is>
          <t>False Positive</t>
        </is>
      </c>
      <c r="I553" s="21" t="inlineStr">
        <is>
          <t>FP</t>
        </is>
      </c>
      <c r="J553" s="21" t="inlineStr">
        <is>
          <t>M</t>
        </is>
      </c>
      <c r="K553" s="21" t="inlineStr">
        <is>
          <t>N</t>
        </is>
      </c>
      <c r="L553" s="21" t="inlineStr">
        <is>
          <t>No</t>
        </is>
      </c>
      <c r="M553" s="21" t="inlineStr"/>
      <c r="N553" s="22" t="inlineStr">
        <is>
          <t>No reference threat corresponds to this finding's mechanism (scoring found no class with sufficient evidence).</t>
        </is>
      </c>
      <c r="O553" s="5" t="inlineStr"/>
      <c r="P553" s="16" t="inlineStr">
        <is>
          <t>Unauthorized File Access</t>
        </is>
      </c>
      <c r="Q553" s="16" t="inlineStr">
        <is>
          <t>File Management Service (P2), Server Storage Repository (DS1)</t>
        </is>
      </c>
      <c r="R553" s="16" t="inlineStr"/>
      <c r="S553" s="5" t="inlineStr">
        <is>
          <t>Confirmed</t>
        </is>
      </c>
    </row>
    <row r="554" ht="16" customHeight="1">
      <c r="A554" s="5" t="inlineStr">
        <is>
          <t>OLLAMA-S2-F014</t>
        </is>
      </c>
      <c r="B554" s="5" t="inlineStr">
        <is>
          <t>OLLAMA</t>
        </is>
      </c>
      <c r="C554" s="5" t="inlineStr">
        <is>
          <t>S2</t>
        </is>
      </c>
      <c r="D554" s="21" t="str">
        <f>IFERROR(VLOOKUP($G554,'02_REFERENCE'!$A$2:$S$99,4,FALSE),"N/A")</f>
        <v>Information Disclosure</v>
      </c>
      <c r="E554" s="21" t="str">
        <f>IFERROR(VLOOKUP($G554,'02_REFERENCE'!$A$2:$S$99,15,FALSE),"N/A")</f>
        <v>Critical</v>
      </c>
      <c r="F554" s="21" t="str">
        <f>IFERROR(VLOOKUP($G554,'02_REFERENCE'!$A$2:$S$99,17,FALSE),"N/A")</f>
        <v>No</v>
      </c>
      <c r="G554" s="21" t="inlineStr">
        <is>
          <t>S2-RT-015</t>
        </is>
      </c>
      <c r="H554" s="21" t="inlineStr">
        <is>
          <t>Primary TP</t>
        </is>
      </c>
      <c r="I554" s="21" t="inlineStr">
        <is>
          <t>TP</t>
        </is>
      </c>
      <c r="J554" s="21" t="inlineStr">
        <is>
          <t>L</t>
        </is>
      </c>
      <c r="K554" s="21" t="inlineStr">
        <is>
          <t>Y</t>
        </is>
      </c>
      <c r="L554" s="21" t="inlineStr">
        <is>
          <t>No</t>
        </is>
      </c>
      <c r="M554" s="21" t="inlineStr"/>
      <c r="N554" s="22" t="inlineStr">
        <is>
          <t>Mechanism class mass_disclosure; evidence: Exposure An attacker accesses sensitive documents</t>
        </is>
      </c>
      <c r="O554" s="5" t="inlineStr">
        <is>
          <t>mass_disclosure</t>
        </is>
      </c>
      <c r="P554" s="16" t="inlineStr">
        <is>
          <t>Sensitive Document Exposure</t>
        </is>
      </c>
      <c r="Q554" s="16" t="inlineStr">
        <is>
          <t>Server Storage Repository (DS1)</t>
        </is>
      </c>
      <c r="R554" s="16" t="inlineStr"/>
      <c r="S554" s="5" t="inlineStr">
        <is>
          <t>Manual review</t>
        </is>
      </c>
    </row>
    <row r="555" ht="16" customHeight="1">
      <c r="A555" s="5" t="inlineStr">
        <is>
          <t>OLLAMA-S2-F015</t>
        </is>
      </c>
      <c r="B555" s="5" t="inlineStr">
        <is>
          <t>OLLAMA</t>
        </is>
      </c>
      <c r="C555" s="5" t="inlineStr">
        <is>
          <t>S2</t>
        </is>
      </c>
      <c r="D555" s="21" t="str">
        <f>IFERROR(VLOOKUP($G555,'02_REFERENCE'!$A$2:$S$99,4,FALSE),"N/A")</f>
        <v>Elevation of Privilege</v>
      </c>
      <c r="E555" s="21" t="str">
        <f>IFERROR(VLOOKUP($G555,'02_REFERENCE'!$A$2:$S$99,15,FALSE),"N/A")</f>
        <v>Critical</v>
      </c>
      <c r="F555" s="21" t="str">
        <f>IFERROR(VLOOKUP($G555,'02_REFERENCE'!$A$2:$S$99,17,FALSE),"N/A")</f>
        <v>No</v>
      </c>
      <c r="G555" s="21" t="inlineStr">
        <is>
          <t>S2-RT-003</t>
        </is>
      </c>
      <c r="H555" s="21" t="inlineStr">
        <is>
          <t>Primary TP</t>
        </is>
      </c>
      <c r="I555" s="21" t="inlineStr">
        <is>
          <t>TP</t>
        </is>
      </c>
      <c r="J555" s="21" t="inlineStr">
        <is>
          <t>L</t>
        </is>
      </c>
      <c r="K555" s="21" t="inlineStr">
        <is>
          <t>Y</t>
        </is>
      </c>
      <c r="L555" s="21" t="inlineStr">
        <is>
          <t>No</t>
        </is>
      </c>
      <c r="M555" s="21" t="inlineStr"/>
      <c r="N555" s="22" t="inlineStr">
        <is>
          <t>Mechanism class access_bypass_logic; evidence: bypass authorization</t>
        </is>
      </c>
      <c r="O555" s="5" t="inlineStr">
        <is>
          <t>access_bypass_logic</t>
        </is>
      </c>
      <c r="P555" s="16" t="inlineStr">
        <is>
          <t>Unauthorized File Access</t>
        </is>
      </c>
      <c r="Q555" s="16" t="inlineStr">
        <is>
          <t>DS1, P2</t>
        </is>
      </c>
      <c r="R555" s="16" t="inlineStr"/>
      <c r="S555" s="5" t="inlineStr">
        <is>
          <t>Manual review</t>
        </is>
      </c>
    </row>
    <row r="556" ht="16" customHeight="1">
      <c r="A556" s="5" t="inlineStr">
        <is>
          <t>OLLAMA-S2-F016</t>
        </is>
      </c>
      <c r="B556" s="5" t="inlineStr">
        <is>
          <t>OLLAMA</t>
        </is>
      </c>
      <c r="C556" s="5" t="inlineStr">
        <is>
          <t>S2</t>
        </is>
      </c>
      <c r="D556" s="21" t="str">
        <f>IFERROR(VLOOKUP($G556,'02_REFERENCE'!$A$2:$S$99,4,FALSE),"N/A")</f>
        <v>N/A</v>
      </c>
      <c r="E556" s="21" t="str">
        <f>IFERROR(VLOOKUP($G556,'02_REFERENCE'!$A$2:$S$99,15,FALSE),"N/A")</f>
        <v>N/A</v>
      </c>
      <c r="F556" s="21" t="str">
        <f>IFERROR(VLOOKUP($G556,'02_REFERENCE'!$A$2:$S$99,17,FALSE),"N/A")</f>
        <v>N/A</v>
      </c>
      <c r="G556" s="21" t="inlineStr"/>
      <c r="H556" s="21" t="inlineStr">
        <is>
          <t>False Positive</t>
        </is>
      </c>
      <c r="I556" s="21" t="inlineStr">
        <is>
          <t>FP</t>
        </is>
      </c>
      <c r="J556" s="21" t="inlineStr">
        <is>
          <t>M</t>
        </is>
      </c>
      <c r="K556" s="21" t="inlineStr">
        <is>
          <t>N</t>
        </is>
      </c>
      <c r="L556" s="21" t="inlineStr">
        <is>
          <t>No</t>
        </is>
      </c>
      <c r="M556" s="21" t="inlineStr"/>
      <c r="N556" s="22" t="inlineStr">
        <is>
          <t>No reference threat corresponds to this finding's mechanism (scoring found no class with sufficient evidence).</t>
        </is>
      </c>
      <c r="O556" s="5" t="inlineStr"/>
      <c r="P556" s="16" t="inlineStr">
        <is>
          <t>Broken Access Control</t>
        </is>
      </c>
      <c r="Q556" s="16" t="inlineStr">
        <is>
          <t>P2, DS1</t>
        </is>
      </c>
      <c r="R556" s="16" t="inlineStr"/>
      <c r="S556" s="5" t="inlineStr">
        <is>
          <t>Confirmed</t>
        </is>
      </c>
    </row>
    <row r="557" ht="16" customHeight="1">
      <c r="A557" s="5" t="inlineStr">
        <is>
          <t>OLLAMA-S2-F017</t>
        </is>
      </c>
      <c r="B557" s="5" t="inlineStr">
        <is>
          <t>OLLAMA</t>
        </is>
      </c>
      <c r="C557" s="5" t="inlineStr">
        <is>
          <t>S2</t>
        </is>
      </c>
      <c r="D557" s="21" t="str">
        <f>IFERROR(VLOOKUP($G557,'02_REFERENCE'!$A$2:$S$99,4,FALSE),"N/A")</f>
        <v>N/A</v>
      </c>
      <c r="E557" s="21" t="str">
        <f>IFERROR(VLOOKUP($G557,'02_REFERENCE'!$A$2:$S$99,15,FALSE),"N/A")</f>
        <v>N/A</v>
      </c>
      <c r="F557" s="21" t="str">
        <f>IFERROR(VLOOKUP($G557,'02_REFERENCE'!$A$2:$S$99,17,FALSE),"N/A")</f>
        <v>N/A</v>
      </c>
      <c r="G557" s="21" t="inlineStr"/>
      <c r="H557" s="21" t="inlineStr">
        <is>
          <t>False Positive</t>
        </is>
      </c>
      <c r="I557" s="21" t="inlineStr">
        <is>
          <t>FP</t>
        </is>
      </c>
      <c r="J557" s="21" t="inlineStr">
        <is>
          <t>M</t>
        </is>
      </c>
      <c r="K557" s="21" t="inlineStr">
        <is>
          <t>N</t>
        </is>
      </c>
      <c r="L557" s="21" t="inlineStr">
        <is>
          <t>No</t>
        </is>
      </c>
      <c r="M557" s="21" t="inlineStr"/>
      <c r="N557" s="22" t="inlineStr">
        <is>
          <t>No reference threat corresponds to this finding's mechanism (scoring found no class with sufficient evidence).</t>
        </is>
      </c>
      <c r="O557" s="5" t="inlineStr"/>
      <c r="P557" s="16" t="inlineStr">
        <is>
          <t>Data Tampering</t>
        </is>
      </c>
      <c r="Q557" s="16" t="inlineStr">
        <is>
          <t>DS1</t>
        </is>
      </c>
      <c r="R557" s="16" t="inlineStr"/>
      <c r="S557" s="5" t="inlineStr">
        <is>
          <t>Confirmed</t>
        </is>
      </c>
    </row>
    <row r="558" ht="16" customHeight="1">
      <c r="A558" s="5" t="inlineStr">
        <is>
          <t>OLLAMA-S2-F018</t>
        </is>
      </c>
      <c r="B558" s="5" t="inlineStr">
        <is>
          <t>OLLAMA</t>
        </is>
      </c>
      <c r="C558" s="5" t="inlineStr">
        <is>
          <t>S2</t>
        </is>
      </c>
      <c r="D558" s="21" t="str">
        <f>IFERROR(VLOOKUP($G558,'02_REFERENCE'!$A$2:$S$99,4,FALSE),"N/A")</f>
        <v>N/A</v>
      </c>
      <c r="E558" s="21" t="str">
        <f>IFERROR(VLOOKUP($G558,'02_REFERENCE'!$A$2:$S$99,15,FALSE),"N/A")</f>
        <v>N/A</v>
      </c>
      <c r="F558" s="21" t="str">
        <f>IFERROR(VLOOKUP($G558,'02_REFERENCE'!$A$2:$S$99,17,FALSE),"N/A")</f>
        <v>N/A</v>
      </c>
      <c r="G558" s="21" t="inlineStr"/>
      <c r="H558" s="21" t="inlineStr">
        <is>
          <t>False Positive</t>
        </is>
      </c>
      <c r="I558" s="21" t="inlineStr">
        <is>
          <t>FP</t>
        </is>
      </c>
      <c r="J558" s="21" t="inlineStr">
        <is>
          <t>M</t>
        </is>
      </c>
      <c r="K558" s="21" t="inlineStr">
        <is>
          <t>N</t>
        </is>
      </c>
      <c r="L558" s="21" t="inlineStr">
        <is>
          <t>No</t>
        </is>
      </c>
      <c r="M558" s="21" t="inlineStr"/>
      <c r="N558" s="22" t="inlineStr">
        <is>
          <t>No reference threat corresponds to this finding's mechanism (scoring found no class with sufficient evidence).</t>
        </is>
      </c>
      <c r="O558" s="5" t="inlineStr"/>
      <c r="P558" s="16" t="inlineStr">
        <is>
          <t>Elevation of Privilege</t>
        </is>
      </c>
      <c r="Q558" s="16" t="inlineStr">
        <is>
          <t>P2, EE1</t>
        </is>
      </c>
      <c r="R558" s="16" t="inlineStr"/>
      <c r="S558" s="5" t="inlineStr">
        <is>
          <t>Confirmed</t>
        </is>
      </c>
    </row>
    <row r="559" ht="16" customHeight="1">
      <c r="A559" s="5" t="inlineStr">
        <is>
          <t>OLLAMA-S2-F019</t>
        </is>
      </c>
      <c r="B559" s="5" t="inlineStr">
        <is>
          <t>OLLAMA</t>
        </is>
      </c>
      <c r="C559" s="5" t="inlineStr">
        <is>
          <t>S2</t>
        </is>
      </c>
      <c r="D559" s="21" t="str">
        <f>IFERROR(VLOOKUP($G559,'02_REFERENCE'!$A$2:$S$99,4,FALSE),"N/A")</f>
        <v>N/A</v>
      </c>
      <c r="E559" s="21" t="str">
        <f>IFERROR(VLOOKUP($G559,'02_REFERENCE'!$A$2:$S$99,15,FALSE),"N/A")</f>
        <v>N/A</v>
      </c>
      <c r="F559" s="21" t="str">
        <f>IFERROR(VLOOKUP($G559,'02_REFERENCE'!$A$2:$S$99,17,FALSE),"N/A")</f>
        <v>N/A</v>
      </c>
      <c r="G559" s="21" t="inlineStr"/>
      <c r="H559" s="21" t="inlineStr">
        <is>
          <t>False Positive</t>
        </is>
      </c>
      <c r="I559" s="21" t="inlineStr">
        <is>
          <t>FP</t>
        </is>
      </c>
      <c r="J559" s="21" t="inlineStr">
        <is>
          <t>M</t>
        </is>
      </c>
      <c r="K559" s="21" t="inlineStr">
        <is>
          <t>N</t>
        </is>
      </c>
      <c r="L559" s="21" t="inlineStr">
        <is>
          <t>No</t>
        </is>
      </c>
      <c r="M559" s="21" t="inlineStr"/>
      <c r="N559" s="22" t="inlineStr">
        <is>
          <t>No reference threat corresponds to this finding's mechanism (scoring found no class with sufficient evidence).</t>
        </is>
      </c>
      <c r="O559" s="5" t="inlineStr"/>
      <c r="P559" s="16" t="inlineStr">
        <is>
          <t>Session Hijacking</t>
        </is>
      </c>
      <c r="Q559" s="16" t="inlineStr">
        <is>
          <t>EE1, DS1</t>
        </is>
      </c>
      <c r="R559" s="16" t="inlineStr"/>
      <c r="S559" s="5" t="inlineStr">
        <is>
          <t>Confirmed</t>
        </is>
      </c>
    </row>
    <row r="560" ht="16" customHeight="1">
      <c r="A560" s="5" t="inlineStr">
        <is>
          <t>OLLAMA-S2-F020</t>
        </is>
      </c>
      <c r="B560" s="5" t="inlineStr">
        <is>
          <t>OLLAMA</t>
        </is>
      </c>
      <c r="C560" s="5" t="inlineStr">
        <is>
          <t>S2</t>
        </is>
      </c>
      <c r="D560" s="21" t="str">
        <f>IFERROR(VLOOKUP($G560,'02_REFERENCE'!$A$2:$S$99,4,FALSE),"N/A")</f>
        <v>N/A</v>
      </c>
      <c r="E560" s="21" t="str">
        <f>IFERROR(VLOOKUP($G560,'02_REFERENCE'!$A$2:$S$99,15,FALSE),"N/A")</f>
        <v>N/A</v>
      </c>
      <c r="F560" s="21" t="str">
        <f>IFERROR(VLOOKUP($G560,'02_REFERENCE'!$A$2:$S$99,17,FALSE),"N/A")</f>
        <v>N/A</v>
      </c>
      <c r="G560" s="21" t="inlineStr"/>
      <c r="H560" s="21" t="inlineStr">
        <is>
          <t>False Positive</t>
        </is>
      </c>
      <c r="I560" s="21" t="inlineStr">
        <is>
          <t>FP</t>
        </is>
      </c>
      <c r="J560" s="21" t="inlineStr">
        <is>
          <t>M</t>
        </is>
      </c>
      <c r="K560" s="21" t="inlineStr">
        <is>
          <t>N</t>
        </is>
      </c>
      <c r="L560" s="21" t="inlineStr">
        <is>
          <t>No</t>
        </is>
      </c>
      <c r="M560" s="21" t="inlineStr"/>
      <c r="N560" s="22" t="inlineStr">
        <is>
          <t>No reference threat corresponds to this finding's mechanism (scoring found no class with sufficient evidence).</t>
        </is>
      </c>
      <c r="O560" s="5" t="inlineStr"/>
      <c r="P560" s="16" t="inlineStr">
        <is>
          <t>LLM Context Manipulation</t>
        </is>
      </c>
      <c r="Q560" s="16" t="inlineStr">
        <is>
          <t>P3, EE2</t>
        </is>
      </c>
      <c r="R560" s="16" t="inlineStr"/>
      <c r="S560" s="5" t="inlineStr">
        <is>
          <t>Confirmed</t>
        </is>
      </c>
    </row>
    <row r="561" ht="16" customHeight="1">
      <c r="A561" s="5" t="inlineStr">
        <is>
          <t>OLLAMA-S2-F021</t>
        </is>
      </c>
      <c r="B561" s="5" t="inlineStr">
        <is>
          <t>OLLAMA</t>
        </is>
      </c>
      <c r="C561" s="5" t="inlineStr">
        <is>
          <t>S2</t>
        </is>
      </c>
      <c r="D561" s="21" t="str">
        <f>IFERROR(VLOOKUP($G561,'02_REFERENCE'!$A$2:$S$99,4,FALSE),"N/A")</f>
        <v>N/A</v>
      </c>
      <c r="E561" s="21" t="str">
        <f>IFERROR(VLOOKUP($G561,'02_REFERENCE'!$A$2:$S$99,15,FALSE),"N/A")</f>
        <v>N/A</v>
      </c>
      <c r="F561" s="21" t="str">
        <f>IFERROR(VLOOKUP($G561,'02_REFERENCE'!$A$2:$S$99,17,FALSE),"N/A")</f>
        <v>N/A</v>
      </c>
      <c r="G561" s="21" t="inlineStr"/>
      <c r="H561" s="21" t="inlineStr">
        <is>
          <t>False Positive</t>
        </is>
      </c>
      <c r="I561" s="21" t="inlineStr">
        <is>
          <t>FP</t>
        </is>
      </c>
      <c r="J561" s="21" t="inlineStr">
        <is>
          <t>M</t>
        </is>
      </c>
      <c r="K561" s="21" t="inlineStr">
        <is>
          <t>N</t>
        </is>
      </c>
      <c r="L561" s="21" t="inlineStr">
        <is>
          <t>No</t>
        </is>
      </c>
      <c r="M561" s="21" t="inlineStr"/>
      <c r="N561" s="22" t="inlineStr">
        <is>
          <t>No reference threat corresponds to this finding's mechanism (scoring found no class with sufficient evidence).</t>
        </is>
      </c>
      <c r="O561" s="5" t="inlineStr"/>
      <c r="P561" s="16" t="inlineStr">
        <is>
          <t>LLM Output Manipulation</t>
        </is>
      </c>
      <c r="Q561" s="16" t="inlineStr">
        <is>
          <t>P3, EE2</t>
        </is>
      </c>
      <c r="R561" s="16" t="inlineStr"/>
      <c r="S561" s="5" t="inlineStr">
        <is>
          <t>Confirmed</t>
        </is>
      </c>
    </row>
    <row r="562" ht="16" customHeight="1">
      <c r="A562" s="5" t="inlineStr">
        <is>
          <t>OLLAMA-S2-F022</t>
        </is>
      </c>
      <c r="B562" s="5" t="inlineStr">
        <is>
          <t>OLLAMA</t>
        </is>
      </c>
      <c r="C562" s="5" t="inlineStr">
        <is>
          <t>S2</t>
        </is>
      </c>
      <c r="D562" s="21" t="str">
        <f>IFERROR(VLOOKUP($G562,'02_REFERENCE'!$A$2:$S$99,4,FALSE),"N/A")</f>
        <v>N/A</v>
      </c>
      <c r="E562" s="21" t="str">
        <f>IFERROR(VLOOKUP($G562,'02_REFERENCE'!$A$2:$S$99,15,FALSE),"N/A")</f>
        <v>N/A</v>
      </c>
      <c r="F562" s="21" t="str">
        <f>IFERROR(VLOOKUP($G562,'02_REFERENCE'!$A$2:$S$99,17,FALSE),"N/A")</f>
        <v>N/A</v>
      </c>
      <c r="G562" s="21" t="inlineStr"/>
      <c r="H562" s="21" t="inlineStr">
        <is>
          <t>False Positive</t>
        </is>
      </c>
      <c r="I562" s="21" t="inlineStr">
        <is>
          <t>FP</t>
        </is>
      </c>
      <c r="J562" s="21" t="inlineStr">
        <is>
          <t>M</t>
        </is>
      </c>
      <c r="K562" s="21" t="inlineStr">
        <is>
          <t>N</t>
        </is>
      </c>
      <c r="L562" s="21" t="inlineStr">
        <is>
          <t>No</t>
        </is>
      </c>
      <c r="M562" s="21" t="inlineStr"/>
      <c r="N562" s="22" t="inlineStr">
        <is>
          <t>No reference threat corresponds to this finding's mechanism (scoring found no class with sufficient evidence).</t>
        </is>
      </c>
      <c r="O562" s="5" t="inlineStr"/>
      <c r="P562" s="16" t="inlineStr">
        <is>
          <t>LLM Provider Risks</t>
        </is>
      </c>
      <c r="Q562" s="16" t="inlineStr">
        <is>
          <t>EE2</t>
        </is>
      </c>
      <c r="R562" s="16" t="inlineStr"/>
      <c r="S562" s="5" t="inlineStr">
        <is>
          <t>Confirmed</t>
        </is>
      </c>
    </row>
    <row r="563" ht="16" customHeight="1">
      <c r="A563" s="5" t="inlineStr">
        <is>
          <t>OLLAMA-S2-F023</t>
        </is>
      </c>
      <c r="B563" s="5" t="inlineStr">
        <is>
          <t>OLLAMA</t>
        </is>
      </c>
      <c r="C563" s="5" t="inlineStr">
        <is>
          <t>S2</t>
        </is>
      </c>
      <c r="D563" s="21" t="str">
        <f>IFERROR(VLOOKUP($G563,'02_REFERENCE'!$A$2:$S$99,4,FALSE),"N/A")</f>
        <v>Information Disclosure</v>
      </c>
      <c r="E563" s="21" t="str">
        <f>IFERROR(VLOOKUP($G563,'02_REFERENCE'!$A$2:$S$99,15,FALSE),"N/A")</f>
        <v>High</v>
      </c>
      <c r="F563" s="21" t="str">
        <f>IFERROR(VLOOKUP($G563,'02_REFERENCE'!$A$2:$S$99,17,FALSE),"N/A")</f>
        <v>Yes</v>
      </c>
      <c r="G563" s="21" t="inlineStr">
        <is>
          <t>S2-RT-018</t>
        </is>
      </c>
      <c r="H563" s="21" t="inlineStr">
        <is>
          <t>Primary TP</t>
        </is>
      </c>
      <c r="I563" s="21" t="inlineStr">
        <is>
          <t>TP</t>
        </is>
      </c>
      <c r="J563" s="21" t="inlineStr">
        <is>
          <t>L</t>
        </is>
      </c>
      <c r="K563" s="21" t="inlineStr">
        <is>
          <t>Y</t>
        </is>
      </c>
      <c r="L563" s="21" t="inlineStr">
        <is>
          <t>No</t>
        </is>
      </c>
      <c r="M563" s="21" t="inlineStr"/>
      <c r="N563" s="22" t="inlineStr">
        <is>
          <t>Mechanism class sensitive_to_llm; evidence: sensitive information sent to the external LLM provider</t>
        </is>
      </c>
      <c r="O563" s="5" t="inlineStr">
        <is>
          <t>sensitive_to_llm</t>
        </is>
      </c>
      <c r="P563" s="16" t="inlineStr">
        <is>
          <t>Insecure Data Context Handling</t>
        </is>
      </c>
      <c r="Q563" s="16" t="inlineStr">
        <is>
          <t>P3, EE2</t>
        </is>
      </c>
      <c r="R563" s="16" t="inlineStr"/>
      <c r="S563" s="5" t="inlineStr">
        <is>
          <t>Manual review</t>
        </is>
      </c>
    </row>
    <row r="564" ht="16" customHeight="1">
      <c r="A564" s="5" t="inlineStr">
        <is>
          <t>OLLAMA-S2-F024</t>
        </is>
      </c>
      <c r="B564" s="5" t="inlineStr">
        <is>
          <t>OLLAMA</t>
        </is>
      </c>
      <c r="C564" s="5" t="inlineStr">
        <is>
          <t>S2</t>
        </is>
      </c>
      <c r="D564" s="21" t="str">
        <f>IFERROR(VLOOKUP($G564,'02_REFERENCE'!$A$2:$S$99,4,FALSE),"N/A")</f>
        <v>N/A</v>
      </c>
      <c r="E564" s="21" t="str">
        <f>IFERROR(VLOOKUP($G564,'02_REFERENCE'!$A$2:$S$99,15,FALSE),"N/A")</f>
        <v>N/A</v>
      </c>
      <c r="F564" s="21" t="str">
        <f>IFERROR(VLOOKUP($G564,'02_REFERENCE'!$A$2:$S$99,17,FALSE),"N/A")</f>
        <v>N/A</v>
      </c>
      <c r="G564" s="21" t="inlineStr"/>
      <c r="H564" s="21" t="inlineStr">
        <is>
          <t>False Positive</t>
        </is>
      </c>
      <c r="I564" s="21" t="inlineStr">
        <is>
          <t>FP</t>
        </is>
      </c>
      <c r="J564" s="21" t="inlineStr">
        <is>
          <t>M</t>
        </is>
      </c>
      <c r="K564" s="21" t="inlineStr">
        <is>
          <t>N</t>
        </is>
      </c>
      <c r="L564" s="21" t="inlineStr">
        <is>
          <t>No</t>
        </is>
      </c>
      <c r="M564" s="21" t="inlineStr"/>
      <c r="N564" s="22" t="inlineStr">
        <is>
          <t>No reference threat corresponds to this finding's mechanism (scoring found no class with sufficient evidence).</t>
        </is>
      </c>
      <c r="O564" s="5" t="inlineStr"/>
      <c r="P564" s="16" t="inlineStr">
        <is>
          <t>Sensitive Document Exposure</t>
        </is>
      </c>
      <c r="Q564" s="16" t="inlineStr">
        <is>
          <t>DS1</t>
        </is>
      </c>
      <c r="R564" s="16" t="inlineStr"/>
      <c r="S564" s="5" t="inlineStr">
        <is>
          <t>Confirmed</t>
        </is>
      </c>
    </row>
    <row r="565" ht="16" customHeight="1">
      <c r="A565" s="5" t="inlineStr">
        <is>
          <t>OLLAMA-S2-F025</t>
        </is>
      </c>
      <c r="B565" s="5" t="inlineStr">
        <is>
          <t>OLLAMA</t>
        </is>
      </c>
      <c r="C565" s="5" t="inlineStr">
        <is>
          <t>S2</t>
        </is>
      </c>
      <c r="D565" s="21" t="str">
        <f>IFERROR(VLOOKUP($G565,'02_REFERENCE'!$A$2:$S$99,4,FALSE),"N/A")</f>
        <v>Information Disclosure</v>
      </c>
      <c r="E565" s="21" t="str">
        <f>IFERROR(VLOOKUP($G565,'02_REFERENCE'!$A$2:$S$99,15,FALSE),"N/A")</f>
        <v>High</v>
      </c>
      <c r="F565" s="21" t="str">
        <f>IFERROR(VLOOKUP($G565,'02_REFERENCE'!$A$2:$S$99,17,FALSE),"N/A")</f>
        <v>Yes</v>
      </c>
      <c r="G565" s="21" t="inlineStr">
        <is>
          <t>S2-RT-018</t>
        </is>
      </c>
      <c r="H565" s="21" t="inlineStr">
        <is>
          <t>Duplicate</t>
        </is>
      </c>
      <c r="I565" s="21" t="inlineStr">
        <is>
          <t>TP</t>
        </is>
      </c>
      <c r="J565" s="21" t="inlineStr">
        <is>
          <t>L</t>
        </is>
      </c>
      <c r="K565" s="21" t="inlineStr">
        <is>
          <t>N</t>
        </is>
      </c>
      <c r="L565" s="21" t="inlineStr">
        <is>
          <t>Yes</t>
        </is>
      </c>
      <c r="M565" s="21" t="inlineStr">
        <is>
          <t>OLLAMA-S2-F023</t>
        </is>
      </c>
      <c r="N565" s="22" t="inlineStr">
        <is>
          <t>Mechanism class sensitive_to_llm; evidence: sensitive information sent to the external LLM provider [Equivalence: restates OLLAMA-S2-F023 — one-to-one rule applied.]</t>
        </is>
      </c>
      <c r="O565" s="5" t="inlineStr">
        <is>
          <t>sensitive_to_llm</t>
        </is>
      </c>
      <c r="P565" s="16" t="inlineStr">
        <is>
          <t>Insecure LLM Context Handling</t>
        </is>
      </c>
      <c r="Q565" s="16" t="inlineStr">
        <is>
          <t>P3, EE2</t>
        </is>
      </c>
      <c r="R565" s="16" t="inlineStr"/>
      <c r="S565" s="5" t="inlineStr">
        <is>
          <t>Manual review</t>
        </is>
      </c>
    </row>
    <row r="566" ht="16" customHeight="1">
      <c r="A566" s="5" t="inlineStr">
        <is>
          <t>OLLAMA-S2-F026</t>
        </is>
      </c>
      <c r="B566" s="5" t="inlineStr">
        <is>
          <t>OLLAMA</t>
        </is>
      </c>
      <c r="C566" s="5" t="inlineStr">
        <is>
          <t>S2</t>
        </is>
      </c>
      <c r="D566" s="21" t="str">
        <f>IFERROR(VLOOKUP($G566,'02_REFERENCE'!$A$2:$S$99,4,FALSE),"N/A")</f>
        <v>Tampering</v>
      </c>
      <c r="E566" s="21" t="str">
        <f>IFERROR(VLOOKUP($G566,'02_REFERENCE'!$A$2:$S$99,15,FALSE),"N/A")</f>
        <v>Critical</v>
      </c>
      <c r="F566" s="21" t="str">
        <f>IFERROR(VLOOKUP($G566,'02_REFERENCE'!$A$2:$S$99,17,FALSE),"N/A")</f>
        <v>No</v>
      </c>
      <c r="G566" s="21" t="inlineStr">
        <is>
          <t>S2-RT-010</t>
        </is>
      </c>
      <c r="H566" s="21" t="inlineStr">
        <is>
          <t>Duplicate</t>
        </is>
      </c>
      <c r="I566" s="21" t="inlineStr">
        <is>
          <t>TP</t>
        </is>
      </c>
      <c r="J566" s="21" t="inlineStr">
        <is>
          <t>M</t>
        </is>
      </c>
      <c r="K566" s="21" t="inlineStr">
        <is>
          <t>N</t>
        </is>
      </c>
      <c r="L566" s="21" t="inlineStr">
        <is>
          <t>Yes</t>
        </is>
      </c>
      <c r="M566" s="21" t="inlineStr">
        <is>
          <t>OLLAMA-S2-F012</t>
        </is>
      </c>
      <c r="N566" s="22" t="inlineStr">
        <is>
          <t>Mechanism class malicious_upload; evidence: Malicious Document Content [Equivalence: restates OLLAMA-S2-F012 — one-to-one rule applied.]</t>
        </is>
      </c>
      <c r="O566" s="5" t="inlineStr">
        <is>
          <t>malicious_upload</t>
        </is>
      </c>
      <c r="P566" s="16" t="inlineStr">
        <is>
          <t>Malicious Document Content</t>
        </is>
      </c>
      <c r="Q566" s="16" t="inlineStr">
        <is>
          <t>DS1</t>
        </is>
      </c>
      <c r="R566" s="16" t="inlineStr"/>
      <c r="S566" s="5" t="inlineStr">
        <is>
          <t>Confirmed</t>
        </is>
      </c>
    </row>
    <row r="567" ht="16" customHeight="1">
      <c r="A567" s="5" t="inlineStr">
        <is>
          <t>OLLAMA-S2-F027</t>
        </is>
      </c>
      <c r="B567" s="5" t="inlineStr">
        <is>
          <t>OLLAMA</t>
        </is>
      </c>
      <c r="C567" s="5" t="inlineStr">
        <is>
          <t>S2</t>
        </is>
      </c>
      <c r="D567" s="21" t="str">
        <f>IFERROR(VLOOKUP($G567,'02_REFERENCE'!$A$2:$S$99,4,FALSE),"N/A")</f>
        <v>Tampering</v>
      </c>
      <c r="E567" s="21" t="str">
        <f>IFERROR(VLOOKUP($G567,'02_REFERENCE'!$A$2:$S$99,15,FALSE),"N/A")</f>
        <v>High</v>
      </c>
      <c r="F567" s="21" t="str">
        <f>IFERROR(VLOOKUP($G567,'02_REFERENCE'!$A$2:$S$99,17,FALSE),"N/A")</f>
        <v>Yes</v>
      </c>
      <c r="G567" s="21" t="inlineStr">
        <is>
          <t>S2-RT-023</t>
        </is>
      </c>
      <c r="H567" s="21" t="inlineStr">
        <is>
          <t>Primary TP</t>
        </is>
      </c>
      <c r="I567" s="21" t="inlineStr">
        <is>
          <t>TP</t>
        </is>
      </c>
      <c r="J567" s="21" t="inlineStr">
        <is>
          <t>M</t>
        </is>
      </c>
      <c r="K567" s="21" t="inlineStr">
        <is>
          <t>Y</t>
        </is>
      </c>
      <c r="L567" s="21" t="inlineStr">
        <is>
          <t>No</t>
        </is>
      </c>
      <c r="M567" s="21" t="inlineStr"/>
      <c r="N567" s="22" t="inlineStr">
        <is>
          <t>Mechanism class prompt_injection_indirect; evidence: Injection through Document</t>
        </is>
      </c>
      <c r="O567" s="5" t="inlineStr">
        <is>
          <t>prompt_injection_indirect</t>
        </is>
      </c>
      <c r="P567" s="16" t="inlineStr">
        <is>
          <t>Prompt Injection through Documents</t>
        </is>
      </c>
      <c r="Q567" s="16" t="inlineStr">
        <is>
          <t>DS1, P3</t>
        </is>
      </c>
      <c r="R567" s="16" t="inlineStr"/>
      <c r="S567" s="5" t="inlineStr">
        <is>
          <t>Confirmed</t>
        </is>
      </c>
    </row>
    <row r="568" ht="16" customHeight="1">
      <c r="A568" s="5" t="inlineStr">
        <is>
          <t>OLLAMA-S2-F028</t>
        </is>
      </c>
      <c r="B568" s="5" t="inlineStr">
        <is>
          <t>OLLAMA</t>
        </is>
      </c>
      <c r="C568" s="5" t="inlineStr">
        <is>
          <t>S2</t>
        </is>
      </c>
      <c r="D568" s="21" t="str">
        <f>IFERROR(VLOOKUP($G568,'02_REFERENCE'!$A$2:$S$99,4,FALSE),"N/A")</f>
        <v>N/A</v>
      </c>
      <c r="E568" s="21" t="str">
        <f>IFERROR(VLOOKUP($G568,'02_REFERENCE'!$A$2:$S$99,15,FALSE),"N/A")</f>
        <v>N/A</v>
      </c>
      <c r="F568" s="21" t="str">
        <f>IFERROR(VLOOKUP($G568,'02_REFERENCE'!$A$2:$S$99,17,FALSE),"N/A")</f>
        <v>N/A</v>
      </c>
      <c r="G568" s="21" t="inlineStr"/>
      <c r="H568" s="21" t="inlineStr">
        <is>
          <t>False Positive</t>
        </is>
      </c>
      <c r="I568" s="21" t="inlineStr">
        <is>
          <t>FP</t>
        </is>
      </c>
      <c r="J568" s="21" t="inlineStr">
        <is>
          <t>M</t>
        </is>
      </c>
      <c r="K568" s="21" t="inlineStr">
        <is>
          <t>N</t>
        </is>
      </c>
      <c r="L568" s="21" t="inlineStr">
        <is>
          <t>No</t>
        </is>
      </c>
      <c r="M568" s="21" t="inlineStr"/>
      <c r="N568" s="22" t="inlineStr">
        <is>
          <t>No reference threat corresponds to this finding's mechanism (scoring found no class with sufficient evidence).</t>
        </is>
      </c>
      <c r="O568" s="5" t="inlineStr"/>
      <c r="P568" s="16" t="inlineStr">
        <is>
          <t>Unauthorized File Access</t>
        </is>
      </c>
      <c r="Q568" s="16" t="inlineStr">
        <is>
          <t>DS1, P2</t>
        </is>
      </c>
      <c r="R568" s="16" t="inlineStr"/>
      <c r="S568" s="5" t="inlineStr">
        <is>
          <t>Confirmed</t>
        </is>
      </c>
    </row>
    <row r="569" ht="16" customHeight="1">
      <c r="A569" s="5" t="inlineStr">
        <is>
          <t>THREMOLIA-S2-F001</t>
        </is>
      </c>
      <c r="B569" s="5" t="inlineStr">
        <is>
          <t>THREMOLIA</t>
        </is>
      </c>
      <c r="C569" s="5" t="inlineStr">
        <is>
          <t>S2</t>
        </is>
      </c>
      <c r="D569" s="21" t="str">
        <f>IFERROR(VLOOKUP($G569,'02_REFERENCE'!$A$2:$S$99,4,FALSE),"N/A")</f>
        <v>Tampering</v>
      </c>
      <c r="E569" s="21" t="str">
        <f>IFERROR(VLOOKUP($G569,'02_REFERENCE'!$A$2:$S$99,15,FALSE),"N/A")</f>
        <v>Critical</v>
      </c>
      <c r="F569" s="21" t="str">
        <f>IFERROR(VLOOKUP($G569,'02_REFERENCE'!$A$2:$S$99,17,FALSE),"N/A")</f>
        <v>No</v>
      </c>
      <c r="G569" s="21" t="inlineStr">
        <is>
          <t>S2-RT-010</t>
        </is>
      </c>
      <c r="H569" s="21" t="inlineStr">
        <is>
          <t>Duplicate</t>
        </is>
      </c>
      <c r="I569" s="21" t="inlineStr">
        <is>
          <t>TP</t>
        </is>
      </c>
      <c r="J569" s="21" t="inlineStr">
        <is>
          <t>L</t>
        </is>
      </c>
      <c r="K569" s="21" t="inlineStr">
        <is>
          <t>N</t>
        </is>
      </c>
      <c r="L569" s="21" t="inlineStr">
        <is>
          <t>Yes</t>
        </is>
      </c>
      <c r="M569" s="21" t="inlineStr">
        <is>
          <t>THREMOLIA-S2-F003</t>
        </is>
      </c>
      <c r="N569" s="22" t="inlineStr">
        <is>
          <t>Mechanism class malicious_upload; evidence: malicious files or access restricted document [Equivalence: restates THREMOLIA-S2-F003 — one-to-one rule applied.]</t>
        </is>
      </c>
      <c r="O569" s="5" t="inlineStr">
        <is>
          <t>malicious_upload</t>
        </is>
      </c>
      <c r="P569" s="16" t="inlineStr"/>
      <c r="Q569" s="16" t="inlineStr">
        <is>
          <t>EE1: End User</t>
        </is>
      </c>
      <c r="R569" s="16" t="inlineStr"/>
      <c r="S569" s="5" t="inlineStr">
        <is>
          <t>Manual review</t>
        </is>
      </c>
    </row>
    <row r="570" ht="16" customHeight="1">
      <c r="A570" s="5" t="inlineStr">
        <is>
          <t>THREMOLIA-S2-F002</t>
        </is>
      </c>
      <c r="B570" s="5" t="inlineStr">
        <is>
          <t>THREMOLIA</t>
        </is>
      </c>
      <c r="C570" s="5" t="inlineStr">
        <is>
          <t>S2</t>
        </is>
      </c>
      <c r="D570" s="21" t="str">
        <f>IFERROR(VLOOKUP($G570,'02_REFERENCE'!$A$2:$S$99,4,FALSE),"N/A")</f>
        <v>Tampering</v>
      </c>
      <c r="E570" s="21" t="str">
        <f>IFERROR(VLOOKUP($G570,'02_REFERENCE'!$A$2:$S$99,15,FALSE),"N/A")</f>
        <v>Critical</v>
      </c>
      <c r="F570" s="21" t="str">
        <f>IFERROR(VLOOKUP($G570,'02_REFERENCE'!$A$2:$S$99,17,FALSE),"N/A")</f>
        <v>No</v>
      </c>
      <c r="G570" s="21" t="inlineStr">
        <is>
          <t>S2-RT-010</t>
        </is>
      </c>
      <c r="H570" s="21" t="inlineStr">
        <is>
          <t>Duplicate</t>
        </is>
      </c>
      <c r="I570" s="21" t="inlineStr">
        <is>
          <t>TP</t>
        </is>
      </c>
      <c r="J570" s="21" t="inlineStr">
        <is>
          <t>L</t>
        </is>
      </c>
      <c r="K570" s="21" t="inlineStr">
        <is>
          <t>N</t>
        </is>
      </c>
      <c r="L570" s="21" t="inlineStr">
        <is>
          <t>Yes</t>
        </is>
      </c>
      <c r="M570" s="21" t="inlineStr">
        <is>
          <t>THREMOLIA-S2-F003</t>
        </is>
      </c>
      <c r="N570" s="22" t="inlineStr">
        <is>
          <t>Mechanism class malicious_upload; evidence: malicious document [Equivalence: restates THREMOLIA-S2-F003 — one-to-one rule applied.]</t>
        </is>
      </c>
      <c r="O570" s="5" t="inlineStr">
        <is>
          <t>malicious_upload</t>
        </is>
      </c>
      <c r="P570" s="16" t="inlineStr"/>
      <c r="Q570" s="16" t="inlineStr">
        <is>
          <t>EE1: End User</t>
        </is>
      </c>
      <c r="R570" s="16" t="inlineStr"/>
      <c r="S570" s="5" t="inlineStr">
        <is>
          <t>Manual review</t>
        </is>
      </c>
    </row>
    <row r="571" ht="16" customHeight="1">
      <c r="A571" s="5" t="inlineStr">
        <is>
          <t>THREMOLIA-S2-F003</t>
        </is>
      </c>
      <c r="B571" s="5" t="inlineStr">
        <is>
          <t>THREMOLIA</t>
        </is>
      </c>
      <c r="C571" s="5" t="inlineStr">
        <is>
          <t>S2</t>
        </is>
      </c>
      <c r="D571" s="21" t="str">
        <f>IFERROR(VLOOKUP($G571,'02_REFERENCE'!$A$2:$S$99,4,FALSE),"N/A")</f>
        <v>Tampering</v>
      </c>
      <c r="E571" s="21" t="str">
        <f>IFERROR(VLOOKUP($G571,'02_REFERENCE'!$A$2:$S$99,15,FALSE),"N/A")</f>
        <v>Critical</v>
      </c>
      <c r="F571" s="21" t="str">
        <f>IFERROR(VLOOKUP($G571,'02_REFERENCE'!$A$2:$S$99,17,FALSE),"N/A")</f>
        <v>No</v>
      </c>
      <c r="G571" s="21" t="inlineStr">
        <is>
          <t>S2-RT-010</t>
        </is>
      </c>
      <c r="H571" s="21" t="inlineStr">
        <is>
          <t>Primary TP</t>
        </is>
      </c>
      <c r="I571" s="21" t="inlineStr">
        <is>
          <t>TP</t>
        </is>
      </c>
      <c r="J571" s="21" t="inlineStr">
        <is>
          <t>M</t>
        </is>
      </c>
      <c r="K571" s="21" t="inlineStr">
        <is>
          <t>Y</t>
        </is>
      </c>
      <c r="L571" s="21" t="inlineStr">
        <is>
          <t>No</t>
        </is>
      </c>
      <c r="M571" s="21" t="inlineStr"/>
      <c r="N571" s="22" t="inlineStr">
        <is>
          <t>Mechanism class malicious_upload; evidence: malicious file; return deceptive or malicious file</t>
        </is>
      </c>
      <c r="O571" s="5" t="inlineStr">
        <is>
          <t>malicious_upload</t>
        </is>
      </c>
      <c r="P571" s="16" t="inlineStr"/>
      <c r="Q571" s="16" t="inlineStr">
        <is>
          <t>EE2: External LLM Provider</t>
        </is>
      </c>
      <c r="R571" s="16" t="inlineStr"/>
      <c r="S571" s="5" t="inlineStr">
        <is>
          <t>Confirmed</t>
        </is>
      </c>
    </row>
    <row r="572" ht="16" customHeight="1">
      <c r="A572" s="5" t="inlineStr">
        <is>
          <t>THREMOLIA-S2-F004</t>
        </is>
      </c>
      <c r="B572" s="5" t="inlineStr">
        <is>
          <t>THREMOLIA</t>
        </is>
      </c>
      <c r="C572" s="5" t="inlineStr">
        <is>
          <t>S2</t>
        </is>
      </c>
      <c r="D572" s="21" t="str">
        <f>IFERROR(VLOOKUP($G572,'02_REFERENCE'!$A$2:$S$99,4,FALSE),"N/A")</f>
        <v>Information Disclosure</v>
      </c>
      <c r="E572" s="21" t="str">
        <f>IFERROR(VLOOKUP($G572,'02_REFERENCE'!$A$2:$S$99,15,FALSE),"N/A")</f>
        <v>Critical</v>
      </c>
      <c r="F572" s="21" t="str">
        <f>IFERROR(VLOOKUP($G572,'02_REFERENCE'!$A$2:$S$99,17,FALSE),"N/A")</f>
        <v>No</v>
      </c>
      <c r="G572" s="21" t="inlineStr">
        <is>
          <t>S2-RT-015</t>
        </is>
      </c>
      <c r="H572" s="21" t="inlineStr">
        <is>
          <t>Duplicate</t>
        </is>
      </c>
      <c r="I572" s="21" t="inlineStr">
        <is>
          <t>TP</t>
        </is>
      </c>
      <c r="J572" s="21" t="inlineStr">
        <is>
          <t>L</t>
        </is>
      </c>
      <c r="K572" s="21" t="inlineStr">
        <is>
          <t>N</t>
        </is>
      </c>
      <c r="L572" s="21" t="inlineStr">
        <is>
          <t>Yes</t>
        </is>
      </c>
      <c r="M572" s="21" t="inlineStr">
        <is>
          <t>THREMOLIA-S2-F031</t>
        </is>
      </c>
      <c r="N572" s="22" t="inlineStr">
        <is>
          <t>Mechanism class mass_disclosure; evidence: disclosed sensitive document [Equivalence: restates THREMOLIA-S2-F031 — one-to-one rule applied.]</t>
        </is>
      </c>
      <c r="O572" s="5" t="inlineStr">
        <is>
          <t>mass_disclosure</t>
        </is>
      </c>
      <c r="P572" s="16" t="inlineStr"/>
      <c r="Q572" s="16" t="inlineStr">
        <is>
          <t>EE2: External LLM Provider</t>
        </is>
      </c>
      <c r="R572" s="16" t="inlineStr"/>
      <c r="S572" s="5" t="inlineStr">
        <is>
          <t>Manual review</t>
        </is>
      </c>
    </row>
    <row r="573" ht="16" customHeight="1">
      <c r="A573" s="5" t="inlineStr">
        <is>
          <t>THREMOLIA-S2-F005</t>
        </is>
      </c>
      <c r="B573" s="5" t="inlineStr">
        <is>
          <t>THREMOLIA</t>
        </is>
      </c>
      <c r="C573" s="5" t="inlineStr">
        <is>
          <t>S2</t>
        </is>
      </c>
      <c r="D573" s="21" t="str">
        <f>IFERROR(VLOOKUP($G573,'02_REFERENCE'!$A$2:$S$99,4,FALSE),"N/A")</f>
        <v>Spoofing</v>
      </c>
      <c r="E573" s="21" t="str">
        <f>IFERROR(VLOOKUP($G573,'02_REFERENCE'!$A$2:$S$99,15,FALSE),"N/A")</f>
        <v>High</v>
      </c>
      <c r="F573" s="21" t="str">
        <f>IFERROR(VLOOKUP($G573,'02_REFERENCE'!$A$2:$S$99,17,FALSE),"N/A")</f>
        <v>No</v>
      </c>
      <c r="G573" s="21" t="inlineStr">
        <is>
          <t>S2-RT-002</t>
        </is>
      </c>
      <c r="H573" s="21" t="inlineStr">
        <is>
          <t>Primary TP</t>
        </is>
      </c>
      <c r="I573" s="21" t="inlineStr">
        <is>
          <t>TP</t>
        </is>
      </c>
      <c r="J573" s="21" t="inlineStr">
        <is>
          <t>M</t>
        </is>
      </c>
      <c r="K573" s="21" t="inlineStr">
        <is>
          <t>Y</t>
        </is>
      </c>
      <c r="L573" s="21" t="inlineStr">
        <is>
          <t>No</t>
        </is>
      </c>
      <c r="M573" s="21" t="inlineStr"/>
      <c r="N573" s="22" t="inlineStr">
        <is>
          <t>Mechanism class phishing; evidence: spoofed web frontend</t>
        </is>
      </c>
      <c r="O573" s="5" t="inlineStr">
        <is>
          <t>phishing</t>
        </is>
      </c>
      <c r="P573" s="16" t="inlineStr"/>
      <c r="Q573" s="16" t="inlineStr">
        <is>
          <t>P1: Web Frontend Interface</t>
        </is>
      </c>
      <c r="R573" s="16" t="inlineStr"/>
      <c r="S573" s="5" t="inlineStr">
        <is>
          <t>Confirmed</t>
        </is>
      </c>
    </row>
    <row r="574" ht="16" customHeight="1">
      <c r="A574" s="5" t="inlineStr">
        <is>
          <t>THREMOLIA-S2-F006</t>
        </is>
      </c>
      <c r="B574" s="5" t="inlineStr">
        <is>
          <t>THREMOLIA</t>
        </is>
      </c>
      <c r="C574" s="5" t="inlineStr">
        <is>
          <t>S2</t>
        </is>
      </c>
      <c r="D574" s="21" t="str">
        <f>IFERROR(VLOOKUP($G574,'02_REFERENCE'!$A$2:$S$99,4,FALSE),"N/A")</f>
        <v>Tampering</v>
      </c>
      <c r="E574" s="21" t="str">
        <f>IFERROR(VLOOKUP($G574,'02_REFERENCE'!$A$2:$S$99,15,FALSE),"N/A")</f>
        <v>Critical</v>
      </c>
      <c r="F574" s="21" t="str">
        <f>IFERROR(VLOOKUP($G574,'02_REFERENCE'!$A$2:$S$99,17,FALSE),"N/A")</f>
        <v>Yes</v>
      </c>
      <c r="G574" s="21" t="inlineStr">
        <is>
          <t>S2-RT-026</t>
        </is>
      </c>
      <c r="H574" s="21" t="inlineStr">
        <is>
          <t>Primary TP</t>
        </is>
      </c>
      <c r="I574" s="21" t="inlineStr">
        <is>
          <t>TP</t>
        </is>
      </c>
      <c r="J574" s="21" t="inlineStr">
        <is>
          <t>M</t>
        </is>
      </c>
      <c r="K574" s="21" t="inlineStr">
        <is>
          <t>Y</t>
        </is>
      </c>
      <c r="L574" s="21" t="inlineStr">
        <is>
          <t>No</t>
        </is>
      </c>
      <c r="M574" s="21" t="inlineStr"/>
      <c r="N574" s="22" t="inlineStr">
        <is>
          <t>Mechanism class unsafe_output; evidence: XSS</t>
        </is>
      </c>
      <c r="O574" s="5" t="inlineStr">
        <is>
          <t>unsafe_output</t>
        </is>
      </c>
      <c r="P574" s="16" t="inlineStr"/>
      <c r="Q574" s="16" t="inlineStr">
        <is>
          <t>P1: Web Frontend Interface</t>
        </is>
      </c>
      <c r="R574" s="16" t="inlineStr"/>
      <c r="S574" s="5" t="inlineStr">
        <is>
          <t>Confirmed</t>
        </is>
      </c>
    </row>
    <row r="575" ht="16" customHeight="1">
      <c r="A575" s="5" t="inlineStr">
        <is>
          <t>THREMOLIA-S2-F007</t>
        </is>
      </c>
      <c r="B575" s="5" t="inlineStr">
        <is>
          <t>THREMOLIA</t>
        </is>
      </c>
      <c r="C575" s="5" t="inlineStr">
        <is>
          <t>S2</t>
        </is>
      </c>
      <c r="D575" s="21" t="str">
        <f>IFERROR(VLOOKUP($G575,'02_REFERENCE'!$A$2:$S$99,4,FALSE),"N/A")</f>
        <v>Repudiation</v>
      </c>
      <c r="E575" s="21" t="str">
        <f>IFERROR(VLOOKUP($G575,'02_REFERENCE'!$A$2:$S$99,15,FALSE),"N/A")</f>
        <v>Medium</v>
      </c>
      <c r="F575" s="21" t="str">
        <f>IFERROR(VLOOKUP($G575,'02_REFERENCE'!$A$2:$S$99,17,FALSE),"N/A")</f>
        <v>No</v>
      </c>
      <c r="G575" s="21" t="inlineStr">
        <is>
          <t>S2-RT-021</t>
        </is>
      </c>
      <c r="H575" s="21" t="inlineStr">
        <is>
          <t>Duplicate</t>
        </is>
      </c>
      <c r="I575" s="21" t="inlineStr">
        <is>
          <t>TP</t>
        </is>
      </c>
      <c r="J575" s="21" t="inlineStr">
        <is>
          <t>M</t>
        </is>
      </c>
      <c r="K575" s="21" t="inlineStr">
        <is>
          <t>N</t>
        </is>
      </c>
      <c r="L575" s="21" t="inlineStr">
        <is>
          <t>Yes</t>
        </is>
      </c>
      <c r="M575" s="21" t="inlineStr">
        <is>
          <t>THREMOLIA-S2-F030</t>
        </is>
      </c>
      <c r="N575" s="22" t="inlineStr">
        <is>
          <t>Mechanism class repudiation; evidence: fails to log [Equivalence: restates THREMOLIA-S2-F030 — one-to-one rule applied.]</t>
        </is>
      </c>
      <c r="O575" s="5" t="inlineStr">
        <is>
          <t>repudiation</t>
        </is>
      </c>
      <c r="P575" s="16" t="inlineStr"/>
      <c r="Q575" s="16" t="inlineStr">
        <is>
          <t>P1: Web Frontend Interface</t>
        </is>
      </c>
      <c r="R575" s="16" t="inlineStr"/>
      <c r="S575" s="5" t="inlineStr">
        <is>
          <t>Confirmed</t>
        </is>
      </c>
    </row>
    <row r="576" ht="16" customHeight="1">
      <c r="A576" s="5" t="inlineStr">
        <is>
          <t>THREMOLIA-S2-F008</t>
        </is>
      </c>
      <c r="B576" s="5" t="inlineStr">
        <is>
          <t>THREMOLIA</t>
        </is>
      </c>
      <c r="C576" s="5" t="inlineStr">
        <is>
          <t>S2</t>
        </is>
      </c>
      <c r="D576" s="21" t="str">
        <f>IFERROR(VLOOKUP($G576,'02_REFERENCE'!$A$2:$S$99,4,FALSE),"N/A")</f>
        <v>Information Disclosure</v>
      </c>
      <c r="E576" s="21" t="str">
        <f>IFERROR(VLOOKUP($G576,'02_REFERENCE'!$A$2:$S$99,15,FALSE),"N/A")</f>
        <v>High</v>
      </c>
      <c r="F576" s="21" t="str">
        <f>IFERROR(VLOOKUP($G576,'02_REFERENCE'!$A$2:$S$99,17,FALSE),"N/A")</f>
        <v>No</v>
      </c>
      <c r="G576" s="21" t="inlineStr">
        <is>
          <t>S2-RT-017</t>
        </is>
      </c>
      <c r="H576" s="21" t="inlineStr">
        <is>
          <t>Duplicate</t>
        </is>
      </c>
      <c r="I576" s="21" t="inlineStr">
        <is>
          <t>TP</t>
        </is>
      </c>
      <c r="J576" s="21" t="inlineStr">
        <is>
          <t>L</t>
        </is>
      </c>
      <c r="K576" s="21" t="inlineStr">
        <is>
          <t>N</t>
        </is>
      </c>
      <c r="L576" s="21" t="inlineStr">
        <is>
          <t>Yes</t>
        </is>
      </c>
      <c r="M576" s="21" t="inlineStr">
        <is>
          <t>THREMOLIA-S2-F038</t>
        </is>
      </c>
      <c r="N576" s="22" t="inlineStr">
        <is>
          <t>Mechanism class transit_token; evidence: leaks confidential document previews, auth token [Equivalence: restates THREMOLIA-S2-F038 — one-to-one rule applied.]</t>
        </is>
      </c>
      <c r="O576" s="5" t="inlineStr">
        <is>
          <t>transit_token</t>
        </is>
      </c>
      <c r="P576" s="16" t="inlineStr"/>
      <c r="Q576" s="16" t="inlineStr">
        <is>
          <t>P1: Web Frontend Interface</t>
        </is>
      </c>
      <c r="R576" s="16" t="inlineStr"/>
      <c r="S576" s="5" t="inlineStr">
        <is>
          <t>Manual review</t>
        </is>
      </c>
    </row>
    <row r="577" ht="16" customHeight="1">
      <c r="A577" s="5" t="inlineStr">
        <is>
          <t>THREMOLIA-S2-F009</t>
        </is>
      </c>
      <c r="B577" s="5" t="inlineStr">
        <is>
          <t>THREMOLIA</t>
        </is>
      </c>
      <c r="C577" s="5" t="inlineStr">
        <is>
          <t>S2</t>
        </is>
      </c>
      <c r="D577" s="21" t="str">
        <f>IFERROR(VLOOKUP($G577,'02_REFERENCE'!$A$2:$S$99,4,FALSE),"N/A")</f>
        <v>N/A</v>
      </c>
      <c r="E577" s="21" t="str">
        <f>IFERROR(VLOOKUP($G577,'02_REFERENCE'!$A$2:$S$99,15,FALSE),"N/A")</f>
        <v>N/A</v>
      </c>
      <c r="F577" s="21" t="str">
        <f>IFERROR(VLOOKUP($G577,'02_REFERENCE'!$A$2:$S$99,17,FALSE),"N/A")</f>
        <v>N/A</v>
      </c>
      <c r="G577" s="21" t="inlineStr"/>
      <c r="H577" s="21" t="inlineStr">
        <is>
          <t>False Positive</t>
        </is>
      </c>
      <c r="I577" s="21" t="inlineStr">
        <is>
          <t>FP</t>
        </is>
      </c>
      <c r="J577" s="21" t="inlineStr">
        <is>
          <t>M</t>
        </is>
      </c>
      <c r="K577" s="21" t="inlineStr">
        <is>
          <t>N</t>
        </is>
      </c>
      <c r="L577" s="21" t="inlineStr">
        <is>
          <t>No</t>
        </is>
      </c>
      <c r="M577" s="21" t="inlineStr"/>
      <c r="N577" s="22" t="inlineStr">
        <is>
          <t>No reference threat corresponds to this finding's mechanism (scoring found no class with sufficient evidence).</t>
        </is>
      </c>
      <c r="O577" s="5" t="inlineStr"/>
      <c r="P577" s="16" t="inlineStr"/>
      <c r="Q577" s="16" t="inlineStr">
        <is>
          <t>P1: Web Frontend Interface</t>
        </is>
      </c>
      <c r="R577" s="16" t="inlineStr"/>
      <c r="S577" s="5" t="inlineStr">
        <is>
          <t>Confirmed</t>
        </is>
      </c>
    </row>
    <row r="578" ht="16" customHeight="1">
      <c r="A578" s="5" t="inlineStr">
        <is>
          <t>THREMOLIA-S2-F010</t>
        </is>
      </c>
      <c r="B578" s="5" t="inlineStr">
        <is>
          <t>THREMOLIA</t>
        </is>
      </c>
      <c r="C578" s="5" t="inlineStr">
        <is>
          <t>S2</t>
        </is>
      </c>
      <c r="D578" s="21" t="str">
        <f>IFERROR(VLOOKUP($G578,'02_REFERENCE'!$A$2:$S$99,4,FALSE),"N/A")</f>
        <v>N/A</v>
      </c>
      <c r="E578" s="21" t="str">
        <f>IFERROR(VLOOKUP($G578,'02_REFERENCE'!$A$2:$S$99,15,FALSE),"N/A")</f>
        <v>N/A</v>
      </c>
      <c r="F578" s="21" t="str">
        <f>IFERROR(VLOOKUP($G578,'02_REFERENCE'!$A$2:$S$99,17,FALSE),"N/A")</f>
        <v>N/A</v>
      </c>
      <c r="G578" s="21" t="inlineStr"/>
      <c r="H578" s="21" t="inlineStr">
        <is>
          <t>False Positive</t>
        </is>
      </c>
      <c r="I578" s="21" t="inlineStr">
        <is>
          <t>FP</t>
        </is>
      </c>
      <c r="J578" s="21" t="inlineStr">
        <is>
          <t>M</t>
        </is>
      </c>
      <c r="K578" s="21" t="inlineStr">
        <is>
          <t>N</t>
        </is>
      </c>
      <c r="L578" s="21" t="inlineStr">
        <is>
          <t>No</t>
        </is>
      </c>
      <c r="M578" s="21" t="inlineStr"/>
      <c r="N578" s="22" t="inlineStr">
        <is>
          <t>No reference threat corresponds to this finding's mechanism (scoring found no class with sufficient evidence).</t>
        </is>
      </c>
      <c r="O578" s="5" t="inlineStr"/>
      <c r="P578" s="16" t="inlineStr"/>
      <c r="Q578" s="16" t="inlineStr">
        <is>
          <t>P1: Web Frontend Interface</t>
        </is>
      </c>
      <c r="R578" s="16" t="inlineStr"/>
      <c r="S578" s="5" t="inlineStr">
        <is>
          <t>Confirmed</t>
        </is>
      </c>
    </row>
    <row r="579" ht="16" customHeight="1">
      <c r="A579" s="5" t="inlineStr">
        <is>
          <t>THREMOLIA-S2-F011</t>
        </is>
      </c>
      <c r="B579" s="5" t="inlineStr">
        <is>
          <t>THREMOLIA</t>
        </is>
      </c>
      <c r="C579" s="5" t="inlineStr">
        <is>
          <t>S2</t>
        </is>
      </c>
      <c r="D579" s="21" t="str">
        <f>IFERROR(VLOOKUP($G579,'02_REFERENCE'!$A$2:$S$99,4,FALSE),"N/A")</f>
        <v>Spoofing</v>
      </c>
      <c r="E579" s="21" t="str">
        <f>IFERROR(VLOOKUP($G579,'02_REFERENCE'!$A$2:$S$99,15,FALSE),"N/A")</f>
        <v>Critical</v>
      </c>
      <c r="F579" s="21" t="str">
        <f>IFERROR(VLOOKUP($G579,'02_REFERENCE'!$A$2:$S$99,17,FALSE),"N/A")</f>
        <v>No</v>
      </c>
      <c r="G579" s="21" t="inlineStr">
        <is>
          <t>S2-RT-001</t>
        </is>
      </c>
      <c r="H579" s="21" t="inlineStr">
        <is>
          <t>Primary TP</t>
        </is>
      </c>
      <c r="I579" s="21" t="inlineStr">
        <is>
          <t>TP</t>
        </is>
      </c>
      <c r="J579" s="21" t="inlineStr">
        <is>
          <t>M</t>
        </is>
      </c>
      <c r="K579" s="21" t="inlineStr">
        <is>
          <t>Y</t>
        </is>
      </c>
      <c r="L579" s="21" t="inlineStr">
        <is>
          <t>No</t>
        </is>
      </c>
      <c r="M579" s="21" t="inlineStr"/>
      <c r="N579" s="22" t="inlineStr">
        <is>
          <t>Mechanism class auth_bypass_logic; evidence: forged user session id</t>
        </is>
      </c>
      <c r="O579" s="5" t="inlineStr">
        <is>
          <t>auth_bypass_logic</t>
        </is>
      </c>
      <c r="P579" s="16" t="inlineStr"/>
      <c r="Q579" s="16" t="inlineStr">
        <is>
          <t>P2: File Management Service</t>
        </is>
      </c>
      <c r="R579" s="16" t="inlineStr"/>
      <c r="S579" s="5" t="inlineStr">
        <is>
          <t>Confirmed</t>
        </is>
      </c>
    </row>
    <row r="580" ht="16" customHeight="1">
      <c r="A580" s="5" t="inlineStr">
        <is>
          <t>THREMOLIA-S2-F012</t>
        </is>
      </c>
      <c r="B580" s="5" t="inlineStr">
        <is>
          <t>THREMOLIA</t>
        </is>
      </c>
      <c r="C580" s="5" t="inlineStr">
        <is>
          <t>S2</t>
        </is>
      </c>
      <c r="D580" s="21" t="str">
        <f>IFERROR(VLOOKUP($G580,'02_REFERENCE'!$A$2:$S$99,4,FALSE),"N/A")</f>
        <v>Elevation of Privilege</v>
      </c>
      <c r="E580" s="21" t="str">
        <f>IFERROR(VLOOKUP($G580,'02_REFERENCE'!$A$2:$S$99,15,FALSE),"N/A")</f>
        <v>Critical</v>
      </c>
      <c r="F580" s="21" t="str">
        <f>IFERROR(VLOOKUP($G580,'02_REFERENCE'!$A$2:$S$99,17,FALSE),"N/A")</f>
        <v>No</v>
      </c>
      <c r="G580" s="21" t="inlineStr">
        <is>
          <t>S2-RT-005</t>
        </is>
      </c>
      <c r="H580" s="21" t="inlineStr">
        <is>
          <t>Primary TP</t>
        </is>
      </c>
      <c r="I580" s="21" t="inlineStr">
        <is>
          <t>TP</t>
        </is>
      </c>
      <c r="J580" s="21" t="inlineStr">
        <is>
          <t>M</t>
        </is>
      </c>
      <c r="K580" s="21" t="inlineStr">
        <is>
          <t>Y</t>
        </is>
      </c>
      <c r="L580" s="21" t="inlineStr">
        <is>
          <t>No</t>
        </is>
      </c>
      <c r="M580" s="21" t="inlineStr"/>
      <c r="N580" s="22" t="inlineStr">
        <is>
          <t>Mechanism class storage_scope_escape; evidence: Path traversal; ../</t>
        </is>
      </c>
      <c r="O580" s="5" t="inlineStr">
        <is>
          <t>storage_scope_escape</t>
        </is>
      </c>
      <c r="P580" s="16" t="inlineStr"/>
      <c r="Q580" s="16" t="inlineStr">
        <is>
          <t>P2: File Management Service</t>
        </is>
      </c>
      <c r="R580" s="16" t="inlineStr"/>
      <c r="S580" s="5" t="inlineStr">
        <is>
          <t>Confirmed</t>
        </is>
      </c>
    </row>
    <row r="581" ht="16" customHeight="1">
      <c r="A581" s="5" t="inlineStr">
        <is>
          <t>THREMOLIA-S2-F013</t>
        </is>
      </c>
      <c r="B581" s="5" t="inlineStr">
        <is>
          <t>THREMOLIA</t>
        </is>
      </c>
      <c r="C581" s="5" t="inlineStr">
        <is>
          <t>S2</t>
        </is>
      </c>
      <c r="D581" s="21" t="str">
        <f>IFERROR(VLOOKUP($G581,'02_REFERENCE'!$A$2:$S$99,4,FALSE),"N/A")</f>
        <v>Repudiation</v>
      </c>
      <c r="E581" s="21" t="str">
        <f>IFERROR(VLOOKUP($G581,'02_REFERENCE'!$A$2:$S$99,15,FALSE),"N/A")</f>
        <v>Medium</v>
      </c>
      <c r="F581" s="21" t="str">
        <f>IFERROR(VLOOKUP($G581,'02_REFERENCE'!$A$2:$S$99,17,FALSE),"N/A")</f>
        <v>No</v>
      </c>
      <c r="G581" s="21" t="inlineStr">
        <is>
          <t>S2-RT-021</t>
        </is>
      </c>
      <c r="H581" s="21" t="inlineStr">
        <is>
          <t>Duplicate</t>
        </is>
      </c>
      <c r="I581" s="21" t="inlineStr">
        <is>
          <t>TP</t>
        </is>
      </c>
      <c r="J581" s="21" t="inlineStr">
        <is>
          <t>M</t>
        </is>
      </c>
      <c r="K581" s="21" t="inlineStr">
        <is>
          <t>N</t>
        </is>
      </c>
      <c r="L581" s="21" t="inlineStr">
        <is>
          <t>Yes</t>
        </is>
      </c>
      <c r="M581" s="21" t="inlineStr">
        <is>
          <t>THREMOLIA-S2-F030</t>
        </is>
      </c>
      <c r="N581" s="22" t="inlineStr">
        <is>
          <t>Mechanism class repudiation; evidence: fails to generate [Equivalence: restates THREMOLIA-S2-F030 — one-to-one rule applied.]</t>
        </is>
      </c>
      <c r="O581" s="5" t="inlineStr">
        <is>
          <t>repudiation</t>
        </is>
      </c>
      <c r="P581" s="16" t="inlineStr"/>
      <c r="Q581" s="16" t="inlineStr">
        <is>
          <t>P2: File Management Service</t>
        </is>
      </c>
      <c r="R581" s="16" t="inlineStr"/>
      <c r="S581" s="5" t="inlineStr">
        <is>
          <t>Confirmed</t>
        </is>
      </c>
    </row>
    <row r="582" ht="16" customHeight="1">
      <c r="A582" s="5" t="inlineStr">
        <is>
          <t>THREMOLIA-S2-F014</t>
        </is>
      </c>
      <c r="B582" s="5" t="inlineStr">
        <is>
          <t>THREMOLIA</t>
        </is>
      </c>
      <c r="C582" s="5" t="inlineStr">
        <is>
          <t>S2</t>
        </is>
      </c>
      <c r="D582" s="21" t="str">
        <f>IFERROR(VLOOKUP($G582,'02_REFERENCE'!$A$2:$S$99,4,FALSE),"N/A")</f>
        <v>Elevation of Privilege</v>
      </c>
      <c r="E582" s="21" t="str">
        <f>IFERROR(VLOOKUP($G582,'02_REFERENCE'!$A$2:$S$99,15,FALSE),"N/A")</f>
        <v>Critical</v>
      </c>
      <c r="F582" s="21" t="str">
        <f>IFERROR(VLOOKUP($G582,'02_REFERENCE'!$A$2:$S$99,17,FALSE),"N/A")</f>
        <v>No</v>
      </c>
      <c r="G582" s="21" t="inlineStr">
        <is>
          <t>S2-RT-004</t>
        </is>
      </c>
      <c r="H582" s="21" t="inlineStr">
        <is>
          <t>Primary TP</t>
        </is>
      </c>
      <c r="I582" s="21" t="inlineStr">
        <is>
          <t>TP</t>
        </is>
      </c>
      <c r="J582" s="21" t="inlineStr">
        <is>
          <t>H</t>
        </is>
      </c>
      <c r="K582" s="21" t="inlineStr">
        <is>
          <t>Y</t>
        </is>
      </c>
      <c r="L582" s="21" t="inlineStr">
        <is>
          <t>No</t>
        </is>
      </c>
      <c r="M582" s="21" t="inlineStr"/>
      <c r="N582" s="22" t="inlineStr">
        <is>
          <t>Mechanism class idor; evidence: IDOR; Direct Object Reference; retrieve files belonging to other user</t>
        </is>
      </c>
      <c r="O582" s="5" t="inlineStr">
        <is>
          <t>idor</t>
        </is>
      </c>
      <c r="P582" s="16" t="inlineStr"/>
      <c r="Q582" s="16" t="inlineStr">
        <is>
          <t>P2: File Management Service</t>
        </is>
      </c>
      <c r="R582" s="16" t="inlineStr"/>
      <c r="S582" s="5" t="inlineStr">
        <is>
          <t>Confirmed</t>
        </is>
      </c>
    </row>
    <row r="583" ht="16" customHeight="1">
      <c r="A583" s="5" t="inlineStr">
        <is>
          <t>THREMOLIA-S2-F015</t>
        </is>
      </c>
      <c r="B583" s="5" t="inlineStr">
        <is>
          <t>THREMOLIA</t>
        </is>
      </c>
      <c r="C583" s="5" t="inlineStr">
        <is>
          <t>S2</t>
        </is>
      </c>
      <c r="D583" s="21" t="str">
        <f>IFERROR(VLOOKUP($G583,'02_REFERENCE'!$A$2:$S$99,4,FALSE),"N/A")</f>
        <v>Denial of Service</v>
      </c>
      <c r="E583" s="21" t="str">
        <f>IFERROR(VLOOKUP($G583,'02_REFERENCE'!$A$2:$S$99,15,FALSE),"N/A")</f>
        <v>High</v>
      </c>
      <c r="F583" s="21" t="str">
        <f>IFERROR(VLOOKUP($G583,'02_REFERENCE'!$A$2:$S$99,17,FALSE),"N/A")</f>
        <v>No</v>
      </c>
      <c r="G583" s="21" t="inlineStr">
        <is>
          <t>S2-RT-031</t>
        </is>
      </c>
      <c r="H583" s="21" t="inlineStr">
        <is>
          <t>Duplicate</t>
        </is>
      </c>
      <c r="I583" s="21" t="inlineStr">
        <is>
          <t>TP</t>
        </is>
      </c>
      <c r="J583" s="21" t="inlineStr">
        <is>
          <t>M</t>
        </is>
      </c>
      <c r="K583" s="21" t="inlineStr">
        <is>
          <t>N</t>
        </is>
      </c>
      <c r="L583" s="21" t="inlineStr">
        <is>
          <t>Yes</t>
        </is>
      </c>
      <c r="M583" s="21" t="inlineStr">
        <is>
          <t>THREMOLIA-S2-F063</t>
        </is>
      </c>
      <c r="N583" s="22" t="inlineStr">
        <is>
          <t>Mechanism class dos_service (victim-based DoS routing); evidence: flood [Equivalence: restates THREMOLIA-S2-F063 — one-to-one rule applied.]</t>
        </is>
      </c>
      <c r="O583" s="5" t="inlineStr">
        <is>
          <t>dos_service</t>
        </is>
      </c>
      <c r="P583" s="16" t="inlineStr"/>
      <c r="Q583" s="16" t="inlineStr">
        <is>
          <t>P2: File Management Service</t>
        </is>
      </c>
      <c r="R583" s="16" t="inlineStr"/>
      <c r="S583" s="5" t="inlineStr">
        <is>
          <t>Confirmed</t>
        </is>
      </c>
    </row>
    <row r="584" ht="16" customHeight="1">
      <c r="A584" s="5" t="inlineStr">
        <is>
          <t>THREMOLIA-S2-F016</t>
        </is>
      </c>
      <c r="B584" s="5" t="inlineStr">
        <is>
          <t>THREMOLIA</t>
        </is>
      </c>
      <c r="C584" s="5" t="inlineStr">
        <is>
          <t>S2</t>
        </is>
      </c>
      <c r="D584" s="21" t="str">
        <f>IFERROR(VLOOKUP($G584,'02_REFERENCE'!$A$2:$S$99,4,FALSE),"N/A")</f>
        <v>Elevation of Privilege</v>
      </c>
      <c r="E584" s="21" t="str">
        <f>IFERROR(VLOOKUP($G584,'02_REFERENCE'!$A$2:$S$99,15,FALSE),"N/A")</f>
        <v>Critical</v>
      </c>
      <c r="F584" s="21" t="str">
        <f>IFERROR(VLOOKUP($G584,'02_REFERENCE'!$A$2:$S$99,17,FALSE),"N/A")</f>
        <v>No</v>
      </c>
      <c r="G584" s="21" t="inlineStr">
        <is>
          <t>S2-RT-003</t>
        </is>
      </c>
      <c r="H584" s="21" t="inlineStr">
        <is>
          <t>Primary TP</t>
        </is>
      </c>
      <c r="I584" s="21" t="inlineStr">
        <is>
          <t>TP</t>
        </is>
      </c>
      <c r="J584" s="21" t="inlineStr">
        <is>
          <t>H</t>
        </is>
      </c>
      <c r="K584" s="21" t="inlineStr">
        <is>
          <t>Y</t>
        </is>
      </c>
      <c r="L584" s="21" t="inlineStr">
        <is>
          <t>No</t>
        </is>
      </c>
      <c r="M584" s="21" t="inlineStr"/>
      <c r="N584" s="22" t="inlineStr">
        <is>
          <t>Mechanism class access_bypass_logic; evidence: Flaws in permission evaluation; alter file ownership; grant themselves admin permission</t>
        </is>
      </c>
      <c r="O584" s="5" t="inlineStr">
        <is>
          <t>access_bypass_logic</t>
        </is>
      </c>
      <c r="P584" s="16" t="inlineStr"/>
      <c r="Q584" s="16" t="inlineStr">
        <is>
          <t>P2: File Management Service</t>
        </is>
      </c>
      <c r="R584" s="16" t="inlineStr"/>
      <c r="S584" s="5" t="inlineStr">
        <is>
          <t>Confirmed</t>
        </is>
      </c>
    </row>
    <row r="585" ht="16" customHeight="1">
      <c r="A585" s="5" t="inlineStr">
        <is>
          <t>THREMOLIA-S2-F017</t>
        </is>
      </c>
      <c r="B585" s="5" t="inlineStr">
        <is>
          <t>THREMOLIA</t>
        </is>
      </c>
      <c r="C585" s="5" t="inlineStr">
        <is>
          <t>S2</t>
        </is>
      </c>
      <c r="D585" s="21" t="str">
        <f>IFERROR(VLOOKUP($G585,'02_REFERENCE'!$A$2:$S$99,4,FALSE),"N/A")</f>
        <v>Elevation of Privilege</v>
      </c>
      <c r="E585" s="21" t="str">
        <f>IFERROR(VLOOKUP($G585,'02_REFERENCE'!$A$2:$S$99,15,FALSE),"N/A")</f>
        <v>High</v>
      </c>
      <c r="F585" s="21" t="str">
        <f>IFERROR(VLOOKUP($G585,'02_REFERENCE'!$A$2:$S$99,17,FALSE),"N/A")</f>
        <v>Yes</v>
      </c>
      <c r="G585" s="21" t="inlineStr">
        <is>
          <t>S2-RT-009</t>
        </is>
      </c>
      <c r="H585" s="21" t="inlineStr">
        <is>
          <t>Primary TP</t>
        </is>
      </c>
      <c r="I585" s="21" t="inlineStr">
        <is>
          <t>TP</t>
        </is>
      </c>
      <c r="J585" s="21" t="inlineStr">
        <is>
          <t>H</t>
        </is>
      </c>
      <c r="K585" s="21" t="inlineStr">
        <is>
          <t>Y</t>
        </is>
      </c>
      <c r="L585" s="21" t="inlineStr">
        <is>
          <t>No</t>
        </is>
      </c>
      <c r="M585" s="21" t="inlineStr"/>
      <c r="N585" s="22" t="inlineStr">
        <is>
          <t>Mechanism class context_gap; evidence: spoofs conversation context or document identifiers to manip; context or document identifiers to manipulate AI assistant s; spoofs conversation context</t>
        </is>
      </c>
      <c r="O585" s="5" t="inlineStr">
        <is>
          <t>context_gap</t>
        </is>
      </c>
      <c r="P585" s="16" t="inlineStr"/>
      <c r="Q585" s="16" t="inlineStr">
        <is>
          <t>P3: AI File Assistant</t>
        </is>
      </c>
      <c r="R585" s="16" t="inlineStr"/>
      <c r="S585" s="5" t="inlineStr">
        <is>
          <t>Confirmed</t>
        </is>
      </c>
    </row>
    <row r="586" ht="16" customHeight="1">
      <c r="A586" s="5" t="inlineStr">
        <is>
          <t>THREMOLIA-S2-F018</t>
        </is>
      </c>
      <c r="B586" s="5" t="inlineStr">
        <is>
          <t>THREMOLIA</t>
        </is>
      </c>
      <c r="C586" s="5" t="inlineStr">
        <is>
          <t>S2</t>
        </is>
      </c>
      <c r="D586" s="21" t="str">
        <f>IFERROR(VLOOKUP($G586,'02_REFERENCE'!$A$2:$S$99,4,FALSE),"N/A")</f>
        <v>Tampering</v>
      </c>
      <c r="E586" s="21" t="str">
        <f>IFERROR(VLOOKUP($G586,'02_REFERENCE'!$A$2:$S$99,15,FALSE),"N/A")</f>
        <v>High</v>
      </c>
      <c r="F586" s="21" t="str">
        <f>IFERROR(VLOOKUP($G586,'02_REFERENCE'!$A$2:$S$99,17,FALSE),"N/A")</f>
        <v>Yes</v>
      </c>
      <c r="G586" s="21" t="inlineStr">
        <is>
          <t>S2-RT-023</t>
        </is>
      </c>
      <c r="H586" s="21" t="inlineStr">
        <is>
          <t>Primary TP</t>
        </is>
      </c>
      <c r="I586" s="21" t="inlineStr">
        <is>
          <t>TP</t>
        </is>
      </c>
      <c r="J586" s="21" t="inlineStr">
        <is>
          <t>H</t>
        </is>
      </c>
      <c r="K586" s="21" t="inlineStr">
        <is>
          <t>Y</t>
        </is>
      </c>
      <c r="L586" s="21" t="inlineStr">
        <is>
          <t>No</t>
        </is>
      </c>
      <c r="M586" s="21" t="inlineStr"/>
      <c r="N586" s="22" t="inlineStr">
        <is>
          <t>Mechanism class prompt_injection_indirect; evidence: Indirect prompt injection; uploaded documents overrides assistant instruct</t>
        </is>
      </c>
      <c r="O586" s="5" t="inlineStr">
        <is>
          <t>prompt_injection_indirect</t>
        </is>
      </c>
      <c r="P586" s="16" t="inlineStr"/>
      <c r="Q586" s="16" t="inlineStr">
        <is>
          <t>P3: AI File Assistant</t>
        </is>
      </c>
      <c r="R586" s="16" t="inlineStr"/>
      <c r="S586" s="5" t="inlineStr">
        <is>
          <t>Confirmed</t>
        </is>
      </c>
    </row>
    <row r="587" ht="16" customHeight="1">
      <c r="A587" s="5" t="inlineStr">
        <is>
          <t>THREMOLIA-S2-F019</t>
        </is>
      </c>
      <c r="B587" s="5" t="inlineStr">
        <is>
          <t>THREMOLIA</t>
        </is>
      </c>
      <c r="C587" s="5" t="inlineStr">
        <is>
          <t>S2</t>
        </is>
      </c>
      <c r="D587" s="21" t="str">
        <f>IFERROR(VLOOKUP($G587,'02_REFERENCE'!$A$2:$S$99,4,FALSE),"N/A")</f>
        <v>Repudiation</v>
      </c>
      <c r="E587" s="21" t="str">
        <f>IFERROR(VLOOKUP($G587,'02_REFERENCE'!$A$2:$S$99,15,FALSE),"N/A")</f>
        <v>Medium</v>
      </c>
      <c r="F587" s="21" t="str">
        <f>IFERROR(VLOOKUP($G587,'02_REFERENCE'!$A$2:$S$99,17,FALSE),"N/A")</f>
        <v>No</v>
      </c>
      <c r="G587" s="21" t="inlineStr">
        <is>
          <t>S2-RT-021</t>
        </is>
      </c>
      <c r="H587" s="21" t="inlineStr">
        <is>
          <t>Duplicate</t>
        </is>
      </c>
      <c r="I587" s="21" t="inlineStr">
        <is>
          <t>TP</t>
        </is>
      </c>
      <c r="J587" s="21" t="inlineStr">
        <is>
          <t>M</t>
        </is>
      </c>
      <c r="K587" s="21" t="inlineStr">
        <is>
          <t>N</t>
        </is>
      </c>
      <c r="L587" s="21" t="inlineStr">
        <is>
          <t>Yes</t>
        </is>
      </c>
      <c r="M587" s="21" t="inlineStr">
        <is>
          <t>THREMOLIA-S2-F030</t>
        </is>
      </c>
      <c r="N587" s="22" t="inlineStr">
        <is>
          <t>Mechanism class repudiation; evidence: Lack of logging [Equivalence: restates THREMOLIA-S2-F030 — one-to-one rule applied.]</t>
        </is>
      </c>
      <c r="O587" s="5" t="inlineStr">
        <is>
          <t>repudiation</t>
        </is>
      </c>
      <c r="P587" s="16" t="inlineStr"/>
      <c r="Q587" s="16" t="inlineStr">
        <is>
          <t>P3: AI File Assistant</t>
        </is>
      </c>
      <c r="R587" s="16" t="inlineStr"/>
      <c r="S587" s="5" t="inlineStr">
        <is>
          <t>Confirmed</t>
        </is>
      </c>
    </row>
    <row r="588" ht="16" customHeight="1">
      <c r="A588" s="5" t="inlineStr">
        <is>
          <t>THREMOLIA-S2-F020</t>
        </is>
      </c>
      <c r="B588" s="5" t="inlineStr">
        <is>
          <t>THREMOLIA</t>
        </is>
      </c>
      <c r="C588" s="5" t="inlineStr">
        <is>
          <t>S2</t>
        </is>
      </c>
      <c r="D588" s="21" t="str">
        <f>IFERROR(VLOOKUP($G588,'02_REFERENCE'!$A$2:$S$99,4,FALSE),"N/A")</f>
        <v>N/A</v>
      </c>
      <c r="E588" s="21" t="str">
        <f>IFERROR(VLOOKUP($G588,'02_REFERENCE'!$A$2:$S$99,15,FALSE),"N/A")</f>
        <v>N/A</v>
      </c>
      <c r="F588" s="21" t="str">
        <f>IFERROR(VLOOKUP($G588,'02_REFERENCE'!$A$2:$S$99,17,FALSE),"N/A")</f>
        <v>N/A</v>
      </c>
      <c r="G588" s="21" t="inlineStr"/>
      <c r="H588" s="21" t="inlineStr">
        <is>
          <t>False Positive</t>
        </is>
      </c>
      <c r="I588" s="21" t="inlineStr">
        <is>
          <t>FP</t>
        </is>
      </c>
      <c r="J588" s="21" t="inlineStr">
        <is>
          <t>M</t>
        </is>
      </c>
      <c r="K588" s="21" t="inlineStr">
        <is>
          <t>N</t>
        </is>
      </c>
      <c r="L588" s="21" t="inlineStr">
        <is>
          <t>No</t>
        </is>
      </c>
      <c r="M588" s="21" t="inlineStr"/>
      <c r="N588" s="22" t="inlineStr">
        <is>
          <t>Template-class kb_disclosure (no reference threat): leaking unauthorized document context</t>
        </is>
      </c>
      <c r="O588" s="5" t="inlineStr">
        <is>
          <t>kb_disclosure</t>
        </is>
      </c>
      <c r="P588" s="16" t="inlineStr"/>
      <c r="Q588" s="16" t="inlineStr">
        <is>
          <t>P3: AI File Assistant</t>
        </is>
      </c>
      <c r="R588" s="16" t="inlineStr"/>
      <c r="S588" s="5" t="inlineStr">
        <is>
          <t>Confirmed</t>
        </is>
      </c>
    </row>
    <row r="589" ht="16" customHeight="1">
      <c r="A589" s="5" t="inlineStr">
        <is>
          <t>THREMOLIA-S2-F021</t>
        </is>
      </c>
      <c r="B589" s="5" t="inlineStr">
        <is>
          <t>THREMOLIA</t>
        </is>
      </c>
      <c r="C589" s="5" t="inlineStr">
        <is>
          <t>S2</t>
        </is>
      </c>
      <c r="D589" s="21" t="str">
        <f>IFERROR(VLOOKUP($G589,'02_REFERENCE'!$A$2:$S$99,4,FALSE),"N/A")</f>
        <v>Denial of Service</v>
      </c>
      <c r="E589" s="21" t="str">
        <f>IFERROR(VLOOKUP($G589,'02_REFERENCE'!$A$2:$S$99,15,FALSE),"N/A")</f>
        <v>Medium</v>
      </c>
      <c r="F589" s="21" t="str">
        <f>IFERROR(VLOOKUP($G589,'02_REFERENCE'!$A$2:$S$99,17,FALSE),"N/A")</f>
        <v>Yes</v>
      </c>
      <c r="G589" s="21" t="inlineStr">
        <is>
          <t>S2-RT-033</t>
        </is>
      </c>
      <c r="H589" s="21" t="inlineStr">
        <is>
          <t>Duplicate</t>
        </is>
      </c>
      <c r="I589" s="21" t="inlineStr">
        <is>
          <t>TP</t>
        </is>
      </c>
      <c r="J589" s="21" t="inlineStr">
        <is>
          <t>M</t>
        </is>
      </c>
      <c r="K589" s="21" t="inlineStr">
        <is>
          <t>N</t>
        </is>
      </c>
      <c r="L589" s="21" t="inlineStr">
        <is>
          <t>Yes</t>
        </is>
      </c>
      <c r="M589" s="21" t="inlineStr">
        <is>
          <t>THREMOLIA-S2-F069</t>
        </is>
      </c>
      <c r="N589" s="22" t="inlineStr">
        <is>
          <t>Mechanism class llm_consumption (victim-based DoS routing); evidence: Excessive document question [Equivalence: restates THREMOLIA-S2-F069 — one-to-one rule applied.]</t>
        </is>
      </c>
      <c r="O589" s="5" t="inlineStr">
        <is>
          <t>dos_service</t>
        </is>
      </c>
      <c r="P589" s="16" t="inlineStr"/>
      <c r="Q589" s="16" t="inlineStr">
        <is>
          <t>P3: AI File Assistant</t>
        </is>
      </c>
      <c r="R589" s="16" t="inlineStr"/>
      <c r="S589" s="5" t="inlineStr">
        <is>
          <t>Confirmed</t>
        </is>
      </c>
    </row>
    <row r="590" ht="16" customHeight="1">
      <c r="A590" s="5" t="inlineStr">
        <is>
          <t>THREMOLIA-S2-F022</t>
        </is>
      </c>
      <c r="B590" s="5" t="inlineStr">
        <is>
          <t>THREMOLIA</t>
        </is>
      </c>
      <c r="C590" s="5" t="inlineStr">
        <is>
          <t>S2</t>
        </is>
      </c>
      <c r="D590" s="21" t="str">
        <f>IFERROR(VLOOKUP($G590,'02_REFERENCE'!$A$2:$S$99,4,FALSE),"N/A")</f>
        <v>Tampering</v>
      </c>
      <c r="E590" s="21" t="str">
        <f>IFERROR(VLOOKUP($G590,'02_REFERENCE'!$A$2:$S$99,15,FALSE),"N/A")</f>
        <v>High</v>
      </c>
      <c r="F590" s="21" t="str">
        <f>IFERROR(VLOOKUP($G590,'02_REFERENCE'!$A$2:$S$99,17,FALSE),"N/A")</f>
        <v>Yes</v>
      </c>
      <c r="G590" s="21" t="inlineStr">
        <is>
          <t>S2-RT-022</t>
        </is>
      </c>
      <c r="H590" s="21" t="inlineStr">
        <is>
          <t>Primary TP</t>
        </is>
      </c>
      <c r="I590" s="21" t="inlineStr">
        <is>
          <t>TP</t>
        </is>
      </c>
      <c r="J590" s="21" t="inlineStr">
        <is>
          <t>H</t>
        </is>
      </c>
      <c r="K590" s="21" t="inlineStr">
        <is>
          <t>Y</t>
        </is>
      </c>
      <c r="L590" s="21" t="inlineStr">
        <is>
          <t>No</t>
        </is>
      </c>
      <c r="M590" s="21" t="inlineStr"/>
      <c r="N590" s="22" t="inlineStr">
        <is>
          <t>Mechanism class prompt_injection_direct; evidence: Prompt injection; Prompt inject; Prompt injection trick</t>
        </is>
      </c>
      <c r="O590" s="5" t="inlineStr">
        <is>
          <t>prompt_injection_direct</t>
        </is>
      </c>
      <c r="P590" s="16" t="inlineStr"/>
      <c r="Q590" s="16" t="inlineStr">
        <is>
          <t>P3: AI File Assistant</t>
        </is>
      </c>
      <c r="R590" s="16" t="inlineStr"/>
      <c r="S590" s="5" t="inlineStr">
        <is>
          <t>Confirmed</t>
        </is>
      </c>
    </row>
    <row r="591" ht="16" customHeight="1">
      <c r="A591" s="5" t="inlineStr">
        <is>
          <t>THREMOLIA-S2-F023</t>
        </is>
      </c>
      <c r="B591" s="5" t="inlineStr">
        <is>
          <t>THREMOLIA</t>
        </is>
      </c>
      <c r="C591" s="5" t="inlineStr">
        <is>
          <t>S2</t>
        </is>
      </c>
      <c r="D591" s="21" t="str">
        <f>IFERROR(VLOOKUP($G591,'02_REFERENCE'!$A$2:$S$99,4,FALSE),"N/A")</f>
        <v>Information Disclosure</v>
      </c>
      <c r="E591" s="21" t="str">
        <f>IFERROR(VLOOKUP($G591,'02_REFERENCE'!$A$2:$S$99,15,FALSE),"N/A")</f>
        <v>High</v>
      </c>
      <c r="F591" s="21" t="str">
        <f>IFERROR(VLOOKUP($G591,'02_REFERENCE'!$A$2:$S$99,17,FALSE),"N/A")</f>
        <v>Yes</v>
      </c>
      <c r="G591" s="21" t="inlineStr">
        <is>
          <t>S2-RT-018</t>
        </is>
      </c>
      <c r="H591" s="21" t="inlineStr">
        <is>
          <t>Duplicate</t>
        </is>
      </c>
      <c r="I591" s="21" t="inlineStr">
        <is>
          <t>TP</t>
        </is>
      </c>
      <c r="J591" s="21" t="inlineStr">
        <is>
          <t>L</t>
        </is>
      </c>
      <c r="K591" s="21" t="inlineStr">
        <is>
          <t>N</t>
        </is>
      </c>
      <c r="L591" s="21" t="inlineStr">
        <is>
          <t>Yes</t>
        </is>
      </c>
      <c r="M591" s="21" t="inlineStr">
        <is>
          <t>THREMOLIA-S2-F089</t>
        </is>
      </c>
      <c r="N591" s="22" t="inlineStr">
        <is>
          <t>Mechanism class sensitive_to_llm; evidence: send arbitrary prompt [Equivalence: restates THREMOLIA-S2-F089 — one-to-one rule applied.]</t>
        </is>
      </c>
      <c r="O591" s="5" t="inlineStr">
        <is>
          <t>sensitive_to_llm</t>
        </is>
      </c>
      <c r="P591" s="16" t="inlineStr"/>
      <c r="Q591" s="16" t="inlineStr">
        <is>
          <t>P4: LLM Integration Service</t>
        </is>
      </c>
      <c r="R591" s="16" t="inlineStr"/>
      <c r="S591" s="5" t="inlineStr">
        <is>
          <t>Manual review</t>
        </is>
      </c>
    </row>
    <row r="592" ht="16" customHeight="1">
      <c r="A592" s="5" t="inlineStr">
        <is>
          <t>THREMOLIA-S2-F024</t>
        </is>
      </c>
      <c r="B592" s="5" t="inlineStr">
        <is>
          <t>THREMOLIA</t>
        </is>
      </c>
      <c r="C592" s="5" t="inlineStr">
        <is>
          <t>S2</t>
        </is>
      </c>
      <c r="D592" s="21" t="str">
        <f>IFERROR(VLOOKUP($G592,'02_REFERENCE'!$A$2:$S$99,4,FALSE),"N/A")</f>
        <v>Denial of Service</v>
      </c>
      <c r="E592" s="21" t="str">
        <f>IFERROR(VLOOKUP($G592,'02_REFERENCE'!$A$2:$S$99,15,FALSE),"N/A")</f>
        <v>Medium</v>
      </c>
      <c r="F592" s="21" t="str">
        <f>IFERROR(VLOOKUP($G592,'02_REFERENCE'!$A$2:$S$99,17,FALSE),"N/A")</f>
        <v>Yes</v>
      </c>
      <c r="G592" s="21" t="inlineStr">
        <is>
          <t>S2-RT-033</t>
        </is>
      </c>
      <c r="H592" s="21" t="inlineStr">
        <is>
          <t>Duplicate</t>
        </is>
      </c>
      <c r="I592" s="21" t="inlineStr">
        <is>
          <t>TP</t>
        </is>
      </c>
      <c r="J592" s="21" t="inlineStr">
        <is>
          <t>M</t>
        </is>
      </c>
      <c r="K592" s="21" t="inlineStr">
        <is>
          <t>N</t>
        </is>
      </c>
      <c r="L592" s="21" t="inlineStr">
        <is>
          <t>Yes</t>
        </is>
      </c>
      <c r="M592" s="21" t="inlineStr">
        <is>
          <t>THREMOLIA-S2-F069</t>
        </is>
      </c>
      <c r="N592" s="22" t="inlineStr">
        <is>
          <t>Mechanism class llm_consumption (victim-based DoS routing); evidence: meters allows jailbreak exploits.  P4: LLM; prompt templates or context assembly parameters [Equivalence: restates THREMOLIA-S2-F069 — one-to-one rule applied.]</t>
        </is>
      </c>
      <c r="O592" s="5" t="inlineStr">
        <is>
          <t>dos_service</t>
        </is>
      </c>
      <c r="P592" s="16" t="inlineStr"/>
      <c r="Q592" s="16" t="inlineStr">
        <is>
          <t>P4: LLM Integration Service</t>
        </is>
      </c>
      <c r="R592" s="16" t="inlineStr"/>
      <c r="S592" s="5" t="inlineStr">
        <is>
          <t>Confirmed</t>
        </is>
      </c>
    </row>
    <row r="593" ht="16" customHeight="1">
      <c r="A593" s="5" t="inlineStr">
        <is>
          <t>THREMOLIA-S2-F025</t>
        </is>
      </c>
      <c r="B593" s="5" t="inlineStr">
        <is>
          <t>THREMOLIA</t>
        </is>
      </c>
      <c r="C593" s="5" t="inlineStr">
        <is>
          <t>S2</t>
        </is>
      </c>
      <c r="D593" s="21" t="str">
        <f>IFERROR(VLOOKUP($G593,'02_REFERENCE'!$A$2:$S$99,4,FALSE),"N/A")</f>
        <v>Repudiation</v>
      </c>
      <c r="E593" s="21" t="str">
        <f>IFERROR(VLOOKUP($G593,'02_REFERENCE'!$A$2:$S$99,15,FALSE),"N/A")</f>
        <v>Medium</v>
      </c>
      <c r="F593" s="21" t="str">
        <f>IFERROR(VLOOKUP($G593,'02_REFERENCE'!$A$2:$S$99,17,FALSE),"N/A")</f>
        <v>No</v>
      </c>
      <c r="G593" s="21" t="inlineStr">
        <is>
          <t>S2-RT-021</t>
        </is>
      </c>
      <c r="H593" s="21" t="inlineStr">
        <is>
          <t>Duplicate</t>
        </is>
      </c>
      <c r="I593" s="21" t="inlineStr">
        <is>
          <t>TP</t>
        </is>
      </c>
      <c r="J593" s="21" t="inlineStr">
        <is>
          <t>M</t>
        </is>
      </c>
      <c r="K593" s="21" t="inlineStr">
        <is>
          <t>N</t>
        </is>
      </c>
      <c r="L593" s="21" t="inlineStr">
        <is>
          <t>Yes</t>
        </is>
      </c>
      <c r="M593" s="21" t="inlineStr">
        <is>
          <t>THREMOLIA-S2-F030</t>
        </is>
      </c>
      <c r="N593" s="22" t="inlineStr">
        <is>
          <t>Mechanism class repudiation; evidence: fails to log [Equivalence: restates THREMOLIA-S2-F030 — one-to-one rule applied.]</t>
        </is>
      </c>
      <c r="O593" s="5" t="inlineStr">
        <is>
          <t>repudiation</t>
        </is>
      </c>
      <c r="P593" s="16" t="inlineStr"/>
      <c r="Q593" s="16" t="inlineStr">
        <is>
          <t>P4: LLM Integration Service</t>
        </is>
      </c>
      <c r="R593" s="16" t="inlineStr"/>
      <c r="S593" s="5" t="inlineStr">
        <is>
          <t>Confirmed</t>
        </is>
      </c>
    </row>
    <row r="594" ht="16" customHeight="1">
      <c r="A594" s="5" t="inlineStr">
        <is>
          <t>THREMOLIA-S2-F026</t>
        </is>
      </c>
      <c r="B594" s="5" t="inlineStr">
        <is>
          <t>THREMOLIA</t>
        </is>
      </c>
      <c r="C594" s="5" t="inlineStr">
        <is>
          <t>S2</t>
        </is>
      </c>
      <c r="D594" s="21" t="str">
        <f>IFERROR(VLOOKUP($G594,'02_REFERENCE'!$A$2:$S$99,4,FALSE),"N/A")</f>
        <v>Denial of Service</v>
      </c>
      <c r="E594" s="21" t="str">
        <f>IFERROR(VLOOKUP($G594,'02_REFERENCE'!$A$2:$S$99,15,FALSE),"N/A")</f>
        <v>Medium</v>
      </c>
      <c r="F594" s="21" t="str">
        <f>IFERROR(VLOOKUP($G594,'02_REFERENCE'!$A$2:$S$99,17,FALSE),"N/A")</f>
        <v>Yes</v>
      </c>
      <c r="G594" s="21" t="inlineStr">
        <is>
          <t>S2-RT-033</t>
        </is>
      </c>
      <c r="H594" s="21" t="inlineStr">
        <is>
          <t>Duplicate</t>
        </is>
      </c>
      <c r="I594" s="21" t="inlineStr">
        <is>
          <t>TP</t>
        </is>
      </c>
      <c r="J594" s="21" t="inlineStr">
        <is>
          <t>L</t>
        </is>
      </c>
      <c r="K594" s="21" t="inlineStr">
        <is>
          <t>N</t>
        </is>
      </c>
      <c r="L594" s="21" t="inlineStr">
        <is>
          <t>Yes</t>
        </is>
      </c>
      <c r="M594" s="21" t="inlineStr">
        <is>
          <t>THREMOLIA-S2-F069</t>
        </is>
      </c>
      <c r="N594" s="22" t="inlineStr">
        <is>
          <t>Mechanism class llm_consumption (victim-based DoS routing); evidence: excessive unapproved document context leaked in prompt [Equivalence: restates THREMOLIA-S2-F069 — one-to-one rule applied.]</t>
        </is>
      </c>
      <c r="O594" s="5" t="inlineStr">
        <is>
          <t>dos_service</t>
        </is>
      </c>
      <c r="P594" s="16" t="inlineStr"/>
      <c r="Q594" s="16" t="inlineStr">
        <is>
          <t>P4: LLM Integration Service</t>
        </is>
      </c>
      <c r="R594" s="16" t="inlineStr"/>
      <c r="S594" s="5" t="inlineStr">
        <is>
          <t>Manual review</t>
        </is>
      </c>
    </row>
    <row r="595" ht="16" customHeight="1">
      <c r="A595" s="5" t="inlineStr">
        <is>
          <t>THREMOLIA-S2-F027</t>
        </is>
      </c>
      <c r="B595" s="5" t="inlineStr">
        <is>
          <t>THREMOLIA</t>
        </is>
      </c>
      <c r="C595" s="5" t="inlineStr">
        <is>
          <t>S2</t>
        </is>
      </c>
      <c r="D595" s="21" t="str">
        <f>IFERROR(VLOOKUP($G595,'02_REFERENCE'!$A$2:$S$99,4,FALSE),"N/A")</f>
        <v>Denial of Service</v>
      </c>
      <c r="E595" s="21" t="str">
        <f>IFERROR(VLOOKUP($G595,'02_REFERENCE'!$A$2:$S$99,15,FALSE),"N/A")</f>
        <v>Medium</v>
      </c>
      <c r="F595" s="21" t="str">
        <f>IFERROR(VLOOKUP($G595,'02_REFERENCE'!$A$2:$S$99,17,FALSE),"N/A")</f>
        <v>Yes</v>
      </c>
      <c r="G595" s="21" t="inlineStr">
        <is>
          <t>S2-RT-032</t>
        </is>
      </c>
      <c r="H595" s="21" t="inlineStr">
        <is>
          <t>Duplicate</t>
        </is>
      </c>
      <c r="I595" s="21" t="inlineStr">
        <is>
          <t>TP</t>
        </is>
      </c>
      <c r="J595" s="21" t="inlineStr">
        <is>
          <t>M</t>
        </is>
      </c>
      <c r="K595" s="21" t="inlineStr">
        <is>
          <t>N</t>
        </is>
      </c>
      <c r="L595" s="21" t="inlineStr">
        <is>
          <t>Yes</t>
        </is>
      </c>
      <c r="M595" s="21" t="inlineStr">
        <is>
          <t>THREMOLIA-S2-F096</t>
        </is>
      </c>
      <c r="N595" s="22" t="inlineStr">
        <is>
          <t>Mechanism class llm_unavailable; evidence: upstream LLM provider API rate limit [Equivalence: restates THREMOLIA-S2-F096 — one-to-one rule applied.]</t>
        </is>
      </c>
      <c r="O595" s="5" t="inlineStr">
        <is>
          <t>llm_unavailable</t>
        </is>
      </c>
      <c r="P595" s="16" t="inlineStr"/>
      <c r="Q595" s="16" t="inlineStr">
        <is>
          <t>P4: LLM Integration Service</t>
        </is>
      </c>
      <c r="R595" s="16" t="inlineStr"/>
      <c r="S595" s="5" t="inlineStr">
        <is>
          <t>Confirmed</t>
        </is>
      </c>
    </row>
    <row r="596" ht="16" customHeight="1">
      <c r="A596" s="5" t="inlineStr">
        <is>
          <t>THREMOLIA-S2-F028</t>
        </is>
      </c>
      <c r="B596" s="5" t="inlineStr">
        <is>
          <t>THREMOLIA</t>
        </is>
      </c>
      <c r="C596" s="5" t="inlineStr">
        <is>
          <t>S2</t>
        </is>
      </c>
      <c r="D596" s="21" t="str">
        <f>IFERROR(VLOOKUP($G596,'02_REFERENCE'!$A$2:$S$99,4,FALSE),"N/A")</f>
        <v>Tampering</v>
      </c>
      <c r="E596" s="21" t="str">
        <f>IFERROR(VLOOKUP($G596,'02_REFERENCE'!$A$2:$S$99,15,FALSE),"N/A")</f>
        <v>Critical</v>
      </c>
      <c r="F596" s="21" t="str">
        <f>IFERROR(VLOOKUP($G596,'02_REFERENCE'!$A$2:$S$99,17,FALSE),"N/A")</f>
        <v>Yes</v>
      </c>
      <c r="G596" s="21" t="inlineStr">
        <is>
          <t>S2-RT-026</t>
        </is>
      </c>
      <c r="H596" s="21" t="inlineStr">
        <is>
          <t>Duplicate</t>
        </is>
      </c>
      <c r="I596" s="21" t="inlineStr">
        <is>
          <t>TP</t>
        </is>
      </c>
      <c r="J596" s="21" t="inlineStr">
        <is>
          <t>L</t>
        </is>
      </c>
      <c r="K596" s="21" t="inlineStr">
        <is>
          <t>N</t>
        </is>
      </c>
      <c r="L596" s="21" t="inlineStr">
        <is>
          <t>Yes</t>
        </is>
      </c>
      <c r="M596" s="21" t="inlineStr">
        <is>
          <t>THREMOLIA-S2-F006</t>
        </is>
      </c>
      <c r="N596" s="22" t="inlineStr">
        <is>
          <t>Mechanism class unsafe_output; evidence: LLM responses executed as shell commands or unvalidated dese [Equivalence: restates THREMOLIA-S2-F006 — one-to-one rule applied.]</t>
        </is>
      </c>
      <c r="O596" s="5" t="inlineStr">
        <is>
          <t>unsafe_output</t>
        </is>
      </c>
      <c r="P596" s="16" t="inlineStr"/>
      <c r="Q596" s="16" t="inlineStr">
        <is>
          <t>P4: LLM Integration Service</t>
        </is>
      </c>
      <c r="R596" s="16" t="inlineStr"/>
      <c r="S596" s="5" t="inlineStr">
        <is>
          <t>Manual review</t>
        </is>
      </c>
    </row>
    <row r="597" ht="16" customHeight="1">
      <c r="A597" s="5" t="inlineStr">
        <is>
          <t>THREMOLIA-S2-F029</t>
        </is>
      </c>
      <c r="B597" s="5" t="inlineStr">
        <is>
          <t>THREMOLIA</t>
        </is>
      </c>
      <c r="C597" s="5" t="inlineStr">
        <is>
          <t>S2</t>
        </is>
      </c>
      <c r="D597" s="21" t="str">
        <f>IFERROR(VLOOKUP($G597,'02_REFERENCE'!$A$2:$S$99,4,FALSE),"N/A")</f>
        <v>Tampering</v>
      </c>
      <c r="E597" s="21" t="str">
        <f>IFERROR(VLOOKUP($G597,'02_REFERENCE'!$A$2:$S$99,15,FALSE),"N/A")</f>
        <v>High</v>
      </c>
      <c r="F597" s="21" t="str">
        <f>IFERROR(VLOOKUP($G597,'02_REFERENCE'!$A$2:$S$99,17,FALSE),"N/A")</f>
        <v>No</v>
      </c>
      <c r="G597" s="21" t="inlineStr">
        <is>
          <t>S2-RT-014</t>
        </is>
      </c>
      <c r="H597" s="21" t="inlineStr">
        <is>
          <t>Primary TP</t>
        </is>
      </c>
      <c r="I597" s="21" t="inlineStr">
        <is>
          <t>TP</t>
        </is>
      </c>
      <c r="J597" s="21" t="inlineStr">
        <is>
          <t>H</t>
        </is>
      </c>
      <c r="K597" s="21" t="inlineStr">
        <is>
          <t>Y</t>
        </is>
      </c>
      <c r="L597" s="21" t="inlineStr">
        <is>
          <t>No</t>
        </is>
      </c>
      <c r="M597" s="21" t="inlineStr"/>
      <c r="N597" s="22" t="inlineStr">
        <is>
          <t>Mechanism class stored_tamper; evidence: tampering or unauthorized modification of stored user files ; unauthorized modification of stored user files and document</t>
        </is>
      </c>
      <c r="O597" s="5" t="inlineStr">
        <is>
          <t>stored_tamper</t>
        </is>
      </c>
      <c r="P597" s="16" t="inlineStr"/>
      <c r="Q597" s="16" t="inlineStr">
        <is>
          <t>DS1: Server Storage Repository</t>
        </is>
      </c>
      <c r="R597" s="16" t="inlineStr"/>
      <c r="S597" s="5" t="inlineStr">
        <is>
          <t>Confirmed</t>
        </is>
      </c>
    </row>
    <row r="598" ht="16" customHeight="1">
      <c r="A598" s="5" t="inlineStr">
        <is>
          <t>THREMOLIA-S2-F030</t>
        </is>
      </c>
      <c r="B598" s="5" t="inlineStr">
        <is>
          <t>THREMOLIA</t>
        </is>
      </c>
      <c r="C598" s="5" t="inlineStr">
        <is>
          <t>S2</t>
        </is>
      </c>
      <c r="D598" s="21" t="str">
        <f>IFERROR(VLOOKUP($G598,'02_REFERENCE'!$A$2:$S$99,4,FALSE),"N/A")</f>
        <v>Repudiation</v>
      </c>
      <c r="E598" s="21" t="str">
        <f>IFERROR(VLOOKUP($G598,'02_REFERENCE'!$A$2:$S$99,15,FALSE),"N/A")</f>
        <v>Medium</v>
      </c>
      <c r="F598" s="21" t="str">
        <f>IFERROR(VLOOKUP($G598,'02_REFERENCE'!$A$2:$S$99,17,FALSE),"N/A")</f>
        <v>No</v>
      </c>
      <c r="G598" s="21" t="inlineStr">
        <is>
          <t>S2-RT-021</t>
        </is>
      </c>
      <c r="H598" s="21" t="inlineStr">
        <is>
          <t>Primary TP</t>
        </is>
      </c>
      <c r="I598" s="21" t="inlineStr">
        <is>
          <t>TP</t>
        </is>
      </c>
      <c r="J598" s="21" t="inlineStr">
        <is>
          <t>H</t>
        </is>
      </c>
      <c r="K598" s="21" t="inlineStr">
        <is>
          <t>Y</t>
        </is>
      </c>
      <c r="L598" s="21" t="inlineStr">
        <is>
          <t>No</t>
        </is>
      </c>
      <c r="M598" s="21" t="inlineStr"/>
      <c r="N598" s="22" t="inlineStr">
        <is>
          <t>Mechanism class repudiation; evidence: without audit trail; without audit</t>
        </is>
      </c>
      <c r="O598" s="5" t="inlineStr">
        <is>
          <t>repudiation</t>
        </is>
      </c>
      <c r="P598" s="16" t="inlineStr"/>
      <c r="Q598" s="16" t="inlineStr">
        <is>
          <t>DS1: Server Storage Repository</t>
        </is>
      </c>
      <c r="R598" s="16" t="inlineStr"/>
      <c r="S598" s="5" t="inlineStr">
        <is>
          <t>Confirmed</t>
        </is>
      </c>
    </row>
    <row r="599" ht="16" customHeight="1">
      <c r="A599" s="5" t="inlineStr">
        <is>
          <t>THREMOLIA-S2-F031</t>
        </is>
      </c>
      <c r="B599" s="5" t="inlineStr">
        <is>
          <t>THREMOLIA</t>
        </is>
      </c>
      <c r="C599" s="5" t="inlineStr">
        <is>
          <t>S2</t>
        </is>
      </c>
      <c r="D599" s="21" t="str">
        <f>IFERROR(VLOOKUP($G599,'02_REFERENCE'!$A$2:$S$99,4,FALSE),"N/A")</f>
        <v>Information Disclosure</v>
      </c>
      <c r="E599" s="21" t="str">
        <f>IFERROR(VLOOKUP($G599,'02_REFERENCE'!$A$2:$S$99,15,FALSE),"N/A")</f>
        <v>Critical</v>
      </c>
      <c r="F599" s="21" t="str">
        <f>IFERROR(VLOOKUP($G599,'02_REFERENCE'!$A$2:$S$99,17,FALSE),"N/A")</f>
        <v>No</v>
      </c>
      <c r="G599" s="21" t="inlineStr">
        <is>
          <t>S2-RT-015</t>
        </is>
      </c>
      <c r="H599" s="21" t="inlineStr">
        <is>
          <t>Primary TP</t>
        </is>
      </c>
      <c r="I599" s="21" t="inlineStr">
        <is>
          <t>TP</t>
        </is>
      </c>
      <c r="J599" s="21" t="inlineStr">
        <is>
          <t>H</t>
        </is>
      </c>
      <c r="K599" s="21" t="inlineStr">
        <is>
          <t>Y</t>
        </is>
      </c>
      <c r="L599" s="21" t="inlineStr">
        <is>
          <t>No</t>
        </is>
      </c>
      <c r="M599" s="21" t="inlineStr"/>
      <c r="N599" s="22" t="inlineStr">
        <is>
          <t>Mechanism class mass_disclosure; evidence: exposing stored confidential user documents; Unauthorized direct access or misconfigured bucket</t>
        </is>
      </c>
      <c r="O599" s="5" t="inlineStr">
        <is>
          <t>mass_disclosure</t>
        </is>
      </c>
      <c r="P599" s="16" t="inlineStr"/>
      <c r="Q599" s="16" t="inlineStr">
        <is>
          <t>DS1: Server Storage Repository</t>
        </is>
      </c>
      <c r="R599" s="16" t="inlineStr"/>
      <c r="S599" s="5" t="inlineStr">
        <is>
          <t>Confirmed</t>
        </is>
      </c>
    </row>
    <row r="600" ht="16" customHeight="1">
      <c r="A600" s="5" t="inlineStr">
        <is>
          <t>THREMOLIA-S2-F032</t>
        </is>
      </c>
      <c r="B600" s="5" t="inlineStr">
        <is>
          <t>THREMOLIA</t>
        </is>
      </c>
      <c r="C600" s="5" t="inlineStr">
        <is>
          <t>S2</t>
        </is>
      </c>
      <c r="D600" s="21" t="str">
        <f>IFERROR(VLOOKUP($G600,'02_REFERENCE'!$A$2:$S$99,4,FALSE),"N/A")</f>
        <v>Denial of Service</v>
      </c>
      <c r="E600" s="21" t="str">
        <f>IFERROR(VLOOKUP($G600,'02_REFERENCE'!$A$2:$S$99,15,FALSE),"N/A")</f>
        <v>High</v>
      </c>
      <c r="F600" s="21" t="str">
        <f>IFERROR(VLOOKUP($G600,'02_REFERENCE'!$A$2:$S$99,17,FALSE),"N/A")</f>
        <v>No</v>
      </c>
      <c r="G600" s="21" t="inlineStr">
        <is>
          <t>S2-RT-031</t>
        </is>
      </c>
      <c r="H600" s="21" t="inlineStr">
        <is>
          <t>Duplicate</t>
        </is>
      </c>
      <c r="I600" s="21" t="inlineStr">
        <is>
          <t>TP</t>
        </is>
      </c>
      <c r="J600" s="21" t="inlineStr">
        <is>
          <t>M</t>
        </is>
      </c>
      <c r="K600" s="21" t="inlineStr">
        <is>
          <t>N</t>
        </is>
      </c>
      <c r="L600" s="21" t="inlineStr">
        <is>
          <t>Yes</t>
        </is>
      </c>
      <c r="M600" s="21" t="inlineStr">
        <is>
          <t>THREMOLIA-S2-F063</t>
        </is>
      </c>
      <c r="N600" s="22" t="inlineStr">
        <is>
          <t>Mechanism class dos_service (victim-based DoS routing); evidence: exhaust [Equivalence: restates THREMOLIA-S2-F063 — one-to-one rule applied.]</t>
        </is>
      </c>
      <c r="O600" s="5" t="inlineStr">
        <is>
          <t>dos_service</t>
        </is>
      </c>
      <c r="P600" s="16" t="inlineStr"/>
      <c r="Q600" s="16" t="inlineStr">
        <is>
          <t>DS1: Server Storage Repository</t>
        </is>
      </c>
      <c r="R600" s="16" t="inlineStr"/>
      <c r="S600" s="5" t="inlineStr">
        <is>
          <t>Confirmed</t>
        </is>
      </c>
    </row>
    <row r="601" ht="16" customHeight="1">
      <c r="A601" s="5" t="inlineStr">
        <is>
          <t>THREMOLIA-S2-F033</t>
        </is>
      </c>
      <c r="B601" s="5" t="inlineStr">
        <is>
          <t>THREMOLIA</t>
        </is>
      </c>
      <c r="C601" s="5" t="inlineStr">
        <is>
          <t>S2</t>
        </is>
      </c>
      <c r="D601" s="21" t="str">
        <f>IFERROR(VLOOKUP($G601,'02_REFERENCE'!$A$2:$S$99,4,FALSE),"N/A")</f>
        <v>Tampering</v>
      </c>
      <c r="E601" s="21" t="str">
        <f>IFERROR(VLOOKUP($G601,'02_REFERENCE'!$A$2:$S$99,15,FALSE),"N/A")</f>
        <v>Critical</v>
      </c>
      <c r="F601" s="21" t="str">
        <f>IFERROR(VLOOKUP($G601,'02_REFERENCE'!$A$2:$S$99,17,FALSE),"N/A")</f>
        <v>No</v>
      </c>
      <c r="G601" s="21" t="inlineStr">
        <is>
          <t>S2-RT-034</t>
        </is>
      </c>
      <c r="H601" s="21" t="inlineStr">
        <is>
          <t>Primary TP</t>
        </is>
      </c>
      <c r="I601" s="21" t="inlineStr">
        <is>
          <t>TP</t>
        </is>
      </c>
      <c r="J601" s="21" t="inlineStr">
        <is>
          <t>M</t>
        </is>
      </c>
      <c r="K601" s="21" t="inlineStr">
        <is>
          <t>Y</t>
        </is>
      </c>
      <c r="L601" s="21" t="inlineStr">
        <is>
          <t>No</t>
        </is>
      </c>
      <c r="M601" s="21" t="inlineStr"/>
      <c r="N601" s="22" t="inlineStr">
        <is>
          <t>Mechanism class permission_tamper; evidence: alteration of file ownership, permission tables, or user ide; alteration of file ownership, permission</t>
        </is>
      </c>
      <c r="O601" s="5" t="inlineStr">
        <is>
          <t>permission_tamper</t>
        </is>
      </c>
      <c r="P601" s="16" t="inlineStr"/>
      <c r="Q601" s="16" t="inlineStr">
        <is>
          <t>DS2: User / Permission Database</t>
        </is>
      </c>
      <c r="R601" s="16" t="inlineStr"/>
      <c r="S601" s="5" t="inlineStr">
        <is>
          <t>Confirmed</t>
        </is>
      </c>
    </row>
    <row r="602" ht="16" customHeight="1">
      <c r="A602" s="5" t="inlineStr">
        <is>
          <t>THREMOLIA-S2-F034</t>
        </is>
      </c>
      <c r="B602" s="5" t="inlineStr">
        <is>
          <t>THREMOLIA</t>
        </is>
      </c>
      <c r="C602" s="5" t="inlineStr">
        <is>
          <t>S2</t>
        </is>
      </c>
      <c r="D602" s="21" t="str">
        <f>IFERROR(VLOOKUP($G602,'02_REFERENCE'!$A$2:$S$99,4,FALSE),"N/A")</f>
        <v>Repudiation</v>
      </c>
      <c r="E602" s="21" t="str">
        <f>IFERROR(VLOOKUP($G602,'02_REFERENCE'!$A$2:$S$99,15,FALSE),"N/A")</f>
        <v>Medium</v>
      </c>
      <c r="F602" s="21" t="str">
        <f>IFERROR(VLOOKUP($G602,'02_REFERENCE'!$A$2:$S$99,17,FALSE),"N/A")</f>
        <v>No</v>
      </c>
      <c r="G602" s="21" t="inlineStr">
        <is>
          <t>S2-RT-021</t>
        </is>
      </c>
      <c r="H602" s="21" t="inlineStr">
        <is>
          <t>Duplicate</t>
        </is>
      </c>
      <c r="I602" s="21" t="inlineStr">
        <is>
          <t>TP</t>
        </is>
      </c>
      <c r="J602" s="21" t="inlineStr">
        <is>
          <t>H</t>
        </is>
      </c>
      <c r="K602" s="21" t="inlineStr">
        <is>
          <t>N</t>
        </is>
      </c>
      <c r="L602" s="21" t="inlineStr">
        <is>
          <t>Yes</t>
        </is>
      </c>
      <c r="M602" s="21" t="inlineStr">
        <is>
          <t>THREMOLIA-S2-F030</t>
        </is>
      </c>
      <c r="N602" s="22" t="inlineStr">
        <is>
          <t>Mechanism class repudiation; evidence: without logging; logging, preventing; account changes occur without logging; without logging [Equivalence: restates THREMOLIA-S2-F030 — one-to-one rule applied.]</t>
        </is>
      </c>
      <c r="O602" s="5" t="inlineStr">
        <is>
          <t>repudiation</t>
        </is>
      </c>
      <c r="P602" s="16" t="inlineStr"/>
      <c r="Q602" s="16" t="inlineStr">
        <is>
          <t>DS2: User / Permission Database</t>
        </is>
      </c>
      <c r="R602" s="16" t="inlineStr"/>
      <c r="S602" s="5" t="inlineStr">
        <is>
          <t>Confirmed</t>
        </is>
      </c>
    </row>
    <row r="603" ht="16" customHeight="1">
      <c r="A603" s="5" t="inlineStr">
        <is>
          <t>THREMOLIA-S2-F035</t>
        </is>
      </c>
      <c r="B603" s="5" t="inlineStr">
        <is>
          <t>THREMOLIA</t>
        </is>
      </c>
      <c r="C603" s="5" t="inlineStr">
        <is>
          <t>S2</t>
        </is>
      </c>
      <c r="D603" s="21" t="str">
        <f>IFERROR(VLOOKUP($G603,'02_REFERENCE'!$A$2:$S$99,4,FALSE),"N/A")</f>
        <v>Information Disclosure</v>
      </c>
      <c r="E603" s="21" t="str">
        <f>IFERROR(VLOOKUP($G603,'02_REFERENCE'!$A$2:$S$99,15,FALSE),"N/A")</f>
        <v>Critical</v>
      </c>
      <c r="F603" s="21" t="str">
        <f>IFERROR(VLOOKUP($G603,'02_REFERENCE'!$A$2:$S$99,17,FALSE),"N/A")</f>
        <v>No</v>
      </c>
      <c r="G603" s="21" t="inlineStr">
        <is>
          <t>S2-RT-015</t>
        </is>
      </c>
      <c r="H603" s="21" t="inlineStr">
        <is>
          <t>Duplicate</t>
        </is>
      </c>
      <c r="I603" s="21" t="inlineStr">
        <is>
          <t>TP</t>
        </is>
      </c>
      <c r="J603" s="21" t="inlineStr">
        <is>
          <t>H</t>
        </is>
      </c>
      <c r="K603" s="21" t="inlineStr">
        <is>
          <t>N</t>
        </is>
      </c>
      <c r="L603" s="21" t="inlineStr">
        <is>
          <t>Yes</t>
        </is>
      </c>
      <c r="M603" s="21" t="inlineStr">
        <is>
          <t>THREMOLIA-S2-F031</t>
        </is>
      </c>
      <c r="N603" s="22" t="inlineStr">
        <is>
          <t>Mechanism class mass_disclosure; evidence: unauthorized database read reveal; read reveals all user identities, permissions; SQL injection or unauthorized database read reveals all user [Equivalence: restates THREMOLIA-S2-F031 — one-to-one rule applied.]</t>
        </is>
      </c>
      <c r="O603" s="5" t="inlineStr">
        <is>
          <t>mass_disclosure</t>
        </is>
      </c>
      <c r="P603" s="16" t="inlineStr"/>
      <c r="Q603" s="16" t="inlineStr">
        <is>
          <t>DS2: User / Permission Database</t>
        </is>
      </c>
      <c r="R603" s="16" t="inlineStr"/>
      <c r="S603" s="5" t="inlineStr">
        <is>
          <t>Confirmed</t>
        </is>
      </c>
    </row>
    <row r="604" ht="16" customHeight="1">
      <c r="A604" s="5" t="inlineStr">
        <is>
          <t>THREMOLIA-S2-F036</t>
        </is>
      </c>
      <c r="B604" s="5" t="inlineStr">
        <is>
          <t>THREMOLIA</t>
        </is>
      </c>
      <c r="C604" s="5" t="inlineStr">
        <is>
          <t>S2</t>
        </is>
      </c>
      <c r="D604" s="21" t="str">
        <f>IFERROR(VLOOKUP($G604,'02_REFERENCE'!$A$2:$S$99,4,FALSE),"N/A")</f>
        <v>Denial of Service</v>
      </c>
      <c r="E604" s="21" t="str">
        <f>IFERROR(VLOOKUP($G604,'02_REFERENCE'!$A$2:$S$99,15,FALSE),"N/A")</f>
        <v>High</v>
      </c>
      <c r="F604" s="21" t="str">
        <f>IFERROR(VLOOKUP($G604,'02_REFERENCE'!$A$2:$S$99,17,FALSE),"N/A")</f>
        <v>No</v>
      </c>
      <c r="G604" s="21" t="inlineStr">
        <is>
          <t>S2-RT-031</t>
        </is>
      </c>
      <c r="H604" s="21" t="inlineStr">
        <is>
          <t>Duplicate</t>
        </is>
      </c>
      <c r="I604" s="21" t="inlineStr">
        <is>
          <t>TP</t>
        </is>
      </c>
      <c r="J604" s="21" t="inlineStr">
        <is>
          <t>M</t>
        </is>
      </c>
      <c r="K604" s="21" t="inlineStr">
        <is>
          <t>N</t>
        </is>
      </c>
      <c r="L604" s="21" t="inlineStr">
        <is>
          <t>Yes</t>
        </is>
      </c>
      <c r="M604" s="21" t="inlineStr">
        <is>
          <t>THREMOLIA-S2-F063</t>
        </is>
      </c>
      <c r="N604" s="22" t="inlineStr">
        <is>
          <t>Mechanism class dos_service (victim-based DoS routing); evidence: flood [Equivalence: restates THREMOLIA-S2-F063 — one-to-one rule applied.]</t>
        </is>
      </c>
      <c r="O604" s="5" t="inlineStr">
        <is>
          <t>dos_service</t>
        </is>
      </c>
      <c r="P604" s="16" t="inlineStr"/>
      <c r="Q604" s="16" t="inlineStr">
        <is>
          <t>DS2: User / Permission Database</t>
        </is>
      </c>
      <c r="R604" s="16" t="inlineStr"/>
      <c r="S604" s="5" t="inlineStr">
        <is>
          <t>Confirmed</t>
        </is>
      </c>
    </row>
    <row r="605" ht="16" customHeight="1">
      <c r="A605" s="5" t="inlineStr">
        <is>
          <t>THREMOLIA-S2-F037</t>
        </is>
      </c>
      <c r="B605" s="5" t="inlineStr">
        <is>
          <t>THREMOLIA</t>
        </is>
      </c>
      <c r="C605" s="5" t="inlineStr">
        <is>
          <t>S2</t>
        </is>
      </c>
      <c r="D605" s="21" t="str">
        <f>IFERROR(VLOOKUP($G605,'02_REFERENCE'!$A$2:$S$99,4,FALSE),"N/A")</f>
        <v>Tampering</v>
      </c>
      <c r="E605" s="21" t="str">
        <f>IFERROR(VLOOKUP($G605,'02_REFERENCE'!$A$2:$S$99,15,FALSE),"N/A")</f>
        <v>High</v>
      </c>
      <c r="F605" s="21" t="str">
        <f>IFERROR(VLOOKUP($G605,'02_REFERENCE'!$A$2:$S$99,17,FALSE),"N/A")</f>
        <v>No</v>
      </c>
      <c r="G605" s="21" t="inlineStr">
        <is>
          <t>S2-RT-013</t>
        </is>
      </c>
      <c r="H605" s="21" t="inlineStr">
        <is>
          <t>Primary TP</t>
        </is>
      </c>
      <c r="I605" s="21" t="inlineStr">
        <is>
          <t>TP</t>
        </is>
      </c>
      <c r="J605" s="21" t="inlineStr">
        <is>
          <t>L</t>
        </is>
      </c>
      <c r="K605" s="21" t="inlineStr">
        <is>
          <t>Y</t>
        </is>
      </c>
      <c r="L605" s="21" t="inlineStr">
        <is>
          <t>No</t>
        </is>
      </c>
      <c r="M605" s="21" t="inlineStr"/>
      <c r="N605" s="22" t="inlineStr">
        <is>
          <t>Mechanism class metadata_tamper; evidence: tampering alters uploaded file contents or metadata</t>
        </is>
      </c>
      <c r="O605" s="5" t="inlineStr">
        <is>
          <t>metadata_tamper</t>
        </is>
      </c>
      <c r="P605" s="16" t="inlineStr"/>
      <c r="Q605" s="16" t="inlineStr">
        <is>
          <t>DF1: File Upload Request</t>
        </is>
      </c>
      <c r="R605" s="16" t="inlineStr"/>
      <c r="S605" s="5" t="inlineStr">
        <is>
          <t>Manual review</t>
        </is>
      </c>
    </row>
    <row r="606" ht="16" customHeight="1">
      <c r="A606" s="5" t="inlineStr">
        <is>
          <t>THREMOLIA-S2-F038</t>
        </is>
      </c>
      <c r="B606" s="5" t="inlineStr">
        <is>
          <t>THREMOLIA</t>
        </is>
      </c>
      <c r="C606" s="5" t="inlineStr">
        <is>
          <t>S2</t>
        </is>
      </c>
      <c r="D606" s="21" t="str">
        <f>IFERROR(VLOOKUP($G606,'02_REFERENCE'!$A$2:$S$99,4,FALSE),"N/A")</f>
        <v>Information Disclosure</v>
      </c>
      <c r="E606" s="21" t="str">
        <f>IFERROR(VLOOKUP($G606,'02_REFERENCE'!$A$2:$S$99,15,FALSE),"N/A")</f>
        <v>High</v>
      </c>
      <c r="F606" s="21" t="str">
        <f>IFERROR(VLOOKUP($G606,'02_REFERENCE'!$A$2:$S$99,17,FALSE),"N/A")</f>
        <v>No</v>
      </c>
      <c r="G606" s="21" t="inlineStr">
        <is>
          <t>S2-RT-017</t>
        </is>
      </c>
      <c r="H606" s="21" t="inlineStr">
        <is>
          <t>Primary TP</t>
        </is>
      </c>
      <c r="I606" s="21" t="inlineStr">
        <is>
          <t>TP</t>
        </is>
      </c>
      <c r="J606" s="21" t="inlineStr">
        <is>
          <t>H</t>
        </is>
      </c>
      <c r="K606" s="21" t="inlineStr">
        <is>
          <t>Y</t>
        </is>
      </c>
      <c r="L606" s="21" t="inlineStr">
        <is>
          <t>No</t>
        </is>
      </c>
      <c r="M606" s="21" t="inlineStr"/>
      <c r="N606" s="22" t="inlineStr">
        <is>
          <t>Mechanism class transit_data_general; evidence: Eavesdropping on unencrypted upload stream intercepts confid; file contents in transit</t>
        </is>
      </c>
      <c r="O606" s="5" t="inlineStr">
        <is>
          <t>transit_data_general</t>
        </is>
      </c>
      <c r="P606" s="16" t="inlineStr"/>
      <c r="Q606" s="16" t="inlineStr">
        <is>
          <t>DF1: File Upload Request</t>
        </is>
      </c>
      <c r="R606" s="16" t="inlineStr"/>
      <c r="S606" s="5" t="inlineStr">
        <is>
          <t>Confirmed</t>
        </is>
      </c>
    </row>
    <row r="607" ht="16" customHeight="1">
      <c r="A607" s="5" t="inlineStr">
        <is>
          <t>THREMOLIA-S2-F039</t>
        </is>
      </c>
      <c r="B607" s="5" t="inlineStr">
        <is>
          <t>THREMOLIA</t>
        </is>
      </c>
      <c r="C607" s="5" t="inlineStr">
        <is>
          <t>S2</t>
        </is>
      </c>
      <c r="D607" s="21" t="str">
        <f>IFERROR(VLOOKUP($G607,'02_REFERENCE'!$A$2:$S$99,4,FALSE),"N/A")</f>
        <v>Denial of Service</v>
      </c>
      <c r="E607" s="21" t="str">
        <f>IFERROR(VLOOKUP($G607,'02_REFERENCE'!$A$2:$S$99,15,FALSE),"N/A")</f>
        <v>High</v>
      </c>
      <c r="F607" s="21" t="str">
        <f>IFERROR(VLOOKUP($G607,'02_REFERENCE'!$A$2:$S$99,17,FALSE),"N/A")</f>
        <v>No</v>
      </c>
      <c r="G607" s="21" t="inlineStr">
        <is>
          <t>S2-RT-031</t>
        </is>
      </c>
      <c r="H607" s="21" t="inlineStr">
        <is>
          <t>Duplicate</t>
        </is>
      </c>
      <c r="I607" s="21" t="inlineStr">
        <is>
          <t>TP</t>
        </is>
      </c>
      <c r="J607" s="21" t="inlineStr">
        <is>
          <t>M</t>
        </is>
      </c>
      <c r="K607" s="21" t="inlineStr">
        <is>
          <t>N</t>
        </is>
      </c>
      <c r="L607" s="21" t="inlineStr">
        <is>
          <t>Yes</t>
        </is>
      </c>
      <c r="M607" s="21" t="inlineStr">
        <is>
          <t>THREMOLIA-S2-F063</t>
        </is>
      </c>
      <c r="N607" s="22" t="inlineStr">
        <is>
          <t>Mechanism class dos_service (victim-based DoS routing); evidence: flood [Equivalence: restates THREMOLIA-S2-F063 — one-to-one rule applied.]</t>
        </is>
      </c>
      <c r="O607" s="5" t="inlineStr">
        <is>
          <t>dos_service</t>
        </is>
      </c>
      <c r="P607" s="16" t="inlineStr"/>
      <c r="Q607" s="16" t="inlineStr">
        <is>
          <t>DF1: File Upload Request</t>
        </is>
      </c>
      <c r="R607" s="16" t="inlineStr"/>
      <c r="S607" s="5" t="inlineStr">
        <is>
          <t>Confirmed</t>
        </is>
      </c>
    </row>
    <row r="608" ht="16" customHeight="1">
      <c r="A608" s="5" t="inlineStr">
        <is>
          <t>THREMOLIA-S2-F040</t>
        </is>
      </c>
      <c r="B608" s="5" t="inlineStr">
        <is>
          <t>THREMOLIA</t>
        </is>
      </c>
      <c r="C608" s="5" t="inlineStr">
        <is>
          <t>S2</t>
        </is>
      </c>
      <c r="D608" s="21" t="str">
        <f>IFERROR(VLOOKUP($G608,'02_REFERENCE'!$A$2:$S$99,4,FALSE),"N/A")</f>
        <v>N/A</v>
      </c>
      <c r="E608" s="21" t="str">
        <f>IFERROR(VLOOKUP($G608,'02_REFERENCE'!$A$2:$S$99,15,FALSE),"N/A")</f>
        <v>N/A</v>
      </c>
      <c r="F608" s="21" t="str">
        <f>IFERROR(VLOOKUP($G608,'02_REFERENCE'!$A$2:$S$99,17,FALSE),"N/A")</f>
        <v>N/A</v>
      </c>
      <c r="G608" s="21" t="inlineStr"/>
      <c r="H608" s="21" t="inlineStr">
        <is>
          <t>False Positive</t>
        </is>
      </c>
      <c r="I608" s="21" t="inlineStr">
        <is>
          <t>FP</t>
        </is>
      </c>
      <c r="J608" s="21" t="inlineStr">
        <is>
          <t>M</t>
        </is>
      </c>
      <c r="K608" s="21" t="inlineStr">
        <is>
          <t>N</t>
        </is>
      </c>
      <c r="L608" s="21" t="inlineStr">
        <is>
          <t>No</t>
        </is>
      </c>
      <c r="M608" s="21" t="inlineStr"/>
      <c r="N608" s="22" t="inlineStr">
        <is>
          <t>No reference threat corresponds to this finding's mechanism (scoring found no class with sufficient evidence).</t>
        </is>
      </c>
      <c r="O608" s="5" t="inlineStr"/>
      <c r="P608" s="16" t="inlineStr"/>
      <c r="Q608" s="16" t="inlineStr">
        <is>
          <t>DF2: Uploaded File + Metadata</t>
        </is>
      </c>
      <c r="R608" s="16" t="inlineStr"/>
      <c r="S608" s="5" t="inlineStr">
        <is>
          <t>Confirmed</t>
        </is>
      </c>
    </row>
    <row r="609" ht="16" customHeight="1">
      <c r="A609" s="5" t="inlineStr">
        <is>
          <t>THREMOLIA-S2-F041</t>
        </is>
      </c>
      <c r="B609" s="5" t="inlineStr">
        <is>
          <t>THREMOLIA</t>
        </is>
      </c>
      <c r="C609" s="5" t="inlineStr">
        <is>
          <t>S2</t>
        </is>
      </c>
      <c r="D609" s="21" t="str">
        <f>IFERROR(VLOOKUP($G609,'02_REFERENCE'!$A$2:$S$99,4,FALSE),"N/A")</f>
        <v>Information Disclosure</v>
      </c>
      <c r="E609" s="21" t="str">
        <f>IFERROR(VLOOKUP($G609,'02_REFERENCE'!$A$2:$S$99,15,FALSE),"N/A")</f>
        <v>High</v>
      </c>
      <c r="F609" s="21" t="str">
        <f>IFERROR(VLOOKUP($G609,'02_REFERENCE'!$A$2:$S$99,17,FALSE),"N/A")</f>
        <v>No</v>
      </c>
      <c r="G609" s="21" t="inlineStr">
        <is>
          <t>S2-RT-017</t>
        </is>
      </c>
      <c r="H609" s="21" t="inlineStr">
        <is>
          <t>Duplicate</t>
        </is>
      </c>
      <c r="I609" s="21" t="inlineStr">
        <is>
          <t>TP</t>
        </is>
      </c>
      <c r="J609" s="21" t="inlineStr">
        <is>
          <t>H</t>
        </is>
      </c>
      <c r="K609" s="21" t="inlineStr">
        <is>
          <t>N</t>
        </is>
      </c>
      <c r="L609" s="21" t="inlineStr">
        <is>
          <t>Yes</t>
        </is>
      </c>
      <c r="M609" s="21" t="inlineStr">
        <is>
          <t>THREMOLIA-S2-F038</t>
        </is>
      </c>
      <c r="N609" s="22" t="inlineStr">
        <is>
          <t>Mechanism class transit_data_general; evidence: sniffing intercepts uploaded document content; document contents in transit [Equivalence: restates THREMOLIA-S2-F038 — one-to-one rule applied.]</t>
        </is>
      </c>
      <c r="O609" s="5" t="inlineStr">
        <is>
          <t>transit_data_general</t>
        </is>
      </c>
      <c r="P609" s="16" t="inlineStr"/>
      <c r="Q609" s="16" t="inlineStr">
        <is>
          <t>DF2: Uploaded File + Metadata</t>
        </is>
      </c>
      <c r="R609" s="16" t="inlineStr"/>
      <c r="S609" s="5" t="inlineStr">
        <is>
          <t>Confirmed</t>
        </is>
      </c>
    </row>
    <row r="610" ht="16" customHeight="1">
      <c r="A610" s="5" t="inlineStr">
        <is>
          <t>THREMOLIA-S2-F042</t>
        </is>
      </c>
      <c r="B610" s="5" t="inlineStr">
        <is>
          <t>THREMOLIA</t>
        </is>
      </c>
      <c r="C610" s="5" t="inlineStr">
        <is>
          <t>S2</t>
        </is>
      </c>
      <c r="D610" s="21" t="str">
        <f>IFERROR(VLOOKUP($G610,'02_REFERENCE'!$A$2:$S$99,4,FALSE),"N/A")</f>
        <v>Denial of Service</v>
      </c>
      <c r="E610" s="21" t="str">
        <f>IFERROR(VLOOKUP($G610,'02_REFERENCE'!$A$2:$S$99,15,FALSE),"N/A")</f>
        <v>High</v>
      </c>
      <c r="F610" s="21" t="str">
        <f>IFERROR(VLOOKUP($G610,'02_REFERENCE'!$A$2:$S$99,17,FALSE),"N/A")</f>
        <v>No</v>
      </c>
      <c r="G610" s="21" t="inlineStr">
        <is>
          <t>S2-RT-031</t>
        </is>
      </c>
      <c r="H610" s="21" t="inlineStr">
        <is>
          <t>Duplicate</t>
        </is>
      </c>
      <c r="I610" s="21" t="inlineStr">
        <is>
          <t>TP</t>
        </is>
      </c>
      <c r="J610" s="21" t="inlineStr">
        <is>
          <t>M</t>
        </is>
      </c>
      <c r="K610" s="21" t="inlineStr">
        <is>
          <t>N</t>
        </is>
      </c>
      <c r="L610" s="21" t="inlineStr">
        <is>
          <t>Yes</t>
        </is>
      </c>
      <c r="M610" s="21" t="inlineStr">
        <is>
          <t>THREMOLIA-S2-F063</t>
        </is>
      </c>
      <c r="N610" s="22" t="inlineStr">
        <is>
          <t>Mechanism class dos_service (victim-based DoS routing); evidence: saturat [Equivalence: restates THREMOLIA-S2-F063 — one-to-one rule applied.]</t>
        </is>
      </c>
      <c r="O610" s="5" t="inlineStr">
        <is>
          <t>dos_service</t>
        </is>
      </c>
      <c r="P610" s="16" t="inlineStr"/>
      <c r="Q610" s="16" t="inlineStr">
        <is>
          <t>DF2: Uploaded File + Metadata</t>
        </is>
      </c>
      <c r="R610" s="16" t="inlineStr"/>
      <c r="S610" s="5" t="inlineStr">
        <is>
          <t>Confirmed</t>
        </is>
      </c>
    </row>
    <row r="611" ht="16" customHeight="1">
      <c r="A611" s="5" t="inlineStr">
        <is>
          <t>THREMOLIA-S2-F043</t>
        </is>
      </c>
      <c r="B611" s="5" t="inlineStr">
        <is>
          <t>THREMOLIA</t>
        </is>
      </c>
      <c r="C611" s="5" t="inlineStr">
        <is>
          <t>S2</t>
        </is>
      </c>
      <c r="D611" s="21" t="str">
        <f>IFERROR(VLOOKUP($G611,'02_REFERENCE'!$A$2:$S$99,4,FALSE),"N/A")</f>
        <v>N/A</v>
      </c>
      <c r="E611" s="21" t="str">
        <f>IFERROR(VLOOKUP($G611,'02_REFERENCE'!$A$2:$S$99,15,FALSE),"N/A")</f>
        <v>N/A</v>
      </c>
      <c r="F611" s="21" t="str">
        <f>IFERROR(VLOOKUP($G611,'02_REFERENCE'!$A$2:$S$99,17,FALSE),"N/A")</f>
        <v>N/A</v>
      </c>
      <c r="G611" s="21" t="inlineStr"/>
      <c r="H611" s="21" t="inlineStr">
        <is>
          <t>False Positive</t>
        </is>
      </c>
      <c r="I611" s="21" t="inlineStr">
        <is>
          <t>FP</t>
        </is>
      </c>
      <c r="J611" s="21" t="inlineStr">
        <is>
          <t>M</t>
        </is>
      </c>
      <c r="K611" s="21" t="inlineStr">
        <is>
          <t>N</t>
        </is>
      </c>
      <c r="L611" s="21" t="inlineStr">
        <is>
          <t>No</t>
        </is>
      </c>
      <c r="M611" s="21" t="inlineStr"/>
      <c r="N611" s="22" t="inlineStr">
        <is>
          <t>No reference threat corresponds to this finding's mechanism (scoring found no class with sufficient evidence).</t>
        </is>
      </c>
      <c r="O611" s="5" t="inlineStr"/>
      <c r="P611" s="16" t="inlineStr"/>
      <c r="Q611" s="16" t="inlineStr">
        <is>
          <t>DF3: Validated File Storage Request</t>
        </is>
      </c>
      <c r="R611" s="16" t="inlineStr"/>
      <c r="S611" s="5" t="inlineStr">
        <is>
          <t>Confirmed</t>
        </is>
      </c>
    </row>
    <row r="612" ht="16" customHeight="1">
      <c r="A612" s="5" t="inlineStr">
        <is>
          <t>THREMOLIA-S2-F044</t>
        </is>
      </c>
      <c r="B612" s="5" t="inlineStr">
        <is>
          <t>THREMOLIA</t>
        </is>
      </c>
      <c r="C612" s="5" t="inlineStr">
        <is>
          <t>S2</t>
        </is>
      </c>
      <c r="D612" s="21" t="str">
        <f>IFERROR(VLOOKUP($G612,'02_REFERENCE'!$A$2:$S$99,4,FALSE),"N/A")</f>
        <v>Information Disclosure</v>
      </c>
      <c r="E612" s="21" t="str">
        <f>IFERROR(VLOOKUP($G612,'02_REFERENCE'!$A$2:$S$99,15,FALSE),"N/A")</f>
        <v>High</v>
      </c>
      <c r="F612" s="21" t="str">
        <f>IFERROR(VLOOKUP($G612,'02_REFERENCE'!$A$2:$S$99,17,FALSE),"N/A")</f>
        <v>No</v>
      </c>
      <c r="G612" s="21" t="inlineStr">
        <is>
          <t>S2-RT-017</t>
        </is>
      </c>
      <c r="H612" s="21" t="inlineStr">
        <is>
          <t>Duplicate</t>
        </is>
      </c>
      <c r="I612" s="21" t="inlineStr">
        <is>
          <t>TP</t>
        </is>
      </c>
      <c r="J612" s="21" t="inlineStr">
        <is>
          <t>M</t>
        </is>
      </c>
      <c r="K612" s="21" t="inlineStr">
        <is>
          <t>N</t>
        </is>
      </c>
      <c r="L612" s="21" t="inlineStr">
        <is>
          <t>Yes</t>
        </is>
      </c>
      <c r="M612" s="21" t="inlineStr">
        <is>
          <t>THREMOLIA-S2-F038</t>
        </is>
      </c>
      <c r="N612" s="22" t="inlineStr">
        <is>
          <t>Mechanism class transit_data_general; evidence: sniffing intercepts file contents written to DS1.  DF3: Vali [Equivalence: restates THREMOLIA-S2-F038 — one-to-one rule applied.]</t>
        </is>
      </c>
      <c r="O612" s="5" t="inlineStr">
        <is>
          <t>transit_data_general</t>
        </is>
      </c>
      <c r="P612" s="16" t="inlineStr"/>
      <c r="Q612" s="16" t="inlineStr">
        <is>
          <t>DF3: Validated File Storage Request</t>
        </is>
      </c>
      <c r="R612" s="16" t="inlineStr"/>
      <c r="S612" s="5" t="inlineStr">
        <is>
          <t>Confirmed</t>
        </is>
      </c>
    </row>
    <row r="613" ht="16" customHeight="1">
      <c r="A613" s="5" t="inlineStr">
        <is>
          <t>THREMOLIA-S2-F045</t>
        </is>
      </c>
      <c r="B613" s="5" t="inlineStr">
        <is>
          <t>THREMOLIA</t>
        </is>
      </c>
      <c r="C613" s="5" t="inlineStr">
        <is>
          <t>S2</t>
        </is>
      </c>
      <c r="D613" s="21" t="str">
        <f>IFERROR(VLOOKUP($G613,'02_REFERENCE'!$A$2:$S$99,4,FALSE),"N/A")</f>
        <v>Denial of Service</v>
      </c>
      <c r="E613" s="21" t="str">
        <f>IFERROR(VLOOKUP($G613,'02_REFERENCE'!$A$2:$S$99,15,FALSE),"N/A")</f>
        <v>High</v>
      </c>
      <c r="F613" s="21" t="str">
        <f>IFERROR(VLOOKUP($G613,'02_REFERENCE'!$A$2:$S$99,17,FALSE),"N/A")</f>
        <v>No</v>
      </c>
      <c r="G613" s="21" t="inlineStr">
        <is>
          <t>S2-RT-031</t>
        </is>
      </c>
      <c r="H613" s="21" t="inlineStr">
        <is>
          <t>Duplicate</t>
        </is>
      </c>
      <c r="I613" s="21" t="inlineStr">
        <is>
          <t>TP</t>
        </is>
      </c>
      <c r="J613" s="21" t="inlineStr">
        <is>
          <t>M</t>
        </is>
      </c>
      <c r="K613" s="21" t="inlineStr">
        <is>
          <t>N</t>
        </is>
      </c>
      <c r="L613" s="21" t="inlineStr">
        <is>
          <t>Yes</t>
        </is>
      </c>
      <c r="M613" s="21" t="inlineStr">
        <is>
          <t>THREMOLIA-S2-F063</t>
        </is>
      </c>
      <c r="N613" s="22" t="inlineStr">
        <is>
          <t>Mechanism class dos_service (victim-based DoS routing); evidence: flood [Equivalence: restates THREMOLIA-S2-F063 — one-to-one rule applied.]</t>
        </is>
      </c>
      <c r="O613" s="5" t="inlineStr">
        <is>
          <t>dos_service</t>
        </is>
      </c>
      <c r="P613" s="16" t="inlineStr"/>
      <c r="Q613" s="16" t="inlineStr">
        <is>
          <t>DF3: Validated File Storage Request</t>
        </is>
      </c>
      <c r="R613" s="16" t="inlineStr"/>
      <c r="S613" s="5" t="inlineStr">
        <is>
          <t>Confirmed</t>
        </is>
      </c>
    </row>
    <row r="614" ht="16" customHeight="1">
      <c r="A614" s="5" t="inlineStr">
        <is>
          <t>THREMOLIA-S2-F046</t>
        </is>
      </c>
      <c r="B614" s="5" t="inlineStr">
        <is>
          <t>THREMOLIA</t>
        </is>
      </c>
      <c r="C614" s="5" t="inlineStr">
        <is>
          <t>S2</t>
        </is>
      </c>
      <c r="D614" s="21" t="str">
        <f>IFERROR(VLOOKUP($G614,'02_REFERENCE'!$A$2:$S$99,4,FALSE),"N/A")</f>
        <v>Information Disclosure</v>
      </c>
      <c r="E614" s="21" t="str">
        <f>IFERROR(VLOOKUP($G614,'02_REFERENCE'!$A$2:$S$99,15,FALSE),"N/A")</f>
        <v>High</v>
      </c>
      <c r="F614" s="21" t="str">
        <f>IFERROR(VLOOKUP($G614,'02_REFERENCE'!$A$2:$S$99,17,FALSE),"N/A")</f>
        <v>No</v>
      </c>
      <c r="G614" s="21" t="inlineStr">
        <is>
          <t>S2-RT-017</t>
        </is>
      </c>
      <c r="H614" s="21" t="inlineStr">
        <is>
          <t>Duplicate</t>
        </is>
      </c>
      <c r="I614" s="21" t="inlineStr">
        <is>
          <t>TP</t>
        </is>
      </c>
      <c r="J614" s="21" t="inlineStr">
        <is>
          <t>M</t>
        </is>
      </c>
      <c r="K614" s="21" t="inlineStr">
        <is>
          <t>N</t>
        </is>
      </c>
      <c r="L614" s="21" t="inlineStr">
        <is>
          <t>Yes</t>
        </is>
      </c>
      <c r="M614" s="21" t="inlineStr">
        <is>
          <t>THREMOLIA-S2-F038</t>
        </is>
      </c>
      <c r="N614" s="22" t="inlineStr">
        <is>
          <t>Mechanism class transit_data_general; evidence: in transit from user browser.  DF4: File Retrieval Request; file retrieval query parameters or path IDs in transit [Equivalence: restates THREMOLIA-S2-F038 — one-to-one rule applied.]</t>
        </is>
      </c>
      <c r="O614" s="5" t="inlineStr">
        <is>
          <t>transit_data_general</t>
        </is>
      </c>
      <c r="P614" s="16" t="inlineStr"/>
      <c r="Q614" s="16" t="inlineStr">
        <is>
          <t>DF4: File Retrieval Request</t>
        </is>
      </c>
      <c r="R614" s="16" t="inlineStr"/>
      <c r="S614" s="5" t="inlineStr">
        <is>
          <t>Confirmed</t>
        </is>
      </c>
    </row>
    <row r="615" ht="16" customHeight="1">
      <c r="A615" s="5" t="inlineStr">
        <is>
          <t>THREMOLIA-S2-F047</t>
        </is>
      </c>
      <c r="B615" s="5" t="inlineStr">
        <is>
          <t>THREMOLIA</t>
        </is>
      </c>
      <c r="C615" s="5" t="inlineStr">
        <is>
          <t>S2</t>
        </is>
      </c>
      <c r="D615" s="21" t="str">
        <f>IFERROR(VLOOKUP($G615,'02_REFERENCE'!$A$2:$S$99,4,FALSE),"N/A")</f>
        <v>Information Disclosure</v>
      </c>
      <c r="E615" s="21" t="str">
        <f>IFERROR(VLOOKUP($G615,'02_REFERENCE'!$A$2:$S$99,15,FALSE),"N/A")</f>
        <v>Critical</v>
      </c>
      <c r="F615" s="21" t="str">
        <f>IFERROR(VLOOKUP($G615,'02_REFERENCE'!$A$2:$S$99,17,FALSE),"N/A")</f>
        <v>No</v>
      </c>
      <c r="G615" s="21" t="inlineStr">
        <is>
          <t>S2-RT-015</t>
        </is>
      </c>
      <c r="H615" s="21" t="inlineStr">
        <is>
          <t>Duplicate</t>
        </is>
      </c>
      <c r="I615" s="21" t="inlineStr">
        <is>
          <t>TP</t>
        </is>
      </c>
      <c r="J615" s="21" t="inlineStr">
        <is>
          <t>M</t>
        </is>
      </c>
      <c r="K615" s="21" t="inlineStr">
        <is>
          <t>N</t>
        </is>
      </c>
      <c r="L615" s="21" t="inlineStr">
        <is>
          <t>Yes</t>
        </is>
      </c>
      <c r="M615" s="21" t="inlineStr">
        <is>
          <t>THREMOLIA-S2-F031</t>
        </is>
      </c>
      <c r="N615" s="22" t="inlineStr">
        <is>
          <t>Mechanism class mass_disclosure; evidence: revealing requested file names and document [Equivalence: restates THREMOLIA-S2-F031 — one-to-one rule applied.]</t>
        </is>
      </c>
      <c r="O615" s="5" t="inlineStr">
        <is>
          <t>mass_disclosure</t>
        </is>
      </c>
      <c r="P615" s="16" t="inlineStr"/>
      <c r="Q615" s="16" t="inlineStr">
        <is>
          <t>DF4: File Retrieval Request</t>
        </is>
      </c>
      <c r="R615" s="16" t="inlineStr"/>
      <c r="S615" s="5" t="inlineStr">
        <is>
          <t>Confirmed</t>
        </is>
      </c>
    </row>
    <row r="616" ht="16" customHeight="1">
      <c r="A616" s="5" t="inlineStr">
        <is>
          <t>THREMOLIA-S2-F048</t>
        </is>
      </c>
      <c r="B616" s="5" t="inlineStr">
        <is>
          <t>THREMOLIA</t>
        </is>
      </c>
      <c r="C616" s="5" t="inlineStr">
        <is>
          <t>S2</t>
        </is>
      </c>
      <c r="D616" s="21" t="str">
        <f>IFERROR(VLOOKUP($G616,'02_REFERENCE'!$A$2:$S$99,4,FALSE),"N/A")</f>
        <v>Denial of Service</v>
      </c>
      <c r="E616" s="21" t="str">
        <f>IFERROR(VLOOKUP($G616,'02_REFERENCE'!$A$2:$S$99,15,FALSE),"N/A")</f>
        <v>High</v>
      </c>
      <c r="F616" s="21" t="str">
        <f>IFERROR(VLOOKUP($G616,'02_REFERENCE'!$A$2:$S$99,17,FALSE),"N/A")</f>
        <v>No</v>
      </c>
      <c r="G616" s="21" t="inlineStr">
        <is>
          <t>S2-RT-031</t>
        </is>
      </c>
      <c r="H616" s="21" t="inlineStr">
        <is>
          <t>Duplicate</t>
        </is>
      </c>
      <c r="I616" s="21" t="inlineStr">
        <is>
          <t>TP</t>
        </is>
      </c>
      <c r="J616" s="21" t="inlineStr">
        <is>
          <t>M</t>
        </is>
      </c>
      <c r="K616" s="21" t="inlineStr">
        <is>
          <t>N</t>
        </is>
      </c>
      <c r="L616" s="21" t="inlineStr">
        <is>
          <t>Yes</t>
        </is>
      </c>
      <c r="M616" s="21" t="inlineStr">
        <is>
          <t>THREMOLIA-S2-F063</t>
        </is>
      </c>
      <c r="N616" s="22" t="inlineStr">
        <is>
          <t>Mechanism class dos_service (victim-based DoS routing); evidence: Flood [Equivalence: restates THREMOLIA-S2-F063 — one-to-one rule applied.]</t>
        </is>
      </c>
      <c r="O616" s="5" t="inlineStr">
        <is>
          <t>dos_service</t>
        </is>
      </c>
      <c r="P616" s="16" t="inlineStr"/>
      <c r="Q616" s="16" t="inlineStr">
        <is>
          <t>DF4: File Retrieval Request</t>
        </is>
      </c>
      <c r="R616" s="16" t="inlineStr"/>
      <c r="S616" s="5" t="inlineStr">
        <is>
          <t>Confirmed</t>
        </is>
      </c>
    </row>
    <row r="617" ht="16" customHeight="1">
      <c r="A617" s="5" t="inlineStr">
        <is>
          <t>THREMOLIA-S2-F049</t>
        </is>
      </c>
      <c r="B617" s="5" t="inlineStr">
        <is>
          <t>THREMOLIA</t>
        </is>
      </c>
      <c r="C617" s="5" t="inlineStr">
        <is>
          <t>S2</t>
        </is>
      </c>
      <c r="D617" s="21" t="str">
        <f>IFERROR(VLOOKUP($G617,'02_REFERENCE'!$A$2:$S$99,4,FALSE),"N/A")</f>
        <v>Elevation of Privilege</v>
      </c>
      <c r="E617" s="21" t="str">
        <f>IFERROR(VLOOKUP($G617,'02_REFERENCE'!$A$2:$S$99,15,FALSE),"N/A")</f>
        <v>Critical</v>
      </c>
      <c r="F617" s="21" t="str">
        <f>IFERROR(VLOOKUP($G617,'02_REFERENCE'!$A$2:$S$99,17,FALSE),"N/A")</f>
        <v>No</v>
      </c>
      <c r="G617" s="21" t="inlineStr">
        <is>
          <t>S2-RT-004</t>
        </is>
      </c>
      <c r="H617" s="21" t="inlineStr">
        <is>
          <t>Duplicate</t>
        </is>
      </c>
      <c r="I617" s="21" t="inlineStr">
        <is>
          <t>TP</t>
        </is>
      </c>
      <c r="J617" s="21" t="inlineStr">
        <is>
          <t>L</t>
        </is>
      </c>
      <c r="K617" s="21" t="inlineStr">
        <is>
          <t>N</t>
        </is>
      </c>
      <c r="L617" s="21" t="inlineStr">
        <is>
          <t>Yes</t>
        </is>
      </c>
      <c r="M617" s="21" t="inlineStr">
        <is>
          <t>THREMOLIA-S2-F014</t>
        </is>
      </c>
      <c r="N617" s="22" t="inlineStr">
        <is>
          <t>Mechanism class idor; evidence: file identifier [Equivalence: restates THREMOLIA-S2-F014 — one-to-one rule applied.]</t>
        </is>
      </c>
      <c r="O617" s="5" t="inlineStr">
        <is>
          <t>idor</t>
        </is>
      </c>
      <c r="P617" s="16" t="inlineStr"/>
      <c r="Q617" s="16" t="inlineStr">
        <is>
          <t>DF5: Authenticated File Access Request</t>
        </is>
      </c>
      <c r="R617" s="16" t="inlineStr"/>
      <c r="S617" s="5" t="inlineStr">
        <is>
          <t>Manual review</t>
        </is>
      </c>
    </row>
    <row r="618" ht="16" customHeight="1">
      <c r="A618" s="5" t="inlineStr">
        <is>
          <t>THREMOLIA-S2-F050</t>
        </is>
      </c>
      <c r="B618" s="5" t="inlineStr">
        <is>
          <t>THREMOLIA</t>
        </is>
      </c>
      <c r="C618" s="5" t="inlineStr">
        <is>
          <t>S2</t>
        </is>
      </c>
      <c r="D618" s="21" t="str">
        <f>IFERROR(VLOOKUP($G618,'02_REFERENCE'!$A$2:$S$99,4,FALSE),"N/A")</f>
        <v>Information Disclosure</v>
      </c>
      <c r="E618" s="21" t="str">
        <f>IFERROR(VLOOKUP($G618,'02_REFERENCE'!$A$2:$S$99,15,FALSE),"N/A")</f>
        <v>High</v>
      </c>
      <c r="F618" s="21" t="str">
        <f>IFERROR(VLOOKUP($G618,'02_REFERENCE'!$A$2:$S$99,17,FALSE),"N/A")</f>
        <v>No</v>
      </c>
      <c r="G618" s="21" t="inlineStr">
        <is>
          <t>S2-RT-017</t>
        </is>
      </c>
      <c r="H618" s="21" t="inlineStr">
        <is>
          <t>Duplicate</t>
        </is>
      </c>
      <c r="I618" s="21" t="inlineStr">
        <is>
          <t>TP</t>
        </is>
      </c>
      <c r="J618" s="21" t="inlineStr">
        <is>
          <t>M</t>
        </is>
      </c>
      <c r="K618" s="21" t="inlineStr">
        <is>
          <t>N</t>
        </is>
      </c>
      <c r="L618" s="21" t="inlineStr">
        <is>
          <t>Yes</t>
        </is>
      </c>
      <c r="M618" s="21" t="inlineStr">
        <is>
          <t>THREMOLIA-S2-F038</t>
        </is>
      </c>
      <c r="N618" s="22" t="inlineStr">
        <is>
          <t>Mechanism class transit_data_general; evidence: Interception of file access request payload [Equivalence: restates THREMOLIA-S2-F038 — one-to-one rule applied.]</t>
        </is>
      </c>
      <c r="O618" s="5" t="inlineStr">
        <is>
          <t>transit_data_general</t>
        </is>
      </c>
      <c r="P618" s="16" t="inlineStr"/>
      <c r="Q618" s="16" t="inlineStr">
        <is>
          <t>DF5: Authenticated File Access Request</t>
        </is>
      </c>
      <c r="R618" s="16" t="inlineStr"/>
      <c r="S618" s="5" t="inlineStr">
        <is>
          <t>Confirmed</t>
        </is>
      </c>
    </row>
    <row r="619" ht="16" customHeight="1">
      <c r="A619" s="5" t="inlineStr">
        <is>
          <t>THREMOLIA-S2-F051</t>
        </is>
      </c>
      <c r="B619" s="5" t="inlineStr">
        <is>
          <t>THREMOLIA</t>
        </is>
      </c>
      <c r="C619" s="5" t="inlineStr">
        <is>
          <t>S2</t>
        </is>
      </c>
      <c r="D619" s="21" t="str">
        <f>IFERROR(VLOOKUP($G619,'02_REFERENCE'!$A$2:$S$99,4,FALSE),"N/A")</f>
        <v>Denial of Service</v>
      </c>
      <c r="E619" s="21" t="str">
        <f>IFERROR(VLOOKUP($G619,'02_REFERENCE'!$A$2:$S$99,15,FALSE),"N/A")</f>
        <v>High</v>
      </c>
      <c r="F619" s="21" t="str">
        <f>IFERROR(VLOOKUP($G619,'02_REFERENCE'!$A$2:$S$99,17,FALSE),"N/A")</f>
        <v>No</v>
      </c>
      <c r="G619" s="21" t="inlineStr">
        <is>
          <t>S2-RT-031</t>
        </is>
      </c>
      <c r="H619" s="21" t="inlineStr">
        <is>
          <t>Duplicate</t>
        </is>
      </c>
      <c r="I619" s="21" t="inlineStr">
        <is>
          <t>TP</t>
        </is>
      </c>
      <c r="J619" s="21" t="inlineStr">
        <is>
          <t>M</t>
        </is>
      </c>
      <c r="K619" s="21" t="inlineStr">
        <is>
          <t>N</t>
        </is>
      </c>
      <c r="L619" s="21" t="inlineStr">
        <is>
          <t>Yes</t>
        </is>
      </c>
      <c r="M619" s="21" t="inlineStr">
        <is>
          <t>THREMOLIA-S2-F063</t>
        </is>
      </c>
      <c r="N619" s="22" t="inlineStr">
        <is>
          <t>Mechanism class dos_service (victim-based DoS routing); evidence: Flood [Equivalence: restates THREMOLIA-S2-F063 — one-to-one rule applied.]</t>
        </is>
      </c>
      <c r="O619" s="5" t="inlineStr">
        <is>
          <t>dos_service</t>
        </is>
      </c>
      <c r="P619" s="16" t="inlineStr"/>
      <c r="Q619" s="16" t="inlineStr">
        <is>
          <t>DF5: Authenticated File Access Request</t>
        </is>
      </c>
      <c r="R619" s="16" t="inlineStr"/>
      <c r="S619" s="5" t="inlineStr">
        <is>
          <t>Confirmed</t>
        </is>
      </c>
    </row>
    <row r="620" ht="16" customHeight="1">
      <c r="A620" s="5" t="inlineStr">
        <is>
          <t>THREMOLIA-S2-F052</t>
        </is>
      </c>
      <c r="B620" s="5" t="inlineStr">
        <is>
          <t>THREMOLIA</t>
        </is>
      </c>
      <c r="C620" s="5" t="inlineStr">
        <is>
          <t>S2</t>
        </is>
      </c>
      <c r="D620" s="21" t="str">
        <f>IFERROR(VLOOKUP($G620,'02_REFERENCE'!$A$2:$S$99,4,FALSE),"N/A")</f>
        <v>Tampering</v>
      </c>
      <c r="E620" s="21" t="str">
        <f>IFERROR(VLOOKUP($G620,'02_REFERENCE'!$A$2:$S$99,15,FALSE),"N/A")</f>
        <v>Critical</v>
      </c>
      <c r="F620" s="21" t="str">
        <f>IFERROR(VLOOKUP($G620,'02_REFERENCE'!$A$2:$S$99,17,FALSE),"N/A")</f>
        <v>No</v>
      </c>
      <c r="G620" s="21" t="inlineStr">
        <is>
          <t>S2-RT-006</t>
        </is>
      </c>
      <c r="H620" s="21" t="inlineStr">
        <is>
          <t>Primary TP</t>
        </is>
      </c>
      <c r="I620" s="21" t="inlineStr">
        <is>
          <t>TP</t>
        </is>
      </c>
      <c r="J620" s="21" t="inlineStr">
        <is>
          <t>M</t>
        </is>
      </c>
      <c r="K620" s="21" t="inlineStr">
        <is>
          <t>Y</t>
        </is>
      </c>
      <c r="L620" s="21" t="inlineStr">
        <is>
          <t>No</t>
        </is>
      </c>
      <c r="M620" s="21" t="inlineStr"/>
      <c r="N620" s="22" t="inlineStr">
        <is>
          <t>Mechanism class injection_verification; evidence: Tampering with verification query</t>
        </is>
      </c>
      <c r="O620" s="5" t="inlineStr">
        <is>
          <t>injection_verification</t>
        </is>
      </c>
      <c r="P620" s="16" t="inlineStr"/>
      <c r="Q620" s="16" t="inlineStr">
        <is>
          <t>DF6: Authorization Verification Request</t>
        </is>
      </c>
      <c r="R620" s="16" t="inlineStr"/>
      <c r="S620" s="5" t="inlineStr">
        <is>
          <t>Confirmed</t>
        </is>
      </c>
    </row>
    <row r="621" ht="16" customHeight="1">
      <c r="A621" s="5" t="inlineStr">
        <is>
          <t>THREMOLIA-S2-F053</t>
        </is>
      </c>
      <c r="B621" s="5" t="inlineStr">
        <is>
          <t>THREMOLIA</t>
        </is>
      </c>
      <c r="C621" s="5" t="inlineStr">
        <is>
          <t>S2</t>
        </is>
      </c>
      <c r="D621" s="21" t="str">
        <f>IFERROR(VLOOKUP($G621,'02_REFERENCE'!$A$2:$S$99,4,FALSE),"N/A")</f>
        <v>N/A</v>
      </c>
      <c r="E621" s="21" t="str">
        <f>IFERROR(VLOOKUP($G621,'02_REFERENCE'!$A$2:$S$99,15,FALSE),"N/A")</f>
        <v>N/A</v>
      </c>
      <c r="F621" s="21" t="str">
        <f>IFERROR(VLOOKUP($G621,'02_REFERENCE'!$A$2:$S$99,17,FALSE),"N/A")</f>
        <v>N/A</v>
      </c>
      <c r="G621" s="21" t="inlineStr"/>
      <c r="H621" s="21" t="inlineStr">
        <is>
          <t>False Positive</t>
        </is>
      </c>
      <c r="I621" s="21" t="inlineStr">
        <is>
          <t>FP</t>
        </is>
      </c>
      <c r="J621" s="21" t="inlineStr">
        <is>
          <t>M</t>
        </is>
      </c>
      <c r="K621" s="21" t="inlineStr">
        <is>
          <t>N</t>
        </is>
      </c>
      <c r="L621" s="21" t="inlineStr">
        <is>
          <t>No</t>
        </is>
      </c>
      <c r="M621" s="21" t="inlineStr"/>
      <c r="N621" s="22" t="inlineStr">
        <is>
          <t>No reference threat corresponds to this finding's mechanism (scoring found no class with sufficient evidence).</t>
        </is>
      </c>
      <c r="O621" s="5" t="inlineStr"/>
      <c r="P621" s="16" t="inlineStr"/>
      <c r="Q621" s="16" t="inlineStr">
        <is>
          <t>DF6: Authorization Verification Request</t>
        </is>
      </c>
      <c r="R621" s="16" t="inlineStr"/>
      <c r="S621" s="5" t="inlineStr">
        <is>
          <t>Confirmed</t>
        </is>
      </c>
    </row>
    <row r="622" ht="16" customHeight="1">
      <c r="A622" s="5" t="inlineStr">
        <is>
          <t>THREMOLIA-S2-F054</t>
        </is>
      </c>
      <c r="B622" s="5" t="inlineStr">
        <is>
          <t>THREMOLIA</t>
        </is>
      </c>
      <c r="C622" s="5" t="inlineStr">
        <is>
          <t>S2</t>
        </is>
      </c>
      <c r="D622" s="21" t="str">
        <f>IFERROR(VLOOKUP($G622,'02_REFERENCE'!$A$2:$S$99,4,FALSE),"N/A")</f>
        <v>Denial of Service</v>
      </c>
      <c r="E622" s="21" t="str">
        <f>IFERROR(VLOOKUP($G622,'02_REFERENCE'!$A$2:$S$99,15,FALSE),"N/A")</f>
        <v>High</v>
      </c>
      <c r="F622" s="21" t="str">
        <f>IFERROR(VLOOKUP($G622,'02_REFERENCE'!$A$2:$S$99,17,FALSE),"N/A")</f>
        <v>No</v>
      </c>
      <c r="G622" s="21" t="inlineStr">
        <is>
          <t>S2-RT-031</t>
        </is>
      </c>
      <c r="H622" s="21" t="inlineStr">
        <is>
          <t>Duplicate</t>
        </is>
      </c>
      <c r="I622" s="21" t="inlineStr">
        <is>
          <t>TP</t>
        </is>
      </c>
      <c r="J622" s="21" t="inlineStr">
        <is>
          <t>M</t>
        </is>
      </c>
      <c r="K622" s="21" t="inlineStr">
        <is>
          <t>N</t>
        </is>
      </c>
      <c r="L622" s="21" t="inlineStr">
        <is>
          <t>Yes</t>
        </is>
      </c>
      <c r="M622" s="21" t="inlineStr">
        <is>
          <t>THREMOLIA-S2-F063</t>
        </is>
      </c>
      <c r="N622" s="22" t="inlineStr">
        <is>
          <t>Mechanism class dos_service (victim-based DoS routing); evidence: Flood [Equivalence: restates THREMOLIA-S2-F063 — one-to-one rule applied.]</t>
        </is>
      </c>
      <c r="O622" s="5" t="inlineStr">
        <is>
          <t>dos_service</t>
        </is>
      </c>
      <c r="P622" s="16" t="inlineStr"/>
      <c r="Q622" s="16" t="inlineStr">
        <is>
          <t>DF6: Authorization Verification Request</t>
        </is>
      </c>
      <c r="R622" s="16" t="inlineStr"/>
      <c r="S622" s="5" t="inlineStr">
        <is>
          <t>Confirmed</t>
        </is>
      </c>
    </row>
    <row r="623" ht="16" customHeight="1">
      <c r="A623" s="5" t="inlineStr">
        <is>
          <t>THREMOLIA-S2-F055</t>
        </is>
      </c>
      <c r="B623" s="5" t="inlineStr">
        <is>
          <t>THREMOLIA</t>
        </is>
      </c>
      <c r="C623" s="5" t="inlineStr">
        <is>
          <t>S2</t>
        </is>
      </c>
      <c r="D623" s="21" t="str">
        <f>IFERROR(VLOOKUP($G623,'02_REFERENCE'!$A$2:$S$99,4,FALSE),"N/A")</f>
        <v>Elevation of Privilege</v>
      </c>
      <c r="E623" s="21" t="str">
        <f>IFERROR(VLOOKUP($G623,'02_REFERENCE'!$A$2:$S$99,15,FALSE),"N/A")</f>
        <v>Critical</v>
      </c>
      <c r="F623" s="21" t="str">
        <f>IFERROR(VLOOKUP($G623,'02_REFERENCE'!$A$2:$S$99,17,FALSE),"N/A")</f>
        <v>No</v>
      </c>
      <c r="G623" s="21" t="inlineStr">
        <is>
          <t>S2-RT-003</t>
        </is>
      </c>
      <c r="H623" s="21" t="inlineStr">
        <is>
          <t>Duplicate</t>
        </is>
      </c>
      <c r="I623" s="21" t="inlineStr">
        <is>
          <t>TP</t>
        </is>
      </c>
      <c r="J623" s="21" t="inlineStr">
        <is>
          <t>L</t>
        </is>
      </c>
      <c r="K623" s="21" t="inlineStr">
        <is>
          <t>N</t>
        </is>
      </c>
      <c r="L623" s="21" t="inlineStr">
        <is>
          <t>Yes</t>
        </is>
      </c>
      <c r="M623" s="21" t="inlineStr">
        <is>
          <t>THREMOLIA-S2-F016</t>
        </is>
      </c>
      <c r="N623" s="22" t="inlineStr">
        <is>
          <t>Mechanism class access_bypass_logic; evidence: authorization decision payload (changing deny to allow [Equivalence: restates THREMOLIA-S2-F016 — one-to-one rule applied.]</t>
        </is>
      </c>
      <c r="O623" s="5" t="inlineStr">
        <is>
          <t>access_bypass_logic</t>
        </is>
      </c>
      <c r="P623" s="16" t="inlineStr"/>
      <c r="Q623" s="16" t="inlineStr">
        <is>
          <t>DF7: Authorization Decision</t>
        </is>
      </c>
      <c r="R623" s="16" t="inlineStr"/>
      <c r="S623" s="5" t="inlineStr">
        <is>
          <t>Manual review</t>
        </is>
      </c>
    </row>
    <row r="624" ht="16" customHeight="1">
      <c r="A624" s="5" t="inlineStr">
        <is>
          <t>THREMOLIA-S2-F056</t>
        </is>
      </c>
      <c r="B624" s="5" t="inlineStr">
        <is>
          <t>THREMOLIA</t>
        </is>
      </c>
      <c r="C624" s="5" t="inlineStr">
        <is>
          <t>S2</t>
        </is>
      </c>
      <c r="D624" s="21" t="str">
        <f>IFERROR(VLOOKUP($G624,'02_REFERENCE'!$A$2:$S$99,4,FALSE),"N/A")</f>
        <v>Information Disclosure</v>
      </c>
      <c r="E624" s="21" t="str">
        <f>IFERROR(VLOOKUP($G624,'02_REFERENCE'!$A$2:$S$99,15,FALSE),"N/A")</f>
        <v>High</v>
      </c>
      <c r="F624" s="21" t="str">
        <f>IFERROR(VLOOKUP($G624,'02_REFERENCE'!$A$2:$S$99,17,FALSE),"N/A")</f>
        <v>No</v>
      </c>
      <c r="G624" s="21" t="inlineStr">
        <is>
          <t>S2-RT-017</t>
        </is>
      </c>
      <c r="H624" s="21" t="inlineStr">
        <is>
          <t>Duplicate</t>
        </is>
      </c>
      <c r="I624" s="21" t="inlineStr">
        <is>
          <t>TP</t>
        </is>
      </c>
      <c r="J624" s="21" t="inlineStr">
        <is>
          <t>M</t>
        </is>
      </c>
      <c r="K624" s="21" t="inlineStr">
        <is>
          <t>N</t>
        </is>
      </c>
      <c r="L624" s="21" t="inlineStr">
        <is>
          <t>Yes</t>
        </is>
      </c>
      <c r="M624" s="21" t="inlineStr">
        <is>
          <t>THREMOLIA-S2-F038</t>
        </is>
      </c>
      <c r="N624" s="22" t="inlineStr">
        <is>
          <t>Mechanism class transit_data_general; evidence: Interception of authorization decision payload [Equivalence: restates THREMOLIA-S2-F038 — one-to-one rule applied.]</t>
        </is>
      </c>
      <c r="O624" s="5" t="inlineStr">
        <is>
          <t>transit_data_general</t>
        </is>
      </c>
      <c r="P624" s="16" t="inlineStr"/>
      <c r="Q624" s="16" t="inlineStr">
        <is>
          <t>DF7: Authorization Decision</t>
        </is>
      </c>
      <c r="R624" s="16" t="inlineStr"/>
      <c r="S624" s="5" t="inlineStr">
        <is>
          <t>Confirmed</t>
        </is>
      </c>
    </row>
    <row r="625" ht="16" customHeight="1">
      <c r="A625" s="5" t="inlineStr">
        <is>
          <t>THREMOLIA-S2-F057</t>
        </is>
      </c>
      <c r="B625" s="5" t="inlineStr">
        <is>
          <t>THREMOLIA</t>
        </is>
      </c>
      <c r="C625" s="5" t="inlineStr">
        <is>
          <t>S2</t>
        </is>
      </c>
      <c r="D625" s="21" t="str">
        <f>IFERROR(VLOOKUP($G625,'02_REFERENCE'!$A$2:$S$99,4,FALSE),"N/A")</f>
        <v>N/A</v>
      </c>
      <c r="E625" s="21" t="str">
        <f>IFERROR(VLOOKUP($G625,'02_REFERENCE'!$A$2:$S$99,15,FALSE),"N/A")</f>
        <v>N/A</v>
      </c>
      <c r="F625" s="21" t="str">
        <f>IFERROR(VLOOKUP($G625,'02_REFERENCE'!$A$2:$S$99,17,FALSE),"N/A")</f>
        <v>N/A</v>
      </c>
      <c r="G625" s="21" t="inlineStr"/>
      <c r="H625" s="21" t="inlineStr">
        <is>
          <t>False Positive</t>
        </is>
      </c>
      <c r="I625" s="21" t="inlineStr">
        <is>
          <t>FP</t>
        </is>
      </c>
      <c r="J625" s="21" t="inlineStr">
        <is>
          <t>M</t>
        </is>
      </c>
      <c r="K625" s="21" t="inlineStr">
        <is>
          <t>N</t>
        </is>
      </c>
      <c r="L625" s="21" t="inlineStr">
        <is>
          <t>No</t>
        </is>
      </c>
      <c r="M625" s="21" t="inlineStr"/>
      <c r="N625" s="22" t="inlineStr">
        <is>
          <t>No reference threat corresponds to this finding's mechanism (scoring found no class with sufficient evidence).</t>
        </is>
      </c>
      <c r="O625" s="5" t="inlineStr"/>
      <c r="P625" s="16" t="inlineStr"/>
      <c r="Q625" s="16" t="inlineStr">
        <is>
          <t>DF7: Authorization Decision</t>
        </is>
      </c>
      <c r="R625" s="16" t="inlineStr"/>
      <c r="S625" s="5" t="inlineStr">
        <is>
          <t>Confirmed</t>
        </is>
      </c>
    </row>
    <row r="626" ht="16" customHeight="1">
      <c r="A626" s="5" t="inlineStr">
        <is>
          <t>THREMOLIA-S2-F058</t>
        </is>
      </c>
      <c r="B626" s="5" t="inlineStr">
        <is>
          <t>THREMOLIA</t>
        </is>
      </c>
      <c r="C626" s="5" t="inlineStr">
        <is>
          <t>S2</t>
        </is>
      </c>
      <c r="D626" s="21" t="str">
        <f>IFERROR(VLOOKUP($G626,'02_REFERENCE'!$A$2:$S$99,4,FALSE),"N/A")</f>
        <v>Tampering</v>
      </c>
      <c r="E626" s="21" t="str">
        <f>IFERROR(VLOOKUP($G626,'02_REFERENCE'!$A$2:$S$99,15,FALSE),"N/A")</f>
        <v>Critical</v>
      </c>
      <c r="F626" s="21" t="str">
        <f>IFERROR(VLOOKUP($G626,'02_REFERENCE'!$A$2:$S$99,17,FALSE),"N/A")</f>
        <v>No</v>
      </c>
      <c r="G626" s="21" t="inlineStr">
        <is>
          <t>S2-RT-006</t>
        </is>
      </c>
      <c r="H626" s="21" t="inlineStr">
        <is>
          <t>Duplicate</t>
        </is>
      </c>
      <c r="I626" s="21" t="inlineStr">
        <is>
          <t>TP</t>
        </is>
      </c>
      <c r="J626" s="21" t="inlineStr">
        <is>
          <t>M</t>
        </is>
      </c>
      <c r="K626" s="21" t="inlineStr">
        <is>
          <t>N</t>
        </is>
      </c>
      <c r="L626" s="21" t="inlineStr">
        <is>
          <t>Yes</t>
        </is>
      </c>
      <c r="M626" s="21" t="inlineStr">
        <is>
          <t>THREMOLIA-S2-F052</t>
        </is>
      </c>
      <c r="N626" s="22" t="inlineStr">
        <is>
          <t>Mechanism class injection_verification; evidence: Tampering with file lookup key or path [Equivalence: restates THREMOLIA-S2-F052 — one-to-one rule applied.]</t>
        </is>
      </c>
      <c r="O626" s="5" t="inlineStr">
        <is>
          <t>injection_verification</t>
        </is>
      </c>
      <c r="P626" s="16" t="inlineStr"/>
      <c r="Q626" s="16" t="inlineStr">
        <is>
          <t>DF8: Authorized File Lookup</t>
        </is>
      </c>
      <c r="R626" s="16" t="inlineStr"/>
      <c r="S626" s="5" t="inlineStr">
        <is>
          <t>Confirmed</t>
        </is>
      </c>
    </row>
    <row r="627" ht="16" customHeight="1">
      <c r="A627" s="5" t="inlineStr">
        <is>
          <t>THREMOLIA-S2-F059</t>
        </is>
      </c>
      <c r="B627" s="5" t="inlineStr">
        <is>
          <t>THREMOLIA</t>
        </is>
      </c>
      <c r="C627" s="5" t="inlineStr">
        <is>
          <t>S2</t>
        </is>
      </c>
      <c r="D627" s="21" t="str">
        <f>IFERROR(VLOOKUP($G627,'02_REFERENCE'!$A$2:$S$99,4,FALSE),"N/A")</f>
        <v>Information Disclosure</v>
      </c>
      <c r="E627" s="21" t="str">
        <f>IFERROR(VLOOKUP($G627,'02_REFERENCE'!$A$2:$S$99,15,FALSE),"N/A")</f>
        <v>Critical</v>
      </c>
      <c r="F627" s="21" t="str">
        <f>IFERROR(VLOOKUP($G627,'02_REFERENCE'!$A$2:$S$99,17,FALSE),"N/A")</f>
        <v>No</v>
      </c>
      <c r="G627" s="21" t="inlineStr">
        <is>
          <t>S2-RT-015</t>
        </is>
      </c>
      <c r="H627" s="21" t="inlineStr">
        <is>
          <t>Duplicate</t>
        </is>
      </c>
      <c r="I627" s="21" t="inlineStr">
        <is>
          <t>TP</t>
        </is>
      </c>
      <c r="J627" s="21" t="inlineStr">
        <is>
          <t>M</t>
        </is>
      </c>
      <c r="K627" s="21" t="inlineStr">
        <is>
          <t>N</t>
        </is>
      </c>
      <c r="L627" s="21" t="inlineStr">
        <is>
          <t>Yes</t>
        </is>
      </c>
      <c r="M627" s="21" t="inlineStr">
        <is>
          <t>THREMOLIA-S2-F031</t>
        </is>
      </c>
      <c r="N627" s="22" t="inlineStr">
        <is>
          <t>Mechanism class mass_disclosure; evidence: revealing document storage [Equivalence: restates THREMOLIA-S2-F031 — one-to-one rule applied.]</t>
        </is>
      </c>
      <c r="O627" s="5" t="inlineStr">
        <is>
          <t>mass_disclosure</t>
        </is>
      </c>
      <c r="P627" s="16" t="inlineStr"/>
      <c r="Q627" s="16" t="inlineStr">
        <is>
          <t>DF8: Authorized File Lookup</t>
        </is>
      </c>
      <c r="R627" s="16" t="inlineStr"/>
      <c r="S627" s="5" t="inlineStr">
        <is>
          <t>Confirmed</t>
        </is>
      </c>
    </row>
    <row r="628" ht="16" customHeight="1">
      <c r="A628" s="5" t="inlineStr">
        <is>
          <t>THREMOLIA-S2-F060</t>
        </is>
      </c>
      <c r="B628" s="5" t="inlineStr">
        <is>
          <t>THREMOLIA</t>
        </is>
      </c>
      <c r="C628" s="5" t="inlineStr">
        <is>
          <t>S2</t>
        </is>
      </c>
      <c r="D628" s="21" t="str">
        <f>IFERROR(VLOOKUP($G628,'02_REFERENCE'!$A$2:$S$99,4,FALSE),"N/A")</f>
        <v>Denial of Service</v>
      </c>
      <c r="E628" s="21" t="str">
        <f>IFERROR(VLOOKUP($G628,'02_REFERENCE'!$A$2:$S$99,15,FALSE),"N/A")</f>
        <v>High</v>
      </c>
      <c r="F628" s="21" t="str">
        <f>IFERROR(VLOOKUP($G628,'02_REFERENCE'!$A$2:$S$99,17,FALSE),"N/A")</f>
        <v>No</v>
      </c>
      <c r="G628" s="21" t="inlineStr">
        <is>
          <t>S2-RT-031</t>
        </is>
      </c>
      <c r="H628" s="21" t="inlineStr">
        <is>
          <t>Duplicate</t>
        </is>
      </c>
      <c r="I628" s="21" t="inlineStr">
        <is>
          <t>TP</t>
        </is>
      </c>
      <c r="J628" s="21" t="inlineStr">
        <is>
          <t>M</t>
        </is>
      </c>
      <c r="K628" s="21" t="inlineStr">
        <is>
          <t>N</t>
        </is>
      </c>
      <c r="L628" s="21" t="inlineStr">
        <is>
          <t>Yes</t>
        </is>
      </c>
      <c r="M628" s="21" t="inlineStr">
        <is>
          <t>THREMOLIA-S2-F063</t>
        </is>
      </c>
      <c r="N628" s="22" t="inlineStr">
        <is>
          <t>Mechanism class dos_service (victim-based DoS routing); evidence: Flood [Equivalence: restates THREMOLIA-S2-F063 — one-to-one rule applied.]</t>
        </is>
      </c>
      <c r="O628" s="5" t="inlineStr">
        <is>
          <t>dos_service</t>
        </is>
      </c>
      <c r="P628" s="16" t="inlineStr"/>
      <c r="Q628" s="16" t="inlineStr">
        <is>
          <t>DF8: Authorized File Lookup</t>
        </is>
      </c>
      <c r="R628" s="16" t="inlineStr"/>
      <c r="S628" s="5" t="inlineStr">
        <is>
          <t>Confirmed</t>
        </is>
      </c>
    </row>
    <row r="629" ht="16" customHeight="1">
      <c r="A629" s="5" t="inlineStr">
        <is>
          <t>THREMOLIA-S2-F061</t>
        </is>
      </c>
      <c r="B629" s="5" t="inlineStr">
        <is>
          <t>THREMOLIA</t>
        </is>
      </c>
      <c r="C629" s="5" t="inlineStr">
        <is>
          <t>S2</t>
        </is>
      </c>
      <c r="D629" s="21" t="str">
        <f>IFERROR(VLOOKUP($G629,'02_REFERENCE'!$A$2:$S$99,4,FALSE),"N/A")</f>
        <v>N/A</v>
      </c>
      <c r="E629" s="21" t="str">
        <f>IFERROR(VLOOKUP($G629,'02_REFERENCE'!$A$2:$S$99,15,FALSE),"N/A")</f>
        <v>N/A</v>
      </c>
      <c r="F629" s="21" t="str">
        <f>IFERROR(VLOOKUP($G629,'02_REFERENCE'!$A$2:$S$99,17,FALSE),"N/A")</f>
        <v>N/A</v>
      </c>
      <c r="G629" s="21" t="inlineStr"/>
      <c r="H629" s="21" t="inlineStr">
        <is>
          <t>False Positive</t>
        </is>
      </c>
      <c r="I629" s="21" t="inlineStr">
        <is>
          <t>FP</t>
        </is>
      </c>
      <c r="J629" s="21" t="inlineStr">
        <is>
          <t>M</t>
        </is>
      </c>
      <c r="K629" s="21" t="inlineStr">
        <is>
          <t>N</t>
        </is>
      </c>
      <c r="L629" s="21" t="inlineStr">
        <is>
          <t>No</t>
        </is>
      </c>
      <c r="M629" s="21" t="inlineStr"/>
      <c r="N629" s="22" t="inlineStr">
        <is>
          <t>No reference threat corresponds to this finding's mechanism (scoring found no class with sufficient evidence).</t>
        </is>
      </c>
      <c r="O629" s="5" t="inlineStr"/>
      <c r="P629" s="16" t="inlineStr"/>
      <c r="Q629" s="16" t="inlineStr">
        <is>
          <t>DF9: Requested File Content</t>
        </is>
      </c>
      <c r="R629" s="16" t="inlineStr"/>
      <c r="S629" s="5" t="inlineStr">
        <is>
          <t>Confirmed</t>
        </is>
      </c>
    </row>
    <row r="630" ht="16" customHeight="1">
      <c r="A630" s="5" t="inlineStr">
        <is>
          <t>THREMOLIA-S2-F062</t>
        </is>
      </c>
      <c r="B630" s="5" t="inlineStr">
        <is>
          <t>THREMOLIA</t>
        </is>
      </c>
      <c r="C630" s="5" t="inlineStr">
        <is>
          <t>S2</t>
        </is>
      </c>
      <c r="D630" s="21" t="str">
        <f>IFERROR(VLOOKUP($G630,'02_REFERENCE'!$A$2:$S$99,4,FALSE),"N/A")</f>
        <v>Information Disclosure</v>
      </c>
      <c r="E630" s="21" t="str">
        <f>IFERROR(VLOOKUP($G630,'02_REFERENCE'!$A$2:$S$99,15,FALSE),"N/A")</f>
        <v>High</v>
      </c>
      <c r="F630" s="21" t="str">
        <f>IFERROR(VLOOKUP($G630,'02_REFERENCE'!$A$2:$S$99,17,FALSE),"N/A")</f>
        <v>No</v>
      </c>
      <c r="G630" s="21" t="inlineStr">
        <is>
          <t>S2-RT-017</t>
        </is>
      </c>
      <c r="H630" s="21" t="inlineStr">
        <is>
          <t>Duplicate</t>
        </is>
      </c>
      <c r="I630" s="21" t="inlineStr">
        <is>
          <t>TP</t>
        </is>
      </c>
      <c r="J630" s="21" t="inlineStr">
        <is>
          <t>H</t>
        </is>
      </c>
      <c r="K630" s="21" t="inlineStr">
        <is>
          <t>N</t>
        </is>
      </c>
      <c r="L630" s="21" t="inlineStr">
        <is>
          <t>Yes</t>
        </is>
      </c>
      <c r="M630" s="21" t="inlineStr">
        <is>
          <t>THREMOLIA-S2-F038</t>
        </is>
      </c>
      <c r="N630" s="22" t="inlineStr">
        <is>
          <t>Mechanism class transit_data_general; evidence: Sniffing retrieved document content; document content in transit [Equivalence: restates THREMOLIA-S2-F038 — one-to-one rule applied.]</t>
        </is>
      </c>
      <c r="O630" s="5" t="inlineStr">
        <is>
          <t>transit_data_general</t>
        </is>
      </c>
      <c r="P630" s="16" t="inlineStr"/>
      <c r="Q630" s="16" t="inlineStr">
        <is>
          <t>DF9: Requested File Content</t>
        </is>
      </c>
      <c r="R630" s="16" t="inlineStr"/>
      <c r="S630" s="5" t="inlineStr">
        <is>
          <t>Confirmed</t>
        </is>
      </c>
    </row>
    <row r="631" ht="16" customHeight="1">
      <c r="A631" s="5" t="inlineStr">
        <is>
          <t>THREMOLIA-S2-F063</t>
        </is>
      </c>
      <c r="B631" s="5" t="inlineStr">
        <is>
          <t>THREMOLIA</t>
        </is>
      </c>
      <c r="C631" s="5" t="inlineStr">
        <is>
          <t>S2</t>
        </is>
      </c>
      <c r="D631" s="21" t="str">
        <f>IFERROR(VLOOKUP($G631,'02_REFERENCE'!$A$2:$S$99,4,FALSE),"N/A")</f>
        <v>Denial of Service</v>
      </c>
      <c r="E631" s="21" t="str">
        <f>IFERROR(VLOOKUP($G631,'02_REFERENCE'!$A$2:$S$99,15,FALSE),"N/A")</f>
        <v>High</v>
      </c>
      <c r="F631" s="21" t="str">
        <f>IFERROR(VLOOKUP($G631,'02_REFERENCE'!$A$2:$S$99,17,FALSE),"N/A")</f>
        <v>No</v>
      </c>
      <c r="G631" s="21" t="inlineStr">
        <is>
          <t>S2-RT-031</t>
        </is>
      </c>
      <c r="H631" s="21" t="inlineStr">
        <is>
          <t>Primary TP</t>
        </is>
      </c>
      <c r="I631" s="21" t="inlineStr">
        <is>
          <t>TP</t>
        </is>
      </c>
      <c r="J631" s="21" t="inlineStr">
        <is>
          <t>H</t>
        </is>
      </c>
      <c r="K631" s="21" t="inlineStr">
        <is>
          <t>Y</t>
        </is>
      </c>
      <c r="L631" s="21" t="inlineStr">
        <is>
          <t>No</t>
        </is>
      </c>
      <c r="M631" s="21" t="inlineStr"/>
      <c r="N631" s="22" t="inlineStr">
        <is>
          <t>Mechanism class dos_service (victim-based DoS routing); evidence: thread starvation; partial download</t>
        </is>
      </c>
      <c r="O631" s="5" t="inlineStr">
        <is>
          <t>dos_service</t>
        </is>
      </c>
      <c r="P631" s="16" t="inlineStr"/>
      <c r="Q631" s="16" t="inlineStr">
        <is>
          <t>DF9: Requested File Content</t>
        </is>
      </c>
      <c r="R631" s="16" t="inlineStr"/>
      <c r="S631" s="5" t="inlineStr">
        <is>
          <t>Confirmed</t>
        </is>
      </c>
    </row>
    <row r="632" ht="16" customHeight="1">
      <c r="A632" s="5" t="inlineStr">
        <is>
          <t>THREMOLIA-S2-F064</t>
        </is>
      </c>
      <c r="B632" s="5" t="inlineStr">
        <is>
          <t>THREMOLIA</t>
        </is>
      </c>
      <c r="C632" s="5" t="inlineStr">
        <is>
          <t>S2</t>
        </is>
      </c>
      <c r="D632" s="21" t="str">
        <f>IFERROR(VLOOKUP($G632,'02_REFERENCE'!$A$2:$S$99,4,FALSE),"N/A")</f>
        <v>N/A</v>
      </c>
      <c r="E632" s="21" t="str">
        <f>IFERROR(VLOOKUP($G632,'02_REFERENCE'!$A$2:$S$99,15,FALSE),"N/A")</f>
        <v>N/A</v>
      </c>
      <c r="F632" s="21" t="str">
        <f>IFERROR(VLOOKUP($G632,'02_REFERENCE'!$A$2:$S$99,17,FALSE),"N/A")</f>
        <v>N/A</v>
      </c>
      <c r="G632" s="21" t="inlineStr"/>
      <c r="H632" s="21" t="inlineStr">
        <is>
          <t>False Positive</t>
        </is>
      </c>
      <c r="I632" s="21" t="inlineStr">
        <is>
          <t>FP</t>
        </is>
      </c>
      <c r="J632" s="21" t="inlineStr">
        <is>
          <t>M</t>
        </is>
      </c>
      <c r="K632" s="21" t="inlineStr">
        <is>
          <t>N</t>
        </is>
      </c>
      <c r="L632" s="21" t="inlineStr">
        <is>
          <t>No</t>
        </is>
      </c>
      <c r="M632" s="21" t="inlineStr"/>
      <c r="N632" s="22" t="inlineStr">
        <is>
          <t>No reference threat corresponds to this finding's mechanism (scoring found no class with sufficient evidence).</t>
        </is>
      </c>
      <c r="O632" s="5" t="inlineStr"/>
      <c r="P632" s="16" t="inlineStr"/>
      <c r="Q632" s="16" t="inlineStr">
        <is>
          <t>DF10: Retrieved File</t>
        </is>
      </c>
      <c r="R632" s="16" t="inlineStr"/>
      <c r="S632" s="5" t="inlineStr">
        <is>
          <t>Confirmed</t>
        </is>
      </c>
    </row>
    <row r="633" ht="16" customHeight="1">
      <c r="A633" s="5" t="inlineStr">
        <is>
          <t>THREMOLIA-S2-F065</t>
        </is>
      </c>
      <c r="B633" s="5" t="inlineStr">
        <is>
          <t>THREMOLIA</t>
        </is>
      </c>
      <c r="C633" s="5" t="inlineStr">
        <is>
          <t>S2</t>
        </is>
      </c>
      <c r="D633" s="21" t="str">
        <f>IFERROR(VLOOKUP($G633,'02_REFERENCE'!$A$2:$S$99,4,FALSE),"N/A")</f>
        <v>Information Disclosure</v>
      </c>
      <c r="E633" s="21" t="str">
        <f>IFERROR(VLOOKUP($G633,'02_REFERENCE'!$A$2:$S$99,15,FALSE),"N/A")</f>
        <v>High</v>
      </c>
      <c r="F633" s="21" t="str">
        <f>IFERROR(VLOOKUP($G633,'02_REFERENCE'!$A$2:$S$99,17,FALSE),"N/A")</f>
        <v>No</v>
      </c>
      <c r="G633" s="21" t="inlineStr">
        <is>
          <t>S2-RT-017</t>
        </is>
      </c>
      <c r="H633" s="21" t="inlineStr">
        <is>
          <t>Duplicate</t>
        </is>
      </c>
      <c r="I633" s="21" t="inlineStr">
        <is>
          <t>TP</t>
        </is>
      </c>
      <c r="J633" s="21" t="inlineStr">
        <is>
          <t>M</t>
        </is>
      </c>
      <c r="K633" s="21" t="inlineStr">
        <is>
          <t>N</t>
        </is>
      </c>
      <c r="L633" s="21" t="inlineStr">
        <is>
          <t>Yes</t>
        </is>
      </c>
      <c r="M633" s="21" t="inlineStr">
        <is>
          <t>THREMOLIA-S2-F038</t>
        </is>
      </c>
      <c r="N633" s="22" t="inlineStr">
        <is>
          <t>Mechanism class transit_data_general; evidence: Sniffing authorized file content [Equivalence: restates THREMOLIA-S2-F038 — one-to-one rule applied.]</t>
        </is>
      </c>
      <c r="O633" s="5" t="inlineStr">
        <is>
          <t>transit_data_general</t>
        </is>
      </c>
      <c r="P633" s="16" t="inlineStr"/>
      <c r="Q633" s="16" t="inlineStr">
        <is>
          <t>DF10: Retrieved File</t>
        </is>
      </c>
      <c r="R633" s="16" t="inlineStr"/>
      <c r="S633" s="5" t="inlineStr">
        <is>
          <t>Confirmed</t>
        </is>
      </c>
    </row>
    <row r="634" ht="16" customHeight="1">
      <c r="A634" s="5" t="inlineStr">
        <is>
          <t>THREMOLIA-S2-F066</t>
        </is>
      </c>
      <c r="B634" s="5" t="inlineStr">
        <is>
          <t>THREMOLIA</t>
        </is>
      </c>
      <c r="C634" s="5" t="inlineStr">
        <is>
          <t>S2</t>
        </is>
      </c>
      <c r="D634" s="21" t="str">
        <f>IFERROR(VLOOKUP($G634,'02_REFERENCE'!$A$2:$S$99,4,FALSE),"N/A")</f>
        <v>N/A</v>
      </c>
      <c r="E634" s="21" t="str">
        <f>IFERROR(VLOOKUP($G634,'02_REFERENCE'!$A$2:$S$99,15,FALSE),"N/A")</f>
        <v>N/A</v>
      </c>
      <c r="F634" s="21" t="str">
        <f>IFERROR(VLOOKUP($G634,'02_REFERENCE'!$A$2:$S$99,17,FALSE),"N/A")</f>
        <v>N/A</v>
      </c>
      <c r="G634" s="21" t="inlineStr"/>
      <c r="H634" s="21" t="inlineStr">
        <is>
          <t>False Positive</t>
        </is>
      </c>
      <c r="I634" s="21" t="inlineStr">
        <is>
          <t>FP</t>
        </is>
      </c>
      <c r="J634" s="21" t="inlineStr">
        <is>
          <t>M</t>
        </is>
      </c>
      <c r="K634" s="21" t="inlineStr">
        <is>
          <t>N</t>
        </is>
      </c>
      <c r="L634" s="21" t="inlineStr">
        <is>
          <t>No</t>
        </is>
      </c>
      <c r="M634" s="21" t="inlineStr"/>
      <c r="N634" s="22" t="inlineStr">
        <is>
          <t>No reference threat corresponds to this finding's mechanism (scoring found no class with sufficient evidence).</t>
        </is>
      </c>
      <c r="O634" s="5" t="inlineStr"/>
      <c r="P634" s="16" t="inlineStr"/>
      <c r="Q634" s="16" t="inlineStr">
        <is>
          <t>DF10: Retrieved File</t>
        </is>
      </c>
      <c r="R634" s="16" t="inlineStr"/>
      <c r="S634" s="5" t="inlineStr">
        <is>
          <t>Confirmed</t>
        </is>
      </c>
    </row>
    <row r="635" ht="16" customHeight="1">
      <c r="A635" s="5" t="inlineStr">
        <is>
          <t>THREMOLIA-S2-F067</t>
        </is>
      </c>
      <c r="B635" s="5" t="inlineStr">
        <is>
          <t>THREMOLIA</t>
        </is>
      </c>
      <c r="C635" s="5" t="inlineStr">
        <is>
          <t>S2</t>
        </is>
      </c>
      <c r="D635" s="21" t="str">
        <f>IFERROR(VLOOKUP($G635,'02_REFERENCE'!$A$2:$S$99,4,FALSE),"N/A")</f>
        <v>N/A</v>
      </c>
      <c r="E635" s="21" t="str">
        <f>IFERROR(VLOOKUP($G635,'02_REFERENCE'!$A$2:$S$99,15,FALSE),"N/A")</f>
        <v>N/A</v>
      </c>
      <c r="F635" s="21" t="str">
        <f>IFERROR(VLOOKUP($G635,'02_REFERENCE'!$A$2:$S$99,17,FALSE),"N/A")</f>
        <v>N/A</v>
      </c>
      <c r="G635" s="21" t="inlineStr"/>
      <c r="H635" s="21" t="inlineStr">
        <is>
          <t>False Positive</t>
        </is>
      </c>
      <c r="I635" s="21" t="inlineStr">
        <is>
          <t>FP</t>
        </is>
      </c>
      <c r="J635" s="21" t="inlineStr">
        <is>
          <t>M</t>
        </is>
      </c>
      <c r="K635" s="21" t="inlineStr">
        <is>
          <t>N</t>
        </is>
      </c>
      <c r="L635" s="21" t="inlineStr">
        <is>
          <t>No</t>
        </is>
      </c>
      <c r="M635" s="21" t="inlineStr"/>
      <c r="N635" s="22" t="inlineStr">
        <is>
          <t>No reference threat corresponds to this finding's mechanism (scoring found no class with sufficient evidence).</t>
        </is>
      </c>
      <c r="O635" s="5" t="inlineStr"/>
      <c r="P635" s="16" t="inlineStr"/>
      <c r="Q635" s="16" t="inlineStr">
        <is>
          <t>DF11: Document Question</t>
        </is>
      </c>
      <c r="R635" s="16" t="inlineStr"/>
      <c r="S635" s="5" t="inlineStr">
        <is>
          <t>Confirmed</t>
        </is>
      </c>
    </row>
    <row r="636" ht="16" customHeight="1">
      <c r="A636" s="5" t="inlineStr">
        <is>
          <t>THREMOLIA-S2-F068</t>
        </is>
      </c>
      <c r="B636" s="5" t="inlineStr">
        <is>
          <t>THREMOLIA</t>
        </is>
      </c>
      <c r="C636" s="5" t="inlineStr">
        <is>
          <t>S2</t>
        </is>
      </c>
      <c r="D636" s="21" t="str">
        <f>IFERROR(VLOOKUP($G636,'02_REFERENCE'!$A$2:$S$99,4,FALSE),"N/A")</f>
        <v>Information Disclosure</v>
      </c>
      <c r="E636" s="21" t="str">
        <f>IFERROR(VLOOKUP($G636,'02_REFERENCE'!$A$2:$S$99,15,FALSE),"N/A")</f>
        <v>High</v>
      </c>
      <c r="F636" s="21" t="str">
        <f>IFERROR(VLOOKUP($G636,'02_REFERENCE'!$A$2:$S$99,17,FALSE),"N/A")</f>
        <v>No</v>
      </c>
      <c r="G636" s="21" t="inlineStr">
        <is>
          <t>S2-RT-017</t>
        </is>
      </c>
      <c r="H636" s="21" t="inlineStr">
        <is>
          <t>Duplicate</t>
        </is>
      </c>
      <c r="I636" s="21" t="inlineStr">
        <is>
          <t>TP</t>
        </is>
      </c>
      <c r="J636" s="21" t="inlineStr">
        <is>
          <t>M</t>
        </is>
      </c>
      <c r="K636" s="21" t="inlineStr">
        <is>
          <t>N</t>
        </is>
      </c>
      <c r="L636" s="21" t="inlineStr">
        <is>
          <t>Yes</t>
        </is>
      </c>
      <c r="M636" s="21" t="inlineStr">
        <is>
          <t>THREMOLIA-S2-F038</t>
        </is>
      </c>
      <c r="N636" s="22" t="inlineStr">
        <is>
          <t>Mechanism class transit_data_general; evidence: Eavesdropping on document-related question [Equivalence: restates THREMOLIA-S2-F038 — one-to-one rule applied.]</t>
        </is>
      </c>
      <c r="O636" s="5" t="inlineStr">
        <is>
          <t>transit_data_general</t>
        </is>
      </c>
      <c r="P636" s="16" t="inlineStr"/>
      <c r="Q636" s="16" t="inlineStr">
        <is>
          <t>DF11: Document Question</t>
        </is>
      </c>
      <c r="R636" s="16" t="inlineStr"/>
      <c r="S636" s="5" t="inlineStr">
        <is>
          <t>Confirmed</t>
        </is>
      </c>
    </row>
    <row r="637" ht="16" customHeight="1">
      <c r="A637" s="5" t="inlineStr">
        <is>
          <t>THREMOLIA-S2-F069</t>
        </is>
      </c>
      <c r="B637" s="5" t="inlineStr">
        <is>
          <t>THREMOLIA</t>
        </is>
      </c>
      <c r="C637" s="5" t="inlineStr">
        <is>
          <t>S2</t>
        </is>
      </c>
      <c r="D637" s="21" t="str">
        <f>IFERROR(VLOOKUP($G637,'02_REFERENCE'!$A$2:$S$99,4,FALSE),"N/A")</f>
        <v>Denial of Service</v>
      </c>
      <c r="E637" s="21" t="str">
        <f>IFERROR(VLOOKUP($G637,'02_REFERENCE'!$A$2:$S$99,15,FALSE),"N/A")</f>
        <v>Medium</v>
      </c>
      <c r="F637" s="21" t="str">
        <f>IFERROR(VLOOKUP($G637,'02_REFERENCE'!$A$2:$S$99,17,FALSE),"N/A")</f>
        <v>Yes</v>
      </c>
      <c r="G637" s="21" t="inlineStr">
        <is>
          <t>S2-RT-033</t>
        </is>
      </c>
      <c r="H637" s="21" t="inlineStr">
        <is>
          <t>Primary TP</t>
        </is>
      </c>
      <c r="I637" s="21" t="inlineStr">
        <is>
          <t>TP</t>
        </is>
      </c>
      <c r="J637" s="21" t="inlineStr">
        <is>
          <t>H</t>
        </is>
      </c>
      <c r="K637" s="21" t="inlineStr">
        <is>
          <t>Y</t>
        </is>
      </c>
      <c r="L637" s="21" t="inlineStr">
        <is>
          <t>No</t>
        </is>
      </c>
      <c r="M637" s="21" t="inlineStr"/>
      <c r="N637" s="22" t="inlineStr">
        <is>
          <t>Mechanism class llm_consumption (victim-based DoS routing); evidence: Flooding question; question endpoint with massive input strings exhaust</t>
        </is>
      </c>
      <c r="O637" s="5" t="inlineStr">
        <is>
          <t>dos_service</t>
        </is>
      </c>
      <c r="P637" s="16" t="inlineStr"/>
      <c r="Q637" s="16" t="inlineStr">
        <is>
          <t>DF11: Document Question</t>
        </is>
      </c>
      <c r="R637" s="16" t="inlineStr"/>
      <c r="S637" s="5" t="inlineStr">
        <is>
          <t>Confirmed</t>
        </is>
      </c>
    </row>
    <row r="638" ht="16" customHeight="1">
      <c r="A638" s="5" t="inlineStr">
        <is>
          <t>THREMOLIA-S2-F070</t>
        </is>
      </c>
      <c r="B638" s="5" t="inlineStr">
        <is>
          <t>THREMOLIA</t>
        </is>
      </c>
      <c r="C638" s="5" t="inlineStr">
        <is>
          <t>S2</t>
        </is>
      </c>
      <c r="D638" s="21" t="str">
        <f>IFERROR(VLOOKUP($G638,'02_REFERENCE'!$A$2:$S$99,4,FALSE),"N/A")</f>
        <v>N/A</v>
      </c>
      <c r="E638" s="21" t="str">
        <f>IFERROR(VLOOKUP($G638,'02_REFERENCE'!$A$2:$S$99,15,FALSE),"N/A")</f>
        <v>N/A</v>
      </c>
      <c r="F638" s="21" t="str">
        <f>IFERROR(VLOOKUP($G638,'02_REFERENCE'!$A$2:$S$99,17,FALSE),"N/A")</f>
        <v>N/A</v>
      </c>
      <c r="G638" s="21" t="inlineStr"/>
      <c r="H638" s="21" t="inlineStr">
        <is>
          <t>False Positive</t>
        </is>
      </c>
      <c r="I638" s="21" t="inlineStr">
        <is>
          <t>FP</t>
        </is>
      </c>
      <c r="J638" s="21" t="inlineStr">
        <is>
          <t>M</t>
        </is>
      </c>
      <c r="K638" s="21" t="inlineStr">
        <is>
          <t>N</t>
        </is>
      </c>
      <c r="L638" s="21" t="inlineStr">
        <is>
          <t>No</t>
        </is>
      </c>
      <c r="M638" s="21" t="inlineStr"/>
      <c r="N638" s="22" t="inlineStr">
        <is>
          <t>No reference threat corresponds to this finding's mechanism (scoring found no class with sufficient evidence).</t>
        </is>
      </c>
      <c r="O638" s="5" t="inlineStr"/>
      <c r="P638" s="16" t="inlineStr"/>
      <c r="Q638" s="16" t="inlineStr">
        <is>
          <t>DF12: AI Question + User/Document Context</t>
        </is>
      </c>
      <c r="R638" s="16" t="inlineStr"/>
      <c r="S638" s="5" t="inlineStr">
        <is>
          <t>Confirmed</t>
        </is>
      </c>
    </row>
    <row r="639" ht="16" customHeight="1">
      <c r="A639" s="5" t="inlineStr">
        <is>
          <t>THREMOLIA-S2-F071</t>
        </is>
      </c>
      <c r="B639" s="5" t="inlineStr">
        <is>
          <t>THREMOLIA</t>
        </is>
      </c>
      <c r="C639" s="5" t="inlineStr">
        <is>
          <t>S2</t>
        </is>
      </c>
      <c r="D639" s="21" t="str">
        <f>IFERROR(VLOOKUP($G639,'02_REFERENCE'!$A$2:$S$99,4,FALSE),"N/A")</f>
        <v>Information Disclosure</v>
      </c>
      <c r="E639" s="21" t="str">
        <f>IFERROR(VLOOKUP($G639,'02_REFERENCE'!$A$2:$S$99,15,FALSE),"N/A")</f>
        <v>High</v>
      </c>
      <c r="F639" s="21" t="str">
        <f>IFERROR(VLOOKUP($G639,'02_REFERENCE'!$A$2:$S$99,17,FALSE),"N/A")</f>
        <v>No</v>
      </c>
      <c r="G639" s="21" t="inlineStr">
        <is>
          <t>S2-RT-017</t>
        </is>
      </c>
      <c r="H639" s="21" t="inlineStr">
        <is>
          <t>Duplicate</t>
        </is>
      </c>
      <c r="I639" s="21" t="inlineStr">
        <is>
          <t>TP</t>
        </is>
      </c>
      <c r="J639" s="21" t="inlineStr">
        <is>
          <t>M</t>
        </is>
      </c>
      <c r="K639" s="21" t="inlineStr">
        <is>
          <t>N</t>
        </is>
      </c>
      <c r="L639" s="21" t="inlineStr">
        <is>
          <t>Yes</t>
        </is>
      </c>
      <c r="M639" s="21" t="inlineStr">
        <is>
          <t>THREMOLIA-S2-F038</t>
        </is>
      </c>
      <c r="N639" s="22" t="inlineStr">
        <is>
          <t>Mechanism class transit_data_general; evidence: Interception of forwarded AI request revealing user question [Equivalence: restates THREMOLIA-S2-F038 — one-to-one rule applied.]</t>
        </is>
      </c>
      <c r="O639" s="5" t="inlineStr">
        <is>
          <t>transit_data_general</t>
        </is>
      </c>
      <c r="P639" s="16" t="inlineStr"/>
      <c r="Q639" s="16" t="inlineStr">
        <is>
          <t>DF12: AI Question + User/Document Context</t>
        </is>
      </c>
      <c r="R639" s="16" t="inlineStr"/>
      <c r="S639" s="5" t="inlineStr">
        <is>
          <t>Confirmed</t>
        </is>
      </c>
    </row>
    <row r="640" ht="16" customHeight="1">
      <c r="A640" s="5" t="inlineStr">
        <is>
          <t>THREMOLIA-S2-F072</t>
        </is>
      </c>
      <c r="B640" s="5" t="inlineStr">
        <is>
          <t>THREMOLIA</t>
        </is>
      </c>
      <c r="C640" s="5" t="inlineStr">
        <is>
          <t>S2</t>
        </is>
      </c>
      <c r="D640" s="21" t="str">
        <f>IFERROR(VLOOKUP($G640,'02_REFERENCE'!$A$2:$S$99,4,FALSE),"N/A")</f>
        <v>Denial of Service</v>
      </c>
      <c r="E640" s="21" t="str">
        <f>IFERROR(VLOOKUP($G640,'02_REFERENCE'!$A$2:$S$99,15,FALSE),"N/A")</f>
        <v>Medium</v>
      </c>
      <c r="F640" s="21" t="str">
        <f>IFERROR(VLOOKUP($G640,'02_REFERENCE'!$A$2:$S$99,17,FALSE),"N/A")</f>
        <v>Yes</v>
      </c>
      <c r="G640" s="21" t="inlineStr">
        <is>
          <t>S2-RT-033</t>
        </is>
      </c>
      <c r="H640" s="21" t="inlineStr">
        <is>
          <t>Duplicate</t>
        </is>
      </c>
      <c r="I640" s="21" t="inlineStr">
        <is>
          <t>TP</t>
        </is>
      </c>
      <c r="J640" s="21" t="inlineStr">
        <is>
          <t>M</t>
        </is>
      </c>
      <c r="K640" s="21" t="inlineStr">
        <is>
          <t>N</t>
        </is>
      </c>
      <c r="L640" s="21" t="inlineStr">
        <is>
          <t>Yes</t>
        </is>
      </c>
      <c r="M640" s="21" t="inlineStr">
        <is>
          <t>THREMOLIA-S2-F069</t>
        </is>
      </c>
      <c r="N640" s="22" t="inlineStr">
        <is>
          <t>Mechanism class llm_consumption (victim-based DoS routing); evidence: Flooding P3 request queue with rapid question [Equivalence: restates THREMOLIA-S2-F069 — one-to-one rule applied.]</t>
        </is>
      </c>
      <c r="O640" s="5" t="inlineStr">
        <is>
          <t>dos_service</t>
        </is>
      </c>
      <c r="P640" s="16" t="inlineStr"/>
      <c r="Q640" s="16" t="inlineStr">
        <is>
          <t>DF12: AI Question + User/Document Context</t>
        </is>
      </c>
      <c r="R640" s="16" t="inlineStr"/>
      <c r="S640" s="5" t="inlineStr">
        <is>
          <t>Confirmed</t>
        </is>
      </c>
    </row>
    <row r="641" ht="16" customHeight="1">
      <c r="A641" s="5" t="inlineStr">
        <is>
          <t>THREMOLIA-S2-F073</t>
        </is>
      </c>
      <c r="B641" s="5" t="inlineStr">
        <is>
          <t>THREMOLIA</t>
        </is>
      </c>
      <c r="C641" s="5" t="inlineStr">
        <is>
          <t>S2</t>
        </is>
      </c>
      <c r="D641" s="21" t="str">
        <f>IFERROR(VLOOKUP($G641,'02_REFERENCE'!$A$2:$S$99,4,FALSE),"N/A")</f>
        <v>Information Disclosure</v>
      </c>
      <c r="E641" s="21" t="str">
        <f>IFERROR(VLOOKUP($G641,'02_REFERENCE'!$A$2:$S$99,15,FALSE),"N/A")</f>
        <v>High</v>
      </c>
      <c r="F641" s="21" t="str">
        <f>IFERROR(VLOOKUP($G641,'02_REFERENCE'!$A$2:$S$99,17,FALSE),"N/A")</f>
        <v>Yes</v>
      </c>
      <c r="G641" s="21" t="inlineStr">
        <is>
          <t>S2-RT-018</t>
        </is>
      </c>
      <c r="H641" s="21" t="inlineStr">
        <is>
          <t>Duplicate</t>
        </is>
      </c>
      <c r="I641" s="21" t="inlineStr">
        <is>
          <t>TP</t>
        </is>
      </c>
      <c r="J641" s="21" t="inlineStr">
        <is>
          <t>L</t>
        </is>
      </c>
      <c r="K641" s="21" t="inlineStr">
        <is>
          <t>N</t>
        </is>
      </c>
      <c r="L641" s="21" t="inlineStr">
        <is>
          <t>Yes</t>
        </is>
      </c>
      <c r="M641" s="21" t="inlineStr">
        <is>
          <t>THREMOLIA-S2-F089</t>
        </is>
      </c>
      <c r="N641" s="22" t="inlineStr">
        <is>
          <t>Mechanism class sensitive_to_llm; evidence: context request parameters to request an unauthorized [Equivalence: restates THREMOLIA-S2-F089 — one-to-one rule applied.]</t>
        </is>
      </c>
      <c r="O641" s="5" t="inlineStr">
        <is>
          <t>sensitive_to_llm</t>
        </is>
      </c>
      <c r="P641" s="16" t="inlineStr"/>
      <c r="Q641" s="16" t="inlineStr">
        <is>
          <t>DF13: Authorized Context Request</t>
        </is>
      </c>
      <c r="R641" s="16" t="inlineStr"/>
      <c r="S641" s="5" t="inlineStr">
        <is>
          <t>Manual review</t>
        </is>
      </c>
    </row>
    <row r="642" ht="16" customHeight="1">
      <c r="A642" s="5" t="inlineStr">
        <is>
          <t>THREMOLIA-S2-F074</t>
        </is>
      </c>
      <c r="B642" s="5" t="inlineStr">
        <is>
          <t>THREMOLIA</t>
        </is>
      </c>
      <c r="C642" s="5" t="inlineStr">
        <is>
          <t>S2</t>
        </is>
      </c>
      <c r="D642" s="21" t="str">
        <f>IFERROR(VLOOKUP($G642,'02_REFERENCE'!$A$2:$S$99,4,FALSE),"N/A")</f>
        <v>N/A</v>
      </c>
      <c r="E642" s="21" t="str">
        <f>IFERROR(VLOOKUP($G642,'02_REFERENCE'!$A$2:$S$99,15,FALSE),"N/A")</f>
        <v>N/A</v>
      </c>
      <c r="F642" s="21" t="str">
        <f>IFERROR(VLOOKUP($G642,'02_REFERENCE'!$A$2:$S$99,17,FALSE),"N/A")</f>
        <v>N/A</v>
      </c>
      <c r="G642" s="21" t="inlineStr"/>
      <c r="H642" s="21" t="inlineStr">
        <is>
          <t>False Positive</t>
        </is>
      </c>
      <c r="I642" s="21" t="inlineStr">
        <is>
          <t>FP</t>
        </is>
      </c>
      <c r="J642" s="21" t="inlineStr">
        <is>
          <t>M</t>
        </is>
      </c>
      <c r="K642" s="21" t="inlineStr">
        <is>
          <t>N</t>
        </is>
      </c>
      <c r="L642" s="21" t="inlineStr">
        <is>
          <t>No</t>
        </is>
      </c>
      <c r="M642" s="21" t="inlineStr"/>
      <c r="N642" s="22" t="inlineStr">
        <is>
          <t>Template-class kb_disclosure (no reference threat): context request reveal</t>
        </is>
      </c>
      <c r="O642" s="5" t="inlineStr">
        <is>
          <t>kb_disclosure</t>
        </is>
      </c>
      <c r="P642" s="16" t="inlineStr"/>
      <c r="Q642" s="16" t="inlineStr">
        <is>
          <t>DF13: Authorized Context Request</t>
        </is>
      </c>
      <c r="R642" s="16" t="inlineStr"/>
      <c r="S642" s="5" t="inlineStr">
        <is>
          <t>Confirmed</t>
        </is>
      </c>
    </row>
    <row r="643" ht="16" customHeight="1">
      <c r="A643" s="5" t="inlineStr">
        <is>
          <t>THREMOLIA-S2-F075</t>
        </is>
      </c>
      <c r="B643" s="5" t="inlineStr">
        <is>
          <t>THREMOLIA</t>
        </is>
      </c>
      <c r="C643" s="5" t="inlineStr">
        <is>
          <t>S2</t>
        </is>
      </c>
      <c r="D643" s="21" t="str">
        <f>IFERROR(VLOOKUP($G643,'02_REFERENCE'!$A$2:$S$99,4,FALSE),"N/A")</f>
        <v>Denial of Service</v>
      </c>
      <c r="E643" s="21" t="str">
        <f>IFERROR(VLOOKUP($G643,'02_REFERENCE'!$A$2:$S$99,15,FALSE),"N/A")</f>
        <v>Medium</v>
      </c>
      <c r="F643" s="21" t="str">
        <f>IFERROR(VLOOKUP($G643,'02_REFERENCE'!$A$2:$S$99,17,FALSE),"N/A")</f>
        <v>Yes</v>
      </c>
      <c r="G643" s="21" t="inlineStr">
        <is>
          <t>S2-RT-033</t>
        </is>
      </c>
      <c r="H643" s="21" t="inlineStr">
        <is>
          <t>Duplicate</t>
        </is>
      </c>
      <c r="I643" s="21" t="inlineStr">
        <is>
          <t>TP</t>
        </is>
      </c>
      <c r="J643" s="21" t="inlineStr">
        <is>
          <t>M</t>
        </is>
      </c>
      <c r="K643" s="21" t="inlineStr">
        <is>
          <t>N</t>
        </is>
      </c>
      <c r="L643" s="21" t="inlineStr">
        <is>
          <t>Yes</t>
        </is>
      </c>
      <c r="M643" s="21" t="inlineStr">
        <is>
          <t>THREMOLIA-S2-F069</t>
        </is>
      </c>
      <c r="N643" s="22" t="inlineStr">
        <is>
          <t>Mechanism class llm_consumption (victim-based DoS routing); evidence: Flooding P2 with context [Equivalence: restates THREMOLIA-S2-F069 — one-to-one rule applied.]</t>
        </is>
      </c>
      <c r="O643" s="5" t="inlineStr">
        <is>
          <t>dos_service</t>
        </is>
      </c>
      <c r="P643" s="16" t="inlineStr"/>
      <c r="Q643" s="16" t="inlineStr">
        <is>
          <t>DF13: Authorized Context Request</t>
        </is>
      </c>
      <c r="R643" s="16" t="inlineStr"/>
      <c r="S643" s="5" t="inlineStr">
        <is>
          <t>Confirmed</t>
        </is>
      </c>
    </row>
    <row r="644" ht="16" customHeight="1">
      <c r="A644" s="5" t="inlineStr">
        <is>
          <t>THREMOLIA-S2-F076</t>
        </is>
      </c>
      <c r="B644" s="5" t="inlineStr">
        <is>
          <t>THREMOLIA</t>
        </is>
      </c>
      <c r="C644" s="5" t="inlineStr">
        <is>
          <t>S2</t>
        </is>
      </c>
      <c r="D644" s="21" t="str">
        <f>IFERROR(VLOOKUP($G644,'02_REFERENCE'!$A$2:$S$99,4,FALSE),"N/A")</f>
        <v>Elevation of Privilege</v>
      </c>
      <c r="E644" s="21" t="str">
        <f>IFERROR(VLOOKUP($G644,'02_REFERENCE'!$A$2:$S$99,15,FALSE),"N/A")</f>
        <v>Critical</v>
      </c>
      <c r="F644" s="21" t="str">
        <f>IFERROR(VLOOKUP($G644,'02_REFERENCE'!$A$2:$S$99,17,FALSE),"N/A")</f>
        <v>No</v>
      </c>
      <c r="G644" s="21" t="inlineStr">
        <is>
          <t>S2-RT-003</t>
        </is>
      </c>
      <c r="H644" s="21" t="inlineStr">
        <is>
          <t>Duplicate</t>
        </is>
      </c>
      <c r="I644" s="21" t="inlineStr">
        <is>
          <t>TP</t>
        </is>
      </c>
      <c r="J644" s="21" t="inlineStr">
        <is>
          <t>M</t>
        </is>
      </c>
      <c r="K644" s="21" t="inlineStr">
        <is>
          <t>N</t>
        </is>
      </c>
      <c r="L644" s="21" t="inlineStr">
        <is>
          <t>Yes</t>
        </is>
      </c>
      <c r="M644" s="21" t="inlineStr">
        <is>
          <t>THREMOLIA-S2-F016</t>
        </is>
      </c>
      <c r="N644" s="22" t="inlineStr">
        <is>
          <t>Mechanism class access_bypass_logic; evidence: bypass ownership checks.  DF14: Authorization; authorization verification query to bypass [Equivalence: restates THREMOLIA-S2-F016 — one-to-one rule applied.]</t>
        </is>
      </c>
      <c r="O644" s="5" t="inlineStr">
        <is>
          <t>access_bypass_logic</t>
        </is>
      </c>
      <c r="P644" s="16" t="inlineStr"/>
      <c r="Q644" s="16" t="inlineStr">
        <is>
          <t>DF14: Authorization Verification</t>
        </is>
      </c>
      <c r="R644" s="16" t="inlineStr"/>
      <c r="S644" s="5" t="inlineStr">
        <is>
          <t>Confirmed</t>
        </is>
      </c>
    </row>
    <row r="645" ht="16" customHeight="1">
      <c r="A645" s="5" t="inlineStr">
        <is>
          <t>THREMOLIA-S2-F077</t>
        </is>
      </c>
      <c r="B645" s="5" t="inlineStr">
        <is>
          <t>THREMOLIA</t>
        </is>
      </c>
      <c r="C645" s="5" t="inlineStr">
        <is>
          <t>S2</t>
        </is>
      </c>
      <c r="D645" s="21" t="str">
        <f>IFERROR(VLOOKUP($G645,'02_REFERENCE'!$A$2:$S$99,4,FALSE),"N/A")</f>
        <v>Information Disclosure</v>
      </c>
      <c r="E645" s="21" t="str">
        <f>IFERROR(VLOOKUP($G645,'02_REFERENCE'!$A$2:$S$99,15,FALSE),"N/A")</f>
        <v>High</v>
      </c>
      <c r="F645" s="21" t="str">
        <f>IFERROR(VLOOKUP($G645,'02_REFERENCE'!$A$2:$S$99,17,FALSE),"N/A")</f>
        <v>No</v>
      </c>
      <c r="G645" s="21" t="inlineStr">
        <is>
          <t>S2-RT-017</t>
        </is>
      </c>
      <c r="H645" s="21" t="inlineStr">
        <is>
          <t>Duplicate</t>
        </is>
      </c>
      <c r="I645" s="21" t="inlineStr">
        <is>
          <t>TP</t>
        </is>
      </c>
      <c r="J645" s="21" t="inlineStr">
        <is>
          <t>M</t>
        </is>
      </c>
      <c r="K645" s="21" t="inlineStr">
        <is>
          <t>N</t>
        </is>
      </c>
      <c r="L645" s="21" t="inlineStr">
        <is>
          <t>Yes</t>
        </is>
      </c>
      <c r="M645" s="21" t="inlineStr">
        <is>
          <t>THREMOLIA-S2-F038</t>
        </is>
      </c>
      <c r="N645" s="22" t="inlineStr">
        <is>
          <t>Mechanism class transit_data_general; evidence: Sniffing AI-context authorization query [Equivalence: restates THREMOLIA-S2-F038 — one-to-one rule applied.]</t>
        </is>
      </c>
      <c r="O645" s="5" t="inlineStr">
        <is>
          <t>transit_data_general</t>
        </is>
      </c>
      <c r="P645" s="16" t="inlineStr"/>
      <c r="Q645" s="16" t="inlineStr">
        <is>
          <t>DF14: Authorization Verification</t>
        </is>
      </c>
      <c r="R645" s="16" t="inlineStr"/>
      <c r="S645" s="5" t="inlineStr">
        <is>
          <t>Confirmed</t>
        </is>
      </c>
    </row>
    <row r="646" ht="16" customHeight="1">
      <c r="A646" s="5" t="inlineStr">
        <is>
          <t>THREMOLIA-S2-F078</t>
        </is>
      </c>
      <c r="B646" s="5" t="inlineStr">
        <is>
          <t>THREMOLIA</t>
        </is>
      </c>
      <c r="C646" s="5" t="inlineStr">
        <is>
          <t>S2</t>
        </is>
      </c>
      <c r="D646" s="21" t="str">
        <f>IFERROR(VLOOKUP($G646,'02_REFERENCE'!$A$2:$S$99,4,FALSE),"N/A")</f>
        <v>Denial of Service</v>
      </c>
      <c r="E646" s="21" t="str">
        <f>IFERROR(VLOOKUP($G646,'02_REFERENCE'!$A$2:$S$99,15,FALSE),"N/A")</f>
        <v>High</v>
      </c>
      <c r="F646" s="21" t="str">
        <f>IFERROR(VLOOKUP($G646,'02_REFERENCE'!$A$2:$S$99,17,FALSE),"N/A")</f>
        <v>No</v>
      </c>
      <c r="G646" s="21" t="inlineStr">
        <is>
          <t>S2-RT-031</t>
        </is>
      </c>
      <c r="H646" s="21" t="inlineStr">
        <is>
          <t>Duplicate</t>
        </is>
      </c>
      <c r="I646" s="21" t="inlineStr">
        <is>
          <t>TP</t>
        </is>
      </c>
      <c r="J646" s="21" t="inlineStr">
        <is>
          <t>M</t>
        </is>
      </c>
      <c r="K646" s="21" t="inlineStr">
        <is>
          <t>N</t>
        </is>
      </c>
      <c r="L646" s="21" t="inlineStr">
        <is>
          <t>Yes</t>
        </is>
      </c>
      <c r="M646" s="21" t="inlineStr">
        <is>
          <t>THREMOLIA-S2-F063</t>
        </is>
      </c>
      <c r="N646" s="22" t="inlineStr">
        <is>
          <t>Mechanism class dos_service (victim-based DoS routing); evidence: Flood [Equivalence: restates THREMOLIA-S2-F063 — one-to-one rule applied.]</t>
        </is>
      </c>
      <c r="O646" s="5" t="inlineStr">
        <is>
          <t>dos_service</t>
        </is>
      </c>
      <c r="P646" s="16" t="inlineStr"/>
      <c r="Q646" s="16" t="inlineStr">
        <is>
          <t>DF14: Authorization Verification</t>
        </is>
      </c>
      <c r="R646" s="16" t="inlineStr"/>
      <c r="S646" s="5" t="inlineStr">
        <is>
          <t>Confirmed</t>
        </is>
      </c>
    </row>
    <row r="647" ht="16" customHeight="1">
      <c r="A647" s="5" t="inlineStr">
        <is>
          <t>THREMOLIA-S2-F079</t>
        </is>
      </c>
      <c r="B647" s="5" t="inlineStr">
        <is>
          <t>THREMOLIA</t>
        </is>
      </c>
      <c r="C647" s="5" t="inlineStr">
        <is>
          <t>S2</t>
        </is>
      </c>
      <c r="D647" s="21" t="str">
        <f>IFERROR(VLOOKUP($G647,'02_REFERENCE'!$A$2:$S$99,4,FALSE),"N/A")</f>
        <v>Elevation of Privilege</v>
      </c>
      <c r="E647" s="21" t="str">
        <f>IFERROR(VLOOKUP($G647,'02_REFERENCE'!$A$2:$S$99,15,FALSE),"N/A")</f>
        <v>High</v>
      </c>
      <c r="F647" s="21" t="str">
        <f>IFERROR(VLOOKUP($G647,'02_REFERENCE'!$A$2:$S$99,17,FALSE),"N/A")</f>
        <v>Yes</v>
      </c>
      <c r="G647" s="21" t="inlineStr">
        <is>
          <t>S2-RT-009</t>
        </is>
      </c>
      <c r="H647" s="21" t="inlineStr">
        <is>
          <t>Duplicate</t>
        </is>
      </c>
      <c r="I647" s="21" t="inlineStr">
        <is>
          <t>TP</t>
        </is>
      </c>
      <c r="J647" s="21" t="inlineStr">
        <is>
          <t>L</t>
        </is>
      </c>
      <c r="K647" s="21" t="inlineStr">
        <is>
          <t>N</t>
        </is>
      </c>
      <c r="L647" s="21" t="inlineStr">
        <is>
          <t>Yes</t>
        </is>
      </c>
      <c r="M647" s="21" t="inlineStr">
        <is>
          <t>THREMOLIA-S2-F017</t>
        </is>
      </c>
      <c r="N647" s="22" t="inlineStr">
        <is>
          <t>Mechanism class context_gap; evidence: authorization decision message to falsely authorize AI conte [Equivalence: restates THREMOLIA-S2-F017 — one-to-one rule applied.]</t>
        </is>
      </c>
      <c r="O647" s="5" t="inlineStr">
        <is>
          <t>context_gap</t>
        </is>
      </c>
      <c r="P647" s="16" t="inlineStr"/>
      <c r="Q647" s="16" t="inlineStr">
        <is>
          <t>DF15: Authorization Decision</t>
        </is>
      </c>
      <c r="R647" s="16" t="inlineStr"/>
      <c r="S647" s="5" t="inlineStr">
        <is>
          <t>Manual review</t>
        </is>
      </c>
    </row>
    <row r="648" ht="16" customHeight="1">
      <c r="A648" s="5" t="inlineStr">
        <is>
          <t>THREMOLIA-S2-F080</t>
        </is>
      </c>
      <c r="B648" s="5" t="inlineStr">
        <is>
          <t>THREMOLIA</t>
        </is>
      </c>
      <c r="C648" s="5" t="inlineStr">
        <is>
          <t>S2</t>
        </is>
      </c>
      <c r="D648" s="21" t="str">
        <f>IFERROR(VLOOKUP($G648,'02_REFERENCE'!$A$2:$S$99,4,FALSE),"N/A")</f>
        <v>Information Disclosure</v>
      </c>
      <c r="E648" s="21" t="str">
        <f>IFERROR(VLOOKUP($G648,'02_REFERENCE'!$A$2:$S$99,15,FALSE),"N/A")</f>
        <v>Critical</v>
      </c>
      <c r="F648" s="21" t="str">
        <f>IFERROR(VLOOKUP($G648,'02_REFERENCE'!$A$2:$S$99,17,FALSE),"N/A")</f>
        <v>No</v>
      </c>
      <c r="G648" s="21" t="inlineStr">
        <is>
          <t>S2-RT-015</t>
        </is>
      </c>
      <c r="H648" s="21" t="inlineStr">
        <is>
          <t>Duplicate</t>
        </is>
      </c>
      <c r="I648" s="21" t="inlineStr">
        <is>
          <t>TP</t>
        </is>
      </c>
      <c r="J648" s="21" t="inlineStr">
        <is>
          <t>M</t>
        </is>
      </c>
      <c r="K648" s="21" t="inlineStr">
        <is>
          <t>N</t>
        </is>
      </c>
      <c r="L648" s="21" t="inlineStr">
        <is>
          <t>Yes</t>
        </is>
      </c>
      <c r="M648" s="21" t="inlineStr">
        <is>
          <t>THREMOLIA-S2-F031</t>
        </is>
      </c>
      <c r="N648" s="22" t="inlineStr">
        <is>
          <t>Mechanism class mass_disclosure; evidence: revealing permission records [Equivalence: restates THREMOLIA-S2-F031 — one-to-one rule applied.]</t>
        </is>
      </c>
      <c r="O648" s="5" t="inlineStr">
        <is>
          <t>mass_disclosure</t>
        </is>
      </c>
      <c r="P648" s="16" t="inlineStr"/>
      <c r="Q648" s="16" t="inlineStr">
        <is>
          <t>DF15: Authorization Decision</t>
        </is>
      </c>
      <c r="R648" s="16" t="inlineStr"/>
      <c r="S648" s="5" t="inlineStr">
        <is>
          <t>Confirmed</t>
        </is>
      </c>
    </row>
    <row r="649" ht="16" customHeight="1">
      <c r="A649" s="5" t="inlineStr">
        <is>
          <t>THREMOLIA-S2-F081</t>
        </is>
      </c>
      <c r="B649" s="5" t="inlineStr">
        <is>
          <t>THREMOLIA</t>
        </is>
      </c>
      <c r="C649" s="5" t="inlineStr">
        <is>
          <t>S2</t>
        </is>
      </c>
      <c r="D649" s="21" t="str">
        <f>IFERROR(VLOOKUP($G649,'02_REFERENCE'!$A$2:$S$99,4,FALSE),"N/A")</f>
        <v>N/A</v>
      </c>
      <c r="E649" s="21" t="str">
        <f>IFERROR(VLOOKUP($G649,'02_REFERENCE'!$A$2:$S$99,15,FALSE),"N/A")</f>
        <v>N/A</v>
      </c>
      <c r="F649" s="21" t="str">
        <f>IFERROR(VLOOKUP($G649,'02_REFERENCE'!$A$2:$S$99,17,FALSE),"N/A")</f>
        <v>N/A</v>
      </c>
      <c r="G649" s="21" t="inlineStr"/>
      <c r="H649" s="21" t="inlineStr">
        <is>
          <t>False Positive</t>
        </is>
      </c>
      <c r="I649" s="21" t="inlineStr">
        <is>
          <t>FP</t>
        </is>
      </c>
      <c r="J649" s="21" t="inlineStr">
        <is>
          <t>M</t>
        </is>
      </c>
      <c r="K649" s="21" t="inlineStr">
        <is>
          <t>N</t>
        </is>
      </c>
      <c r="L649" s="21" t="inlineStr">
        <is>
          <t>No</t>
        </is>
      </c>
      <c r="M649" s="21" t="inlineStr"/>
      <c r="N649" s="22" t="inlineStr">
        <is>
          <t>No reference threat corresponds to this finding's mechanism (scoring found no class with sufficient evidence).</t>
        </is>
      </c>
      <c r="O649" s="5" t="inlineStr"/>
      <c r="P649" s="16" t="inlineStr"/>
      <c r="Q649" s="16" t="inlineStr">
        <is>
          <t>DF15: Authorization Decision</t>
        </is>
      </c>
      <c r="R649" s="16" t="inlineStr"/>
      <c r="S649" s="5" t="inlineStr">
        <is>
          <t>Confirmed</t>
        </is>
      </c>
    </row>
    <row r="650" ht="16" customHeight="1">
      <c r="A650" s="5" t="inlineStr">
        <is>
          <t>THREMOLIA-S2-F082</t>
        </is>
      </c>
      <c r="B650" s="5" t="inlineStr">
        <is>
          <t>THREMOLIA</t>
        </is>
      </c>
      <c r="C650" s="5" t="inlineStr">
        <is>
          <t>S2</t>
        </is>
      </c>
      <c r="D650" s="21" t="str">
        <f>IFERROR(VLOOKUP($G650,'02_REFERENCE'!$A$2:$S$99,4,FALSE),"N/A")</f>
        <v>Tampering</v>
      </c>
      <c r="E650" s="21" t="str">
        <f>IFERROR(VLOOKUP($G650,'02_REFERENCE'!$A$2:$S$99,15,FALSE),"N/A")</f>
        <v>Critical</v>
      </c>
      <c r="F650" s="21" t="str">
        <f>IFERROR(VLOOKUP($G650,'02_REFERENCE'!$A$2:$S$99,17,FALSE),"N/A")</f>
        <v>No</v>
      </c>
      <c r="G650" s="21" t="inlineStr">
        <is>
          <t>S2-RT-006</t>
        </is>
      </c>
      <c r="H650" s="21" t="inlineStr">
        <is>
          <t>Duplicate</t>
        </is>
      </c>
      <c r="I650" s="21" t="inlineStr">
        <is>
          <t>TP</t>
        </is>
      </c>
      <c r="J650" s="21" t="inlineStr">
        <is>
          <t>M</t>
        </is>
      </c>
      <c r="K650" s="21" t="inlineStr">
        <is>
          <t>N</t>
        </is>
      </c>
      <c r="L650" s="21" t="inlineStr">
        <is>
          <t>Yes</t>
        </is>
      </c>
      <c r="M650" s="21" t="inlineStr">
        <is>
          <t>THREMOLIA-S2-F052</t>
        </is>
      </c>
      <c r="N650" s="22" t="inlineStr">
        <is>
          <t>Mechanism class injection_verification; evidence: Tampering with document retrieval key [Equivalence: restates THREMOLIA-S2-F052 — one-to-one rule applied.]</t>
        </is>
      </c>
      <c r="O650" s="5" t="inlineStr">
        <is>
          <t>injection_verification</t>
        </is>
      </c>
      <c r="P650" s="16" t="inlineStr"/>
      <c r="Q650" s="16" t="inlineStr">
        <is>
          <t>DF16: Authorized Document Retrieval</t>
        </is>
      </c>
      <c r="R650" s="16" t="inlineStr"/>
      <c r="S650" s="5" t="inlineStr">
        <is>
          <t>Confirmed</t>
        </is>
      </c>
    </row>
    <row r="651" ht="16" customHeight="1">
      <c r="A651" s="5" t="inlineStr">
        <is>
          <t>THREMOLIA-S2-F083</t>
        </is>
      </c>
      <c r="B651" s="5" t="inlineStr">
        <is>
          <t>THREMOLIA</t>
        </is>
      </c>
      <c r="C651" s="5" t="inlineStr">
        <is>
          <t>S2</t>
        </is>
      </c>
      <c r="D651" s="21" t="str">
        <f>IFERROR(VLOOKUP($G651,'02_REFERENCE'!$A$2:$S$99,4,FALSE),"N/A")</f>
        <v>Information Disclosure</v>
      </c>
      <c r="E651" s="21" t="str">
        <f>IFERROR(VLOOKUP($G651,'02_REFERENCE'!$A$2:$S$99,15,FALSE),"N/A")</f>
        <v>High</v>
      </c>
      <c r="F651" s="21" t="str">
        <f>IFERROR(VLOOKUP($G651,'02_REFERENCE'!$A$2:$S$99,17,FALSE),"N/A")</f>
        <v>No</v>
      </c>
      <c r="G651" s="21" t="inlineStr">
        <is>
          <t>S2-RT-017</t>
        </is>
      </c>
      <c r="H651" s="21" t="inlineStr">
        <is>
          <t>Duplicate</t>
        </is>
      </c>
      <c r="I651" s="21" t="inlineStr">
        <is>
          <t>TP</t>
        </is>
      </c>
      <c r="J651" s="21" t="inlineStr">
        <is>
          <t>M</t>
        </is>
      </c>
      <c r="K651" s="21" t="inlineStr">
        <is>
          <t>N</t>
        </is>
      </c>
      <c r="L651" s="21" t="inlineStr">
        <is>
          <t>Yes</t>
        </is>
      </c>
      <c r="M651" s="21" t="inlineStr">
        <is>
          <t>THREMOLIA-S2-F038</t>
        </is>
      </c>
      <c r="N651" s="22" t="inlineStr">
        <is>
          <t>Mechanism class transit_data_general; evidence: Sniffing document content [Equivalence: restates THREMOLIA-S2-F038 — one-to-one rule applied.]</t>
        </is>
      </c>
      <c r="O651" s="5" t="inlineStr">
        <is>
          <t>transit_data_general</t>
        </is>
      </c>
      <c r="P651" s="16" t="inlineStr"/>
      <c r="Q651" s="16" t="inlineStr">
        <is>
          <t>DF16: Authorized Document Retrieval</t>
        </is>
      </c>
      <c r="R651" s="16" t="inlineStr"/>
      <c r="S651" s="5" t="inlineStr">
        <is>
          <t>Confirmed</t>
        </is>
      </c>
    </row>
    <row r="652" ht="16" customHeight="1">
      <c r="A652" s="5" t="inlineStr">
        <is>
          <t>THREMOLIA-S2-F084</t>
        </is>
      </c>
      <c r="B652" s="5" t="inlineStr">
        <is>
          <t>THREMOLIA</t>
        </is>
      </c>
      <c r="C652" s="5" t="inlineStr">
        <is>
          <t>S2</t>
        </is>
      </c>
      <c r="D652" s="21" t="str">
        <f>IFERROR(VLOOKUP($G652,'02_REFERENCE'!$A$2:$S$99,4,FALSE),"N/A")</f>
        <v>N/A</v>
      </c>
      <c r="E652" s="21" t="str">
        <f>IFERROR(VLOOKUP($G652,'02_REFERENCE'!$A$2:$S$99,15,FALSE),"N/A")</f>
        <v>N/A</v>
      </c>
      <c r="F652" s="21" t="str">
        <f>IFERROR(VLOOKUP($G652,'02_REFERENCE'!$A$2:$S$99,17,FALSE),"N/A")</f>
        <v>N/A</v>
      </c>
      <c r="G652" s="21" t="inlineStr"/>
      <c r="H652" s="21" t="inlineStr">
        <is>
          <t>False Positive</t>
        </is>
      </c>
      <c r="I652" s="21" t="inlineStr">
        <is>
          <t>FP</t>
        </is>
      </c>
      <c r="J652" s="21" t="inlineStr">
        <is>
          <t>M</t>
        </is>
      </c>
      <c r="K652" s="21" t="inlineStr">
        <is>
          <t>N</t>
        </is>
      </c>
      <c r="L652" s="21" t="inlineStr">
        <is>
          <t>No</t>
        </is>
      </c>
      <c r="M652" s="21" t="inlineStr"/>
      <c r="N652" s="22" t="inlineStr">
        <is>
          <t>No reference threat corresponds to this finding's mechanism (scoring found no class with sufficient evidence).</t>
        </is>
      </c>
      <c r="O652" s="5" t="inlineStr"/>
      <c r="P652" s="16" t="inlineStr"/>
      <c r="Q652" s="16" t="inlineStr">
        <is>
          <t>DF16: Authorized Document Retrieval</t>
        </is>
      </c>
      <c r="R652" s="16" t="inlineStr"/>
      <c r="S652" s="5" t="inlineStr">
        <is>
          <t>Confirmed</t>
        </is>
      </c>
    </row>
    <row r="653" ht="16" customHeight="1">
      <c r="A653" s="5" t="inlineStr">
        <is>
          <t>THREMOLIA-S2-F085</t>
        </is>
      </c>
      <c r="B653" s="5" t="inlineStr">
        <is>
          <t>THREMOLIA</t>
        </is>
      </c>
      <c r="C653" s="5" t="inlineStr">
        <is>
          <t>S2</t>
        </is>
      </c>
      <c r="D653" s="21" t="str">
        <f>IFERROR(VLOOKUP($G653,'02_REFERENCE'!$A$2:$S$99,4,FALSE),"N/A")</f>
        <v>N/A</v>
      </c>
      <c r="E653" s="21" t="str">
        <f>IFERROR(VLOOKUP($G653,'02_REFERENCE'!$A$2:$S$99,15,FALSE),"N/A")</f>
        <v>N/A</v>
      </c>
      <c r="F653" s="21" t="str">
        <f>IFERROR(VLOOKUP($G653,'02_REFERENCE'!$A$2:$S$99,17,FALSE),"N/A")</f>
        <v>N/A</v>
      </c>
      <c r="G653" s="21" t="inlineStr"/>
      <c r="H653" s="21" t="inlineStr">
        <is>
          <t>False Positive</t>
        </is>
      </c>
      <c r="I653" s="21" t="inlineStr">
        <is>
          <t>FP</t>
        </is>
      </c>
      <c r="J653" s="21" t="inlineStr">
        <is>
          <t>M</t>
        </is>
      </c>
      <c r="K653" s="21" t="inlineStr">
        <is>
          <t>N</t>
        </is>
      </c>
      <c r="L653" s="21" t="inlineStr">
        <is>
          <t>No</t>
        </is>
      </c>
      <c r="M653" s="21" t="inlineStr"/>
      <c r="N653" s="22" t="inlineStr">
        <is>
          <t>No reference threat corresponds to this finding's mechanism (scoring found no class with sufficient evidence).</t>
        </is>
      </c>
      <c r="O653" s="5" t="inlineStr"/>
      <c r="P653" s="16" t="inlineStr"/>
      <c r="Q653" s="16" t="inlineStr">
        <is>
          <t>DF17: Approved Document Context</t>
        </is>
      </c>
      <c r="R653" s="16" t="inlineStr"/>
      <c r="S653" s="5" t="inlineStr">
        <is>
          <t>Confirmed</t>
        </is>
      </c>
    </row>
    <row r="654" ht="16" customHeight="1">
      <c r="A654" s="5" t="inlineStr">
        <is>
          <t>THREMOLIA-S2-F086</t>
        </is>
      </c>
      <c r="B654" s="5" t="inlineStr">
        <is>
          <t>THREMOLIA</t>
        </is>
      </c>
      <c r="C654" s="5" t="inlineStr">
        <is>
          <t>S2</t>
        </is>
      </c>
      <c r="D654" s="21" t="str">
        <f>IFERROR(VLOOKUP($G654,'02_REFERENCE'!$A$2:$S$99,4,FALSE),"N/A")</f>
        <v>Information Disclosure</v>
      </c>
      <c r="E654" s="21" t="str">
        <f>IFERROR(VLOOKUP($G654,'02_REFERENCE'!$A$2:$S$99,15,FALSE),"N/A")</f>
        <v>High</v>
      </c>
      <c r="F654" s="21" t="str">
        <f>IFERROR(VLOOKUP($G654,'02_REFERENCE'!$A$2:$S$99,17,FALSE),"N/A")</f>
        <v>No</v>
      </c>
      <c r="G654" s="21" t="inlineStr">
        <is>
          <t>S2-RT-017</t>
        </is>
      </c>
      <c r="H654" s="21" t="inlineStr">
        <is>
          <t>Duplicate</t>
        </is>
      </c>
      <c r="I654" s="21" t="inlineStr">
        <is>
          <t>TP</t>
        </is>
      </c>
      <c r="J654" s="21" t="inlineStr">
        <is>
          <t>H</t>
        </is>
      </c>
      <c r="K654" s="21" t="inlineStr">
        <is>
          <t>N</t>
        </is>
      </c>
      <c r="L654" s="21" t="inlineStr">
        <is>
          <t>Yes</t>
        </is>
      </c>
      <c r="M654" s="21" t="inlineStr">
        <is>
          <t>THREMOLIA-S2-F038</t>
        </is>
      </c>
      <c r="N654" s="22" t="inlineStr">
        <is>
          <t>Mechanism class transit_data_general; evidence: Sniffing approved document; document context in transit [Equivalence: restates THREMOLIA-S2-F038 — one-to-one rule applied.]</t>
        </is>
      </c>
      <c r="O654" s="5" t="inlineStr">
        <is>
          <t>transit_data_general</t>
        </is>
      </c>
      <c r="P654" s="16" t="inlineStr"/>
      <c r="Q654" s="16" t="inlineStr">
        <is>
          <t>DF17: Approved Document Context</t>
        </is>
      </c>
      <c r="R654" s="16" t="inlineStr"/>
      <c r="S654" s="5" t="inlineStr">
        <is>
          <t>Confirmed</t>
        </is>
      </c>
    </row>
    <row r="655" ht="16" customHeight="1">
      <c r="A655" s="5" t="inlineStr">
        <is>
          <t>THREMOLIA-S2-F087</t>
        </is>
      </c>
      <c r="B655" s="5" t="inlineStr">
        <is>
          <t>THREMOLIA</t>
        </is>
      </c>
      <c r="C655" s="5" t="inlineStr">
        <is>
          <t>S2</t>
        </is>
      </c>
      <c r="D655" s="21" t="str">
        <f>IFERROR(VLOOKUP($G655,'02_REFERENCE'!$A$2:$S$99,4,FALSE),"N/A")</f>
        <v>N/A</v>
      </c>
      <c r="E655" s="21" t="str">
        <f>IFERROR(VLOOKUP($G655,'02_REFERENCE'!$A$2:$S$99,15,FALSE),"N/A")</f>
        <v>N/A</v>
      </c>
      <c r="F655" s="21" t="str">
        <f>IFERROR(VLOOKUP($G655,'02_REFERENCE'!$A$2:$S$99,17,FALSE),"N/A")</f>
        <v>N/A</v>
      </c>
      <c r="G655" s="21" t="inlineStr"/>
      <c r="H655" s="21" t="inlineStr">
        <is>
          <t>False Positive</t>
        </is>
      </c>
      <c r="I655" s="21" t="inlineStr">
        <is>
          <t>FP</t>
        </is>
      </c>
      <c r="J655" s="21" t="inlineStr">
        <is>
          <t>M</t>
        </is>
      </c>
      <c r="K655" s="21" t="inlineStr">
        <is>
          <t>N</t>
        </is>
      </c>
      <c r="L655" s="21" t="inlineStr">
        <is>
          <t>No</t>
        </is>
      </c>
      <c r="M655" s="21" t="inlineStr"/>
      <c r="N655" s="22" t="inlineStr">
        <is>
          <t>No reference threat corresponds to this finding's mechanism (scoring found no class with sufficient evidence).</t>
        </is>
      </c>
      <c r="O655" s="5" t="inlineStr"/>
      <c r="P655" s="16" t="inlineStr"/>
      <c r="Q655" s="16" t="inlineStr">
        <is>
          <t>DF17: Approved Document Context</t>
        </is>
      </c>
      <c r="R655" s="16" t="inlineStr"/>
      <c r="S655" s="5" t="inlineStr">
        <is>
          <t>Confirmed</t>
        </is>
      </c>
    </row>
    <row r="656" ht="16" customHeight="1">
      <c r="A656" s="5" t="inlineStr">
        <is>
          <t>THREMOLIA-S2-F088</t>
        </is>
      </c>
      <c r="B656" s="5" t="inlineStr">
        <is>
          <t>THREMOLIA</t>
        </is>
      </c>
      <c r="C656" s="5" t="inlineStr">
        <is>
          <t>S2</t>
        </is>
      </c>
      <c r="D656" s="21" t="str">
        <f>IFERROR(VLOOKUP($G656,'02_REFERENCE'!$A$2:$S$99,4,FALSE),"N/A")</f>
        <v>N/A</v>
      </c>
      <c r="E656" s="21" t="str">
        <f>IFERROR(VLOOKUP($G656,'02_REFERENCE'!$A$2:$S$99,15,FALSE),"N/A")</f>
        <v>N/A</v>
      </c>
      <c r="F656" s="21" t="str">
        <f>IFERROR(VLOOKUP($G656,'02_REFERENCE'!$A$2:$S$99,17,FALSE),"N/A")</f>
        <v>N/A</v>
      </c>
      <c r="G656" s="21" t="inlineStr"/>
      <c r="H656" s="21" t="inlineStr">
        <is>
          <t>False Positive</t>
        </is>
      </c>
      <c r="I656" s="21" t="inlineStr">
        <is>
          <t>FP</t>
        </is>
      </c>
      <c r="J656" s="21" t="inlineStr">
        <is>
          <t>M</t>
        </is>
      </c>
      <c r="K656" s="21" t="inlineStr">
        <is>
          <t>N</t>
        </is>
      </c>
      <c r="L656" s="21" t="inlineStr">
        <is>
          <t>No</t>
        </is>
      </c>
      <c r="M656" s="21" t="inlineStr"/>
      <c r="N656" s="22" t="inlineStr">
        <is>
          <t>No reference threat corresponds to this finding's mechanism (scoring found no class with sufficient evidence).</t>
        </is>
      </c>
      <c r="O656" s="5" t="inlineStr"/>
      <c r="P656" s="16" t="inlineStr"/>
      <c r="Q656" s="16" t="inlineStr">
        <is>
          <t>DF18: Prompt + Approved Context</t>
        </is>
      </c>
      <c r="R656" s="16" t="inlineStr"/>
      <c r="S656" s="5" t="inlineStr">
        <is>
          <t>Confirmed</t>
        </is>
      </c>
    </row>
    <row r="657" ht="16" customHeight="1">
      <c r="A657" s="5" t="inlineStr">
        <is>
          <t>THREMOLIA-S2-F089</t>
        </is>
      </c>
      <c r="B657" s="5" t="inlineStr">
        <is>
          <t>THREMOLIA</t>
        </is>
      </c>
      <c r="C657" s="5" t="inlineStr">
        <is>
          <t>S2</t>
        </is>
      </c>
      <c r="D657" s="21" t="str">
        <f>IFERROR(VLOOKUP($G657,'02_REFERENCE'!$A$2:$S$99,4,FALSE),"N/A")</f>
        <v>Information Disclosure</v>
      </c>
      <c r="E657" s="21" t="str">
        <f>IFERROR(VLOOKUP($G657,'02_REFERENCE'!$A$2:$S$99,15,FALSE),"N/A")</f>
        <v>High</v>
      </c>
      <c r="F657" s="21" t="str">
        <f>IFERROR(VLOOKUP($G657,'02_REFERENCE'!$A$2:$S$99,17,FALSE),"N/A")</f>
        <v>Yes</v>
      </c>
      <c r="G657" s="21" t="inlineStr">
        <is>
          <t>S2-RT-018</t>
        </is>
      </c>
      <c r="H657" s="21" t="inlineStr">
        <is>
          <t>Primary TP</t>
        </is>
      </c>
      <c r="I657" s="21" t="inlineStr">
        <is>
          <t>TP</t>
        </is>
      </c>
      <c r="J657" s="21" t="inlineStr">
        <is>
          <t>H</t>
        </is>
      </c>
      <c r="K657" s="21" t="inlineStr">
        <is>
          <t>Y</t>
        </is>
      </c>
      <c r="L657" s="21" t="inlineStr">
        <is>
          <t>No</t>
        </is>
      </c>
      <c r="M657" s="21" t="inlineStr"/>
      <c r="N657" s="22" t="inlineStr">
        <is>
          <t>Mechanism class sensitive_to_llm; evidence: confidential document sections.  DF18: Prompt; disclosing confidential document sections.  DF18: Prompt</t>
        </is>
      </c>
      <c r="O657" s="5" t="inlineStr">
        <is>
          <t>sensitive_to_llm</t>
        </is>
      </c>
      <c r="P657" s="16" t="inlineStr"/>
      <c r="Q657" s="16" t="inlineStr">
        <is>
          <t>DF18: Prompt + Approved Context</t>
        </is>
      </c>
      <c r="R657" s="16" t="inlineStr"/>
      <c r="S657" s="5" t="inlineStr">
        <is>
          <t>Confirmed</t>
        </is>
      </c>
    </row>
    <row r="658" ht="16" customHeight="1">
      <c r="A658" s="5" t="inlineStr">
        <is>
          <t>THREMOLIA-S2-F090</t>
        </is>
      </c>
      <c r="B658" s="5" t="inlineStr">
        <is>
          <t>THREMOLIA</t>
        </is>
      </c>
      <c r="C658" s="5" t="inlineStr">
        <is>
          <t>S2</t>
        </is>
      </c>
      <c r="D658" s="21" t="str">
        <f>IFERROR(VLOOKUP($G658,'02_REFERENCE'!$A$2:$S$99,4,FALSE),"N/A")</f>
        <v>Denial of Service</v>
      </c>
      <c r="E658" s="21" t="str">
        <f>IFERROR(VLOOKUP($G658,'02_REFERENCE'!$A$2:$S$99,15,FALSE),"N/A")</f>
        <v>Medium</v>
      </c>
      <c r="F658" s="21" t="str">
        <f>IFERROR(VLOOKUP($G658,'02_REFERENCE'!$A$2:$S$99,17,FALSE),"N/A")</f>
        <v>Yes</v>
      </c>
      <c r="G658" s="21" t="inlineStr">
        <is>
          <t>S2-RT-033</t>
        </is>
      </c>
      <c r="H658" s="21" t="inlineStr">
        <is>
          <t>Duplicate</t>
        </is>
      </c>
      <c r="I658" s="21" t="inlineStr">
        <is>
          <t>TP</t>
        </is>
      </c>
      <c r="J658" s="21" t="inlineStr">
        <is>
          <t>M</t>
        </is>
      </c>
      <c r="K658" s="21" t="inlineStr">
        <is>
          <t>N</t>
        </is>
      </c>
      <c r="L658" s="21" t="inlineStr">
        <is>
          <t>Yes</t>
        </is>
      </c>
      <c r="M658" s="21" t="inlineStr">
        <is>
          <t>THREMOLIA-S2-F069</t>
        </is>
      </c>
      <c r="N658" s="22" t="inlineStr">
        <is>
          <t>Mechanism class llm_consumption (victim-based DoS routing); evidence: Flooding P4 prompt queue with massive prompt [Equivalence: restates THREMOLIA-S2-F069 — one-to-one rule applied.]</t>
        </is>
      </c>
      <c r="O658" s="5" t="inlineStr">
        <is>
          <t>dos_service</t>
        </is>
      </c>
      <c r="P658" s="16" t="inlineStr"/>
      <c r="Q658" s="16" t="inlineStr">
        <is>
          <t>DF18: Prompt + Approved Context</t>
        </is>
      </c>
      <c r="R658" s="16" t="inlineStr"/>
      <c r="S658" s="5" t="inlineStr">
        <is>
          <t>Confirmed</t>
        </is>
      </c>
    </row>
    <row r="659" ht="16" customHeight="1">
      <c r="A659" s="5" t="inlineStr">
        <is>
          <t>THREMOLIA-S2-F091</t>
        </is>
      </c>
      <c r="B659" s="5" t="inlineStr">
        <is>
          <t>THREMOLIA</t>
        </is>
      </c>
      <c r="C659" s="5" t="inlineStr">
        <is>
          <t>S2</t>
        </is>
      </c>
      <c r="D659" s="21" t="str">
        <f>IFERROR(VLOOKUP($G659,'02_REFERENCE'!$A$2:$S$99,4,FALSE),"N/A")</f>
        <v>Information Disclosure</v>
      </c>
      <c r="E659" s="21" t="str">
        <f>IFERROR(VLOOKUP($G659,'02_REFERENCE'!$A$2:$S$99,15,FALSE),"N/A")</f>
        <v>High</v>
      </c>
      <c r="F659" s="21" t="str">
        <f>IFERROR(VLOOKUP($G659,'02_REFERENCE'!$A$2:$S$99,17,FALSE),"N/A")</f>
        <v>Yes</v>
      </c>
      <c r="G659" s="21" t="inlineStr">
        <is>
          <t>S2-RT-018</t>
        </is>
      </c>
      <c r="H659" s="21" t="inlineStr">
        <is>
          <t>Duplicate</t>
        </is>
      </c>
      <c r="I659" s="21" t="inlineStr">
        <is>
          <t>TP</t>
        </is>
      </c>
      <c r="J659" s="21" t="inlineStr">
        <is>
          <t>L</t>
        </is>
      </c>
      <c r="K659" s="21" t="inlineStr">
        <is>
          <t>N</t>
        </is>
      </c>
      <c r="L659" s="21" t="inlineStr">
        <is>
          <t>Yes</t>
        </is>
      </c>
      <c r="M659" s="21" t="inlineStr">
        <is>
          <t>THREMOLIA-S2-F089</t>
        </is>
      </c>
      <c r="N659" s="22" t="inlineStr">
        <is>
          <t>Mechanism class sensitive_to_llm; evidence: context data crossing TB4 to External [Equivalence: restates THREMOLIA-S2-F089 — one-to-one rule applied.]</t>
        </is>
      </c>
      <c r="O659" s="5" t="inlineStr">
        <is>
          <t>sensitive_to_llm</t>
        </is>
      </c>
      <c r="P659" s="16" t="inlineStr"/>
      <c r="Q659" s="16" t="inlineStr">
        <is>
          <t>DF19: Prompt + Approved Context</t>
        </is>
      </c>
      <c r="R659" s="16" t="inlineStr"/>
      <c r="S659" s="5" t="inlineStr">
        <is>
          <t>Manual review</t>
        </is>
      </c>
    </row>
    <row r="660" ht="16" customHeight="1">
      <c r="A660" s="5" t="inlineStr">
        <is>
          <t>THREMOLIA-S2-F092</t>
        </is>
      </c>
      <c r="B660" s="5" t="inlineStr">
        <is>
          <t>THREMOLIA</t>
        </is>
      </c>
      <c r="C660" s="5" t="inlineStr">
        <is>
          <t>S2</t>
        </is>
      </c>
      <c r="D660" s="21" t="str">
        <f>IFERROR(VLOOKUP($G660,'02_REFERENCE'!$A$2:$S$99,4,FALSE),"N/A")</f>
        <v>Information Disclosure</v>
      </c>
      <c r="E660" s="21" t="str">
        <f>IFERROR(VLOOKUP($G660,'02_REFERENCE'!$A$2:$S$99,15,FALSE),"N/A")</f>
        <v>High</v>
      </c>
      <c r="F660" s="21" t="str">
        <f>IFERROR(VLOOKUP($G660,'02_REFERENCE'!$A$2:$S$99,17,FALSE),"N/A")</f>
        <v>Yes</v>
      </c>
      <c r="G660" s="21" t="inlineStr">
        <is>
          <t>S2-RT-018</t>
        </is>
      </c>
      <c r="H660" s="21" t="inlineStr">
        <is>
          <t>Duplicate</t>
        </is>
      </c>
      <c r="I660" s="21" t="inlineStr">
        <is>
          <t>TP</t>
        </is>
      </c>
      <c r="J660" s="21" t="inlineStr">
        <is>
          <t>M</t>
        </is>
      </c>
      <c r="K660" s="21" t="inlineStr">
        <is>
          <t>N</t>
        </is>
      </c>
      <c r="L660" s="21" t="inlineStr">
        <is>
          <t>Yes</t>
        </is>
      </c>
      <c r="M660" s="21" t="inlineStr">
        <is>
          <t>THREMOLIA-S2-F089</t>
        </is>
      </c>
      <c r="N660" s="22" t="inlineStr">
        <is>
          <t>Mechanism class sensitive_to_llm; evidence: document data to external LLM provider.  DF19: Prompt [Equivalence: restates THREMOLIA-S2-F089 — one-to-one rule applied.]</t>
        </is>
      </c>
      <c r="O660" s="5" t="inlineStr">
        <is>
          <t>sensitive_to_llm</t>
        </is>
      </c>
      <c r="P660" s="16" t="inlineStr"/>
      <c r="Q660" s="16" t="inlineStr">
        <is>
          <t>DF19: Prompt + Approved Context</t>
        </is>
      </c>
      <c r="R660" s="16" t="inlineStr"/>
      <c r="S660" s="5" t="inlineStr">
        <is>
          <t>Confirmed</t>
        </is>
      </c>
    </row>
    <row r="661" ht="16" customHeight="1">
      <c r="A661" s="5" t="inlineStr">
        <is>
          <t>THREMOLIA-S2-F093</t>
        </is>
      </c>
      <c r="B661" s="5" t="inlineStr">
        <is>
          <t>THREMOLIA</t>
        </is>
      </c>
      <c r="C661" s="5" t="inlineStr">
        <is>
          <t>S2</t>
        </is>
      </c>
      <c r="D661" s="21" t="str">
        <f>IFERROR(VLOOKUP($G661,'02_REFERENCE'!$A$2:$S$99,4,FALSE),"N/A")</f>
        <v>Denial of Service</v>
      </c>
      <c r="E661" s="21" t="str">
        <f>IFERROR(VLOOKUP($G661,'02_REFERENCE'!$A$2:$S$99,15,FALSE),"N/A")</f>
        <v>Medium</v>
      </c>
      <c r="F661" s="21" t="str">
        <f>IFERROR(VLOOKUP($G661,'02_REFERENCE'!$A$2:$S$99,17,FALSE),"N/A")</f>
        <v>Yes</v>
      </c>
      <c r="G661" s="21" t="inlineStr">
        <is>
          <t>S2-RT-033</t>
        </is>
      </c>
      <c r="H661" s="21" t="inlineStr">
        <is>
          <t>Duplicate</t>
        </is>
      </c>
      <c r="I661" s="21" t="inlineStr">
        <is>
          <t>TP</t>
        </is>
      </c>
      <c r="J661" s="21" t="inlineStr">
        <is>
          <t>M</t>
        </is>
      </c>
      <c r="K661" s="21" t="inlineStr">
        <is>
          <t>N</t>
        </is>
      </c>
      <c r="L661" s="21" t="inlineStr">
        <is>
          <t>Yes</t>
        </is>
      </c>
      <c r="M661" s="21" t="inlineStr">
        <is>
          <t>THREMOLIA-S2-F069</t>
        </is>
      </c>
      <c r="N661" s="22" t="inlineStr">
        <is>
          <t>Mechanism class dos_service (victim-based DoS routing); evidence: Exhaust [Equivalence: restates THREMOLIA-S2-F069 — one-to-one rule applied.]</t>
        </is>
      </c>
      <c r="O661" s="5" t="inlineStr">
        <is>
          <t>dos_service</t>
        </is>
      </c>
      <c r="P661" s="16" t="inlineStr"/>
      <c r="Q661" s="16" t="inlineStr">
        <is>
          <t>DF19: Prompt + Approved Context</t>
        </is>
      </c>
      <c r="R661" s="16" t="inlineStr"/>
      <c r="S661" s="5" t="inlineStr">
        <is>
          <t>Confirmed</t>
        </is>
      </c>
    </row>
    <row r="662" ht="16" customHeight="1">
      <c r="A662" s="5" t="inlineStr">
        <is>
          <t>THREMOLIA-S2-F094</t>
        </is>
      </c>
      <c r="B662" s="5" t="inlineStr">
        <is>
          <t>THREMOLIA</t>
        </is>
      </c>
      <c r="C662" s="5" t="inlineStr">
        <is>
          <t>S2</t>
        </is>
      </c>
      <c r="D662" s="21" t="str">
        <f>IFERROR(VLOOKUP($G662,'02_REFERENCE'!$A$2:$S$99,4,FALSE),"N/A")</f>
        <v>Spoofing</v>
      </c>
      <c r="E662" s="21" t="str">
        <f>IFERROR(VLOOKUP($G662,'02_REFERENCE'!$A$2:$S$99,15,FALSE),"N/A")</f>
        <v>High</v>
      </c>
      <c r="F662" s="21" t="str">
        <f>IFERROR(VLOOKUP($G662,'02_REFERENCE'!$A$2:$S$99,17,FALSE),"N/A")</f>
        <v>Yes</v>
      </c>
      <c r="G662" s="21" t="inlineStr">
        <is>
          <t>S2-RT-030</t>
        </is>
      </c>
      <c r="H662" s="21" t="inlineStr">
        <is>
          <t>Primary TP</t>
        </is>
      </c>
      <c r="I662" s="21" t="inlineStr">
        <is>
          <t>TP</t>
        </is>
      </c>
      <c r="J662" s="21" t="inlineStr">
        <is>
          <t>H</t>
        </is>
      </c>
      <c r="K662" s="21" t="inlineStr">
        <is>
          <t>Y</t>
        </is>
      </c>
      <c r="L662" s="21" t="inlineStr">
        <is>
          <t>No</t>
        </is>
      </c>
      <c r="M662" s="21" t="inlineStr"/>
      <c r="N662" s="22" t="inlineStr">
        <is>
          <t>Mechanism class model_substitution; evidence: tampering or provider; provider compromis; tampering or provider</t>
        </is>
      </c>
      <c r="O662" s="5" t="inlineStr">
        <is>
          <t>model_substitution</t>
        </is>
      </c>
      <c r="P662" s="16" t="inlineStr"/>
      <c r="Q662" s="16" t="inlineStr">
        <is>
          <t>DF20: Generated LLM Response</t>
        </is>
      </c>
      <c r="R662" s="16" t="inlineStr"/>
      <c r="S662" s="5" t="inlineStr">
        <is>
          <t>Confirmed</t>
        </is>
      </c>
    </row>
    <row r="663" ht="16" customHeight="1">
      <c r="A663" s="5" t="inlineStr">
        <is>
          <t>THREMOLIA-S2-F095</t>
        </is>
      </c>
      <c r="B663" s="5" t="inlineStr">
        <is>
          <t>THREMOLIA</t>
        </is>
      </c>
      <c r="C663" s="5" t="inlineStr">
        <is>
          <t>S2</t>
        </is>
      </c>
      <c r="D663" s="21" t="str">
        <f>IFERROR(VLOOKUP($G663,'02_REFERENCE'!$A$2:$S$99,4,FALSE),"N/A")</f>
        <v>Information Disclosure</v>
      </c>
      <c r="E663" s="21" t="str">
        <f>IFERROR(VLOOKUP($G663,'02_REFERENCE'!$A$2:$S$99,15,FALSE),"N/A")</f>
        <v>High</v>
      </c>
      <c r="F663" s="21" t="str">
        <f>IFERROR(VLOOKUP($G663,'02_REFERENCE'!$A$2:$S$99,17,FALSE),"N/A")</f>
        <v>No</v>
      </c>
      <c r="G663" s="21" t="inlineStr">
        <is>
          <t>S2-RT-017</t>
        </is>
      </c>
      <c r="H663" s="21" t="inlineStr">
        <is>
          <t>Duplicate</t>
        </is>
      </c>
      <c r="I663" s="21" t="inlineStr">
        <is>
          <t>TP</t>
        </is>
      </c>
      <c r="J663" s="21" t="inlineStr">
        <is>
          <t>H</t>
        </is>
      </c>
      <c r="K663" s="21" t="inlineStr">
        <is>
          <t>N</t>
        </is>
      </c>
      <c r="L663" s="21" t="inlineStr">
        <is>
          <t>Yes</t>
        </is>
      </c>
      <c r="M663" s="21" t="inlineStr">
        <is>
          <t>THREMOLIA-S2-F038</t>
        </is>
      </c>
      <c r="N663" s="22" t="inlineStr">
        <is>
          <t>Mechanism class transit_data_general; evidence: in transit.  DF20: Generated LLM Response; response leaks model training data or regurgitated context i [Equivalence: restates THREMOLIA-S2-F038 — one-to-one rule applied.]</t>
        </is>
      </c>
      <c r="O663" s="5" t="inlineStr">
        <is>
          <t>transit_data_general</t>
        </is>
      </c>
      <c r="P663" s="16" t="inlineStr"/>
      <c r="Q663" s="16" t="inlineStr">
        <is>
          <t>DF20: Generated LLM Response</t>
        </is>
      </c>
      <c r="R663" s="16" t="inlineStr"/>
      <c r="S663" s="5" t="inlineStr">
        <is>
          <t>Confirmed</t>
        </is>
      </c>
    </row>
    <row r="664" ht="16" customHeight="1">
      <c r="A664" s="5" t="inlineStr">
        <is>
          <t>THREMOLIA-S2-F096</t>
        </is>
      </c>
      <c r="B664" s="5" t="inlineStr">
        <is>
          <t>THREMOLIA</t>
        </is>
      </c>
      <c r="C664" s="5" t="inlineStr">
        <is>
          <t>S2</t>
        </is>
      </c>
      <c r="D664" s="21" t="str">
        <f>IFERROR(VLOOKUP($G664,'02_REFERENCE'!$A$2:$S$99,4,FALSE),"N/A")</f>
        <v>Denial of Service</v>
      </c>
      <c r="E664" s="21" t="str">
        <f>IFERROR(VLOOKUP($G664,'02_REFERENCE'!$A$2:$S$99,15,FALSE),"N/A")</f>
        <v>Medium</v>
      </c>
      <c r="F664" s="21" t="str">
        <f>IFERROR(VLOOKUP($G664,'02_REFERENCE'!$A$2:$S$99,17,FALSE),"N/A")</f>
        <v>Yes</v>
      </c>
      <c r="G664" s="21" t="inlineStr">
        <is>
          <t>S2-RT-032</t>
        </is>
      </c>
      <c r="H664" s="21" t="inlineStr">
        <is>
          <t>Primary TP</t>
        </is>
      </c>
      <c r="I664" s="21" t="inlineStr">
        <is>
          <t>TP</t>
        </is>
      </c>
      <c r="J664" s="21" t="inlineStr">
        <is>
          <t>H</t>
        </is>
      </c>
      <c r="K664" s="21" t="inlineStr">
        <is>
          <t>Y</t>
        </is>
      </c>
      <c r="L664" s="21" t="inlineStr">
        <is>
          <t>No</t>
        </is>
      </c>
      <c r="M664" s="21" t="inlineStr"/>
      <c r="N664" s="22" t="inlineStr">
        <is>
          <t>Mechanism class llm_unavailable; evidence: hanging service threads.  DF20: Generated LLM; LLM response stream stalls</t>
        </is>
      </c>
      <c r="O664" s="5" t="inlineStr">
        <is>
          <t>llm_unavailable</t>
        </is>
      </c>
      <c r="P664" s="16" t="inlineStr"/>
      <c r="Q664" s="16" t="inlineStr">
        <is>
          <t>DF20: Generated LLM Response</t>
        </is>
      </c>
      <c r="R664" s="16" t="inlineStr"/>
      <c r="S664" s="5" t="inlineStr">
        <is>
          <t>Confirmed</t>
        </is>
      </c>
    </row>
    <row r="665" ht="16" customHeight="1">
      <c r="A665" s="5" t="inlineStr">
        <is>
          <t>THREMOLIA-S2-F097</t>
        </is>
      </c>
      <c r="B665" s="5" t="inlineStr">
        <is>
          <t>THREMOLIA</t>
        </is>
      </c>
      <c r="C665" s="5" t="inlineStr">
        <is>
          <t>S2</t>
        </is>
      </c>
      <c r="D665" s="21" t="str">
        <f>IFERROR(VLOOKUP($G665,'02_REFERENCE'!$A$2:$S$99,4,FALSE),"N/A")</f>
        <v>N/A</v>
      </c>
      <c r="E665" s="21" t="str">
        <f>IFERROR(VLOOKUP($G665,'02_REFERENCE'!$A$2:$S$99,15,FALSE),"N/A")</f>
        <v>N/A</v>
      </c>
      <c r="F665" s="21" t="str">
        <f>IFERROR(VLOOKUP($G665,'02_REFERENCE'!$A$2:$S$99,17,FALSE),"N/A")</f>
        <v>N/A</v>
      </c>
      <c r="G665" s="21" t="inlineStr"/>
      <c r="H665" s="21" t="inlineStr">
        <is>
          <t>False Positive</t>
        </is>
      </c>
      <c r="I665" s="21" t="inlineStr">
        <is>
          <t>FP</t>
        </is>
      </c>
      <c r="J665" s="21" t="inlineStr">
        <is>
          <t>M</t>
        </is>
      </c>
      <c r="K665" s="21" t="inlineStr">
        <is>
          <t>N</t>
        </is>
      </c>
      <c r="L665" s="21" t="inlineStr">
        <is>
          <t>No</t>
        </is>
      </c>
      <c r="M665" s="21" t="inlineStr"/>
      <c r="N665" s="22" t="inlineStr">
        <is>
          <t>No reference threat corresponds to this finding's mechanism (scoring found no class with sufficient evidence).</t>
        </is>
      </c>
      <c r="O665" s="5" t="inlineStr"/>
      <c r="P665" s="16" t="inlineStr"/>
      <c r="Q665" s="16" t="inlineStr">
        <is>
          <t>DF21: Processed AI Response</t>
        </is>
      </c>
      <c r="R665" s="16" t="inlineStr"/>
      <c r="S665" s="5" t="inlineStr">
        <is>
          <t>Confirmed</t>
        </is>
      </c>
    </row>
    <row r="666" ht="16" customHeight="1">
      <c r="A666" s="5" t="inlineStr">
        <is>
          <t>THREMOLIA-S2-F098</t>
        </is>
      </c>
      <c r="B666" s="5" t="inlineStr">
        <is>
          <t>THREMOLIA</t>
        </is>
      </c>
      <c r="C666" s="5" t="inlineStr">
        <is>
          <t>S2</t>
        </is>
      </c>
      <c r="D666" s="21" t="str">
        <f>IFERROR(VLOOKUP($G666,'02_REFERENCE'!$A$2:$S$99,4,FALSE),"N/A")</f>
        <v>Information Disclosure</v>
      </c>
      <c r="E666" s="21" t="str">
        <f>IFERROR(VLOOKUP($G666,'02_REFERENCE'!$A$2:$S$99,15,FALSE),"N/A")</f>
        <v>High</v>
      </c>
      <c r="F666" s="21" t="str">
        <f>IFERROR(VLOOKUP($G666,'02_REFERENCE'!$A$2:$S$99,17,FALSE),"N/A")</f>
        <v>No</v>
      </c>
      <c r="G666" s="21" t="inlineStr">
        <is>
          <t>S2-RT-017</t>
        </is>
      </c>
      <c r="H666" s="21" t="inlineStr">
        <is>
          <t>Duplicate</t>
        </is>
      </c>
      <c r="I666" s="21" t="inlineStr">
        <is>
          <t>TP</t>
        </is>
      </c>
      <c r="J666" s="21" t="inlineStr">
        <is>
          <t>M</t>
        </is>
      </c>
      <c r="K666" s="21" t="inlineStr">
        <is>
          <t>N</t>
        </is>
      </c>
      <c r="L666" s="21" t="inlineStr">
        <is>
          <t>Yes</t>
        </is>
      </c>
      <c r="M666" s="21" t="inlineStr">
        <is>
          <t>THREMOLIA-S2-F038</t>
        </is>
      </c>
      <c r="N666" s="22" t="inlineStr">
        <is>
          <t>Mechanism class transit_data_general; evidence: Sniffing internal processed response [Equivalence: restates THREMOLIA-S2-F038 — one-to-one rule applied.]</t>
        </is>
      </c>
      <c r="O666" s="5" t="inlineStr">
        <is>
          <t>transit_data_general</t>
        </is>
      </c>
      <c r="P666" s="16" t="inlineStr"/>
      <c r="Q666" s="16" t="inlineStr">
        <is>
          <t>DF21: Processed AI Response</t>
        </is>
      </c>
      <c r="R666" s="16" t="inlineStr"/>
      <c r="S666" s="5" t="inlineStr">
        <is>
          <t>Confirmed</t>
        </is>
      </c>
    </row>
    <row r="667" ht="16" customHeight="1">
      <c r="A667" s="5" t="inlineStr">
        <is>
          <t>THREMOLIA-S2-F099</t>
        </is>
      </c>
      <c r="B667" s="5" t="inlineStr">
        <is>
          <t>THREMOLIA</t>
        </is>
      </c>
      <c r="C667" s="5" t="inlineStr">
        <is>
          <t>S2</t>
        </is>
      </c>
      <c r="D667" s="21" t="str">
        <f>IFERROR(VLOOKUP($G667,'02_REFERENCE'!$A$2:$S$99,4,FALSE),"N/A")</f>
        <v>N/A</v>
      </c>
      <c r="E667" s="21" t="str">
        <f>IFERROR(VLOOKUP($G667,'02_REFERENCE'!$A$2:$S$99,15,FALSE),"N/A")</f>
        <v>N/A</v>
      </c>
      <c r="F667" s="21" t="str">
        <f>IFERROR(VLOOKUP($G667,'02_REFERENCE'!$A$2:$S$99,17,FALSE),"N/A")</f>
        <v>N/A</v>
      </c>
      <c r="G667" s="21" t="inlineStr"/>
      <c r="H667" s="21" t="inlineStr">
        <is>
          <t>False Positive</t>
        </is>
      </c>
      <c r="I667" s="21" t="inlineStr">
        <is>
          <t>FP</t>
        </is>
      </c>
      <c r="J667" s="21" t="inlineStr">
        <is>
          <t>M</t>
        </is>
      </c>
      <c r="K667" s="21" t="inlineStr">
        <is>
          <t>N</t>
        </is>
      </c>
      <c r="L667" s="21" t="inlineStr">
        <is>
          <t>No</t>
        </is>
      </c>
      <c r="M667" s="21" t="inlineStr"/>
      <c r="N667" s="22" t="inlineStr">
        <is>
          <t>No reference threat corresponds to this finding's mechanism (scoring found no class with sufficient evidence).</t>
        </is>
      </c>
      <c r="O667" s="5" t="inlineStr"/>
      <c r="P667" s="16" t="inlineStr"/>
      <c r="Q667" s="16" t="inlineStr">
        <is>
          <t>DF21: Processed AI Response</t>
        </is>
      </c>
      <c r="R667" s="16" t="inlineStr"/>
      <c r="S667" s="5" t="inlineStr">
        <is>
          <t>Confirmed</t>
        </is>
      </c>
    </row>
    <row r="668" ht="16" customHeight="1">
      <c r="A668" s="5" t="inlineStr">
        <is>
          <t>THREMOLIA-S2-F100</t>
        </is>
      </c>
      <c r="B668" s="5" t="inlineStr">
        <is>
          <t>THREMOLIA</t>
        </is>
      </c>
      <c r="C668" s="5" t="inlineStr">
        <is>
          <t>S2</t>
        </is>
      </c>
      <c r="D668" s="21" t="str">
        <f>IFERROR(VLOOKUP($G668,'02_REFERENCE'!$A$2:$S$99,4,FALSE),"N/A")</f>
        <v>N/A</v>
      </c>
      <c r="E668" s="21" t="str">
        <f>IFERROR(VLOOKUP($G668,'02_REFERENCE'!$A$2:$S$99,15,FALSE),"N/A")</f>
        <v>N/A</v>
      </c>
      <c r="F668" s="21" t="str">
        <f>IFERROR(VLOOKUP($G668,'02_REFERENCE'!$A$2:$S$99,17,FALSE),"N/A")</f>
        <v>N/A</v>
      </c>
      <c r="G668" s="21" t="inlineStr"/>
      <c r="H668" s="21" t="inlineStr">
        <is>
          <t>False Positive</t>
        </is>
      </c>
      <c r="I668" s="21" t="inlineStr">
        <is>
          <t>FP</t>
        </is>
      </c>
      <c r="J668" s="21" t="inlineStr">
        <is>
          <t>M</t>
        </is>
      </c>
      <c r="K668" s="21" t="inlineStr">
        <is>
          <t>N</t>
        </is>
      </c>
      <c r="L668" s="21" t="inlineStr">
        <is>
          <t>No</t>
        </is>
      </c>
      <c r="M668" s="21" t="inlineStr"/>
      <c r="N668" s="22" t="inlineStr">
        <is>
          <t>No reference threat corresponds to this finding's mechanism (scoring found no class with sufficient evidence).</t>
        </is>
      </c>
      <c r="O668" s="5" t="inlineStr"/>
      <c r="P668" s="16" t="inlineStr"/>
      <c r="Q668" s="16" t="inlineStr">
        <is>
          <t>DF22: Generated Answer</t>
        </is>
      </c>
      <c r="R668" s="16" t="inlineStr"/>
      <c r="S668" s="5" t="inlineStr">
        <is>
          <t>Confirmed</t>
        </is>
      </c>
    </row>
    <row r="669" ht="16" customHeight="1">
      <c r="A669" s="5" t="inlineStr">
        <is>
          <t>THREMOLIA-S2-F101</t>
        </is>
      </c>
      <c r="B669" s="5" t="inlineStr">
        <is>
          <t>THREMOLIA</t>
        </is>
      </c>
      <c r="C669" s="5" t="inlineStr">
        <is>
          <t>S2</t>
        </is>
      </c>
      <c r="D669" s="21" t="str">
        <f>IFERROR(VLOOKUP($G669,'02_REFERENCE'!$A$2:$S$99,4,FALSE),"N/A")</f>
        <v>Information Disclosure</v>
      </c>
      <c r="E669" s="21" t="str">
        <f>IFERROR(VLOOKUP($G669,'02_REFERENCE'!$A$2:$S$99,15,FALSE),"N/A")</f>
        <v>High</v>
      </c>
      <c r="F669" s="21" t="str">
        <f>IFERROR(VLOOKUP($G669,'02_REFERENCE'!$A$2:$S$99,17,FALSE),"N/A")</f>
        <v>No</v>
      </c>
      <c r="G669" s="21" t="inlineStr">
        <is>
          <t>S2-RT-017</t>
        </is>
      </c>
      <c r="H669" s="21" t="inlineStr">
        <is>
          <t>Duplicate</t>
        </is>
      </c>
      <c r="I669" s="21" t="inlineStr">
        <is>
          <t>TP</t>
        </is>
      </c>
      <c r="J669" s="21" t="inlineStr">
        <is>
          <t>M</t>
        </is>
      </c>
      <c r="K669" s="21" t="inlineStr">
        <is>
          <t>N</t>
        </is>
      </c>
      <c r="L669" s="21" t="inlineStr">
        <is>
          <t>Yes</t>
        </is>
      </c>
      <c r="M669" s="21" t="inlineStr">
        <is>
          <t>THREMOLIA-S2-F038</t>
        </is>
      </c>
      <c r="N669" s="22" t="inlineStr">
        <is>
          <t>Mechanism class transit_data_general; evidence: Sniffing generated answer payload [Equivalence: restates THREMOLIA-S2-F038 — one-to-one rule applied.]</t>
        </is>
      </c>
      <c r="O669" s="5" t="inlineStr">
        <is>
          <t>transit_data_general</t>
        </is>
      </c>
      <c r="P669" s="16" t="inlineStr"/>
      <c r="Q669" s="16" t="inlineStr">
        <is>
          <t>DF22: Generated Answer</t>
        </is>
      </c>
      <c r="R669" s="16" t="inlineStr"/>
      <c r="S669" s="5" t="inlineStr">
        <is>
          <t>Confirmed</t>
        </is>
      </c>
    </row>
    <row r="670" ht="16" customHeight="1">
      <c r="A670" s="5" t="inlineStr">
        <is>
          <t>THREMOLIA-S2-F102</t>
        </is>
      </c>
      <c r="B670" s="5" t="inlineStr">
        <is>
          <t>THREMOLIA</t>
        </is>
      </c>
      <c r="C670" s="5" t="inlineStr">
        <is>
          <t>S2</t>
        </is>
      </c>
      <c r="D670" s="21" t="str">
        <f>IFERROR(VLOOKUP($G670,'02_REFERENCE'!$A$2:$S$99,4,FALSE),"N/A")</f>
        <v>N/A</v>
      </c>
      <c r="E670" s="21" t="str">
        <f>IFERROR(VLOOKUP($G670,'02_REFERENCE'!$A$2:$S$99,15,FALSE),"N/A")</f>
        <v>N/A</v>
      </c>
      <c r="F670" s="21" t="str">
        <f>IFERROR(VLOOKUP($G670,'02_REFERENCE'!$A$2:$S$99,17,FALSE),"N/A")</f>
        <v>N/A</v>
      </c>
      <c r="G670" s="21" t="inlineStr"/>
      <c r="H670" s="21" t="inlineStr">
        <is>
          <t>False Positive</t>
        </is>
      </c>
      <c r="I670" s="21" t="inlineStr">
        <is>
          <t>FP</t>
        </is>
      </c>
      <c r="J670" s="21" t="inlineStr">
        <is>
          <t>M</t>
        </is>
      </c>
      <c r="K670" s="21" t="inlineStr">
        <is>
          <t>N</t>
        </is>
      </c>
      <c r="L670" s="21" t="inlineStr">
        <is>
          <t>No</t>
        </is>
      </c>
      <c r="M670" s="21" t="inlineStr"/>
      <c r="N670" s="22" t="inlineStr">
        <is>
          <t>No reference threat corresponds to this finding's mechanism (scoring found no class with sufficient evidence).</t>
        </is>
      </c>
      <c r="O670" s="5" t="inlineStr"/>
      <c r="P670" s="16" t="inlineStr"/>
      <c r="Q670" s="16" t="inlineStr">
        <is>
          <t>DF22: Generated Answer</t>
        </is>
      </c>
      <c r="R670" s="16" t="inlineStr"/>
      <c r="S670" s="5" t="inlineStr">
        <is>
          <t>Confirmed</t>
        </is>
      </c>
    </row>
    <row r="671" ht="16" customHeight="1">
      <c r="A671" s="5" t="inlineStr">
        <is>
          <t>THREMOLIA-S2-F103</t>
        </is>
      </c>
      <c r="B671" s="5" t="inlineStr">
        <is>
          <t>THREMOLIA</t>
        </is>
      </c>
      <c r="C671" s="5" t="inlineStr">
        <is>
          <t>S2</t>
        </is>
      </c>
      <c r="D671" s="21" t="str">
        <f>IFERROR(VLOOKUP($G671,'02_REFERENCE'!$A$2:$S$99,4,FALSE),"N/A")</f>
        <v>Tampering</v>
      </c>
      <c r="E671" s="21" t="str">
        <f>IFERROR(VLOOKUP($G671,'02_REFERENCE'!$A$2:$S$99,15,FALSE),"N/A")</f>
        <v>High</v>
      </c>
      <c r="F671" s="21" t="str">
        <f>IFERROR(VLOOKUP($G671,'02_REFERENCE'!$A$2:$S$99,17,FALSE),"N/A")</f>
        <v>No</v>
      </c>
      <c r="G671" s="21" t="inlineStr">
        <is>
          <t>S2-RT-011</t>
        </is>
      </c>
      <c r="H671" s="21" t="inlineStr">
        <is>
          <t>Primary TP</t>
        </is>
      </c>
      <c r="I671" s="21" t="inlineStr">
        <is>
          <t>TP</t>
        </is>
      </c>
      <c r="J671" s="21" t="inlineStr">
        <is>
          <t>M</t>
        </is>
      </c>
      <c r="K671" s="21" t="inlineStr">
        <is>
          <t>Y</t>
        </is>
      </c>
      <c r="L671" s="21" t="inlineStr">
        <is>
          <t>No</t>
        </is>
      </c>
      <c r="M671" s="21" t="inlineStr"/>
      <c r="N671" s="22" t="inlineStr">
        <is>
          <t>Mechanism class stored_active_content; evidence: rendered in user browser</t>
        </is>
      </c>
      <c r="O671" s="5" t="inlineStr">
        <is>
          <t>stored_active_content</t>
        </is>
      </c>
      <c r="P671" s="16" t="inlineStr"/>
      <c r="Q671" s="16" t="inlineStr">
        <is>
          <t>DF23: Answer Display</t>
        </is>
      </c>
      <c r="R671" s="16" t="inlineStr"/>
      <c r="S671" s="5" t="inlineStr">
        <is>
          <t>Confirmed</t>
        </is>
      </c>
    </row>
    <row r="672" ht="16" customHeight="1">
      <c r="A672" s="5" t="inlineStr">
        <is>
          <t>THREMOLIA-S2-F104</t>
        </is>
      </c>
      <c r="B672" s="5" t="inlineStr">
        <is>
          <t>THREMOLIA</t>
        </is>
      </c>
      <c r="C672" s="5" t="inlineStr">
        <is>
          <t>S2</t>
        </is>
      </c>
      <c r="D672" s="21" t="str">
        <f>IFERROR(VLOOKUP($G672,'02_REFERENCE'!$A$2:$S$99,4,FALSE),"N/A")</f>
        <v>Information Disclosure</v>
      </c>
      <c r="E672" s="21" t="str">
        <f>IFERROR(VLOOKUP($G672,'02_REFERENCE'!$A$2:$S$99,15,FALSE),"N/A")</f>
        <v>High</v>
      </c>
      <c r="F672" s="21" t="str">
        <f>IFERROR(VLOOKUP($G672,'02_REFERENCE'!$A$2:$S$99,17,FALSE),"N/A")</f>
        <v>No</v>
      </c>
      <c r="G672" s="21" t="inlineStr">
        <is>
          <t>S2-RT-017</t>
        </is>
      </c>
      <c r="H672" s="21" t="inlineStr">
        <is>
          <t>Duplicate</t>
        </is>
      </c>
      <c r="I672" s="21" t="inlineStr">
        <is>
          <t>TP</t>
        </is>
      </c>
      <c r="J672" s="21" t="inlineStr">
        <is>
          <t>M</t>
        </is>
      </c>
      <c r="K672" s="21" t="inlineStr">
        <is>
          <t>N</t>
        </is>
      </c>
      <c r="L672" s="21" t="inlineStr">
        <is>
          <t>Yes</t>
        </is>
      </c>
      <c r="M672" s="21" t="inlineStr">
        <is>
          <t>THREMOLIA-S2-F038</t>
        </is>
      </c>
      <c r="N672" s="22" t="inlineStr">
        <is>
          <t>Mechanism class transit_data_general; evidence: Eavesdropping on displayed AI answer over unencrypted networ [Equivalence: restates THREMOLIA-S2-F038 — one-to-one rule applied.]</t>
        </is>
      </c>
      <c r="O672" s="5" t="inlineStr">
        <is>
          <t>transit_data_general</t>
        </is>
      </c>
      <c r="P672" s="16" t="inlineStr"/>
      <c r="Q672" s="16" t="inlineStr">
        <is>
          <t>DF23: Answer Display</t>
        </is>
      </c>
      <c r="R672" s="16" t="inlineStr"/>
      <c r="S672" s="5" t="inlineStr">
        <is>
          <t>Confirmed</t>
        </is>
      </c>
    </row>
    <row r="673" ht="16" customHeight="1">
      <c r="A673" s="5" t="inlineStr">
        <is>
          <t>THREMOLIA-S2-F105</t>
        </is>
      </c>
      <c r="B673" s="5" t="inlineStr">
        <is>
          <t>THREMOLIA</t>
        </is>
      </c>
      <c r="C673" s="5" t="inlineStr">
        <is>
          <t>S2</t>
        </is>
      </c>
      <c r="D673" s="21" t="str">
        <f>IFERROR(VLOOKUP($G673,'02_REFERENCE'!$A$2:$S$99,4,FALSE),"N/A")</f>
        <v>N/A</v>
      </c>
      <c r="E673" s="21" t="str">
        <f>IFERROR(VLOOKUP($G673,'02_REFERENCE'!$A$2:$S$99,15,FALSE),"N/A")</f>
        <v>N/A</v>
      </c>
      <c r="F673" s="21" t="str">
        <f>IFERROR(VLOOKUP($G673,'02_REFERENCE'!$A$2:$S$99,17,FALSE),"N/A")</f>
        <v>N/A</v>
      </c>
      <c r="G673" s="21" t="inlineStr"/>
      <c r="H673" s="21" t="inlineStr">
        <is>
          <t>False Positive</t>
        </is>
      </c>
      <c r="I673" s="21" t="inlineStr">
        <is>
          <t>FP</t>
        </is>
      </c>
      <c r="J673" s="21" t="inlineStr">
        <is>
          <t>M</t>
        </is>
      </c>
      <c r="K673" s="21" t="inlineStr">
        <is>
          <t>N</t>
        </is>
      </c>
      <c r="L673" s="21" t="inlineStr">
        <is>
          <t>No</t>
        </is>
      </c>
      <c r="M673" s="21" t="inlineStr"/>
      <c r="N673" s="22" t="inlineStr">
        <is>
          <t>No reference threat corresponds to this finding's mechanism (scoring found no class with sufficient evidence).</t>
        </is>
      </c>
      <c r="O673" s="5" t="inlineStr"/>
      <c r="P673" s="16" t="inlineStr"/>
      <c r="Q673" s="16" t="inlineStr">
        <is>
          <t>DF23: Answer Display</t>
        </is>
      </c>
      <c r="R673" s="16" t="inlineStr"/>
      <c r="S673" s="5" t="inlineStr">
        <is>
          <t>Confirmed</t>
        </is>
      </c>
    </row>
    <row r="674" ht="16" customHeight="1">
      <c r="A674" s="5" t="inlineStr">
        <is>
          <t>OWASP-S3-F001</t>
        </is>
      </c>
      <c r="B674" s="5" t="inlineStr">
        <is>
          <t>OWASP</t>
        </is>
      </c>
      <c r="C674" s="5" t="inlineStr">
        <is>
          <t>S3</t>
        </is>
      </c>
      <c r="D674" s="21" t="str">
        <f>IFERROR(VLOOKUP($G674,'02_REFERENCE'!$A$2:$S$99,4,FALSE),"N/A")</f>
        <v>N/A</v>
      </c>
      <c r="E674" s="21" t="str">
        <f>IFERROR(VLOOKUP($G674,'02_REFERENCE'!$A$2:$S$99,15,FALSE),"N/A")</f>
        <v>N/A</v>
      </c>
      <c r="F674" s="21" t="str">
        <f>IFERROR(VLOOKUP($G674,'02_REFERENCE'!$A$2:$S$99,17,FALSE),"N/A")</f>
        <v>N/A</v>
      </c>
      <c r="G674" s="21" t="inlineStr"/>
      <c r="H674" s="21" t="inlineStr">
        <is>
          <t>False Positive</t>
        </is>
      </c>
      <c r="I674" s="21" t="inlineStr">
        <is>
          <t>FP</t>
        </is>
      </c>
      <c r="J674" s="21" t="inlineStr">
        <is>
          <t>M</t>
        </is>
      </c>
      <c r="K674" s="21" t="inlineStr">
        <is>
          <t>N</t>
        </is>
      </c>
      <c r="L674" s="21" t="inlineStr">
        <is>
          <t>No</t>
        </is>
      </c>
      <c r="M674" s="21" t="inlineStr"/>
      <c r="N674" s="22" t="inlineStr">
        <is>
          <t>Threat Dragon produced no threat for this element (template placeholder).</t>
        </is>
      </c>
      <c r="O674" s="5" t="inlineStr">
        <is>
          <t>no_suggestion</t>
        </is>
      </c>
      <c r="P674" s="16" t="inlineStr">
        <is>
          <t>No Suggestions available</t>
        </is>
      </c>
      <c r="Q674" s="16" t="inlineStr">
        <is>
          <t>Registered User (Browser)</t>
        </is>
      </c>
      <c r="R674" s="16" t="inlineStr"/>
      <c r="S674" s="5" t="inlineStr">
        <is>
          <t>Confirmed</t>
        </is>
      </c>
    </row>
    <row r="675" ht="16" customHeight="1">
      <c r="A675" s="5" t="inlineStr">
        <is>
          <t>OWASP-S3-F002</t>
        </is>
      </c>
      <c r="B675" s="5" t="inlineStr">
        <is>
          <t>OWASP</t>
        </is>
      </c>
      <c r="C675" s="5" t="inlineStr">
        <is>
          <t>S3</t>
        </is>
      </c>
      <c r="D675" s="21" t="str">
        <f>IFERROR(VLOOKUP($G675,'02_REFERENCE'!$A$2:$S$99,4,FALSE),"N/A")</f>
        <v>N/A</v>
      </c>
      <c r="E675" s="21" t="str">
        <f>IFERROR(VLOOKUP($G675,'02_REFERENCE'!$A$2:$S$99,15,FALSE),"N/A")</f>
        <v>N/A</v>
      </c>
      <c r="F675" s="21" t="str">
        <f>IFERROR(VLOOKUP($G675,'02_REFERENCE'!$A$2:$S$99,17,FALSE),"N/A")</f>
        <v>N/A</v>
      </c>
      <c r="G675" s="21" t="inlineStr"/>
      <c r="H675" s="21" t="inlineStr">
        <is>
          <t>False Positive</t>
        </is>
      </c>
      <c r="I675" s="21" t="inlineStr">
        <is>
          <t>FP</t>
        </is>
      </c>
      <c r="J675" s="21" t="inlineStr">
        <is>
          <t>M</t>
        </is>
      </c>
      <c r="K675" s="21" t="inlineStr">
        <is>
          <t>N</t>
        </is>
      </c>
      <c r="L675" s="21" t="inlineStr">
        <is>
          <t>No</t>
        </is>
      </c>
      <c r="M675" s="21" t="inlineStr"/>
      <c r="N675" s="22" t="inlineStr">
        <is>
          <t>Generic least-privilege hardening template (horizontal/lateral EoP after compromise); no reference threat specifies this mechanism for this element.</t>
        </is>
      </c>
      <c r="O675" s="5" t="inlineStr">
        <is>
          <t>excessive_db_scope</t>
        </is>
      </c>
      <c r="P675" s="16" t="inlineStr">
        <is>
          <t>Least privilege</t>
        </is>
      </c>
      <c r="Q675" s="16" t="inlineStr">
        <is>
          <t>Web Frontend Interface</t>
        </is>
      </c>
      <c r="R675" s="16" t="inlineStr"/>
      <c r="S675" s="5" t="inlineStr">
        <is>
          <t>Confirmed</t>
        </is>
      </c>
    </row>
    <row r="676" ht="16" customHeight="1">
      <c r="A676" s="5" t="inlineStr">
        <is>
          <t>OWASP-S3-F003</t>
        </is>
      </c>
      <c r="B676" s="5" t="inlineStr">
        <is>
          <t>OWASP</t>
        </is>
      </c>
      <c r="C676" s="5" t="inlineStr">
        <is>
          <t>S3</t>
        </is>
      </c>
      <c r="D676" s="21" t="str">
        <f>IFERROR(VLOOKUP($G676,'02_REFERENCE'!$A$2:$S$99,4,FALSE),"N/A")</f>
        <v>N/A</v>
      </c>
      <c r="E676" s="21" t="str">
        <f>IFERROR(VLOOKUP($G676,'02_REFERENCE'!$A$2:$S$99,15,FALSE),"N/A")</f>
        <v>N/A</v>
      </c>
      <c r="F676" s="21" t="str">
        <f>IFERROR(VLOOKUP($G676,'02_REFERENCE'!$A$2:$S$99,17,FALSE),"N/A")</f>
        <v>N/A</v>
      </c>
      <c r="G676" s="21" t="inlineStr"/>
      <c r="H676" s="21" t="inlineStr">
        <is>
          <t>False Positive</t>
        </is>
      </c>
      <c r="I676" s="21" t="inlineStr">
        <is>
          <t>FP</t>
        </is>
      </c>
      <c r="J676" s="21" t="inlineStr">
        <is>
          <t>M</t>
        </is>
      </c>
      <c r="K676" s="21" t="inlineStr">
        <is>
          <t>N</t>
        </is>
      </c>
      <c r="L676" s="21" t="inlineStr">
        <is>
          <t>No</t>
        </is>
      </c>
      <c r="M676" s="21" t="inlineStr"/>
      <c r="N676" s="22" t="inlineStr">
        <is>
          <t>Expedition (OWASP Automated Threat #6): generic automation/abuse-agility template; no single reference mechanism matches (brute force / stuffing are distinct specialist mechanisms).</t>
        </is>
      </c>
      <c r="O676" s="5" t="inlineStr">
        <is>
          <t>expedition</t>
        </is>
      </c>
      <c r="P676" s="16" t="inlineStr">
        <is>
          <t>Expedition</t>
        </is>
      </c>
      <c r="Q676" s="16" t="inlineStr">
        <is>
          <t>Web Frontend Interface</t>
        </is>
      </c>
      <c r="R676" s="16" t="inlineStr"/>
      <c r="S676" s="5" t="inlineStr">
        <is>
          <t>Confirmed</t>
        </is>
      </c>
    </row>
    <row r="677" ht="16" customHeight="1">
      <c r="A677" s="5" t="inlineStr">
        <is>
          <t>OWASP-S3-F004</t>
        </is>
      </c>
      <c r="B677" s="5" t="inlineStr">
        <is>
          <t>OWASP</t>
        </is>
      </c>
      <c r="C677" s="5" t="inlineStr">
        <is>
          <t>S3</t>
        </is>
      </c>
      <c r="D677" s="21" t="str">
        <f>IFERROR(VLOOKUP($G677,'02_REFERENCE'!$A$2:$S$99,4,FALSE),"N/A")</f>
        <v>N/A</v>
      </c>
      <c r="E677" s="21" t="str">
        <f>IFERROR(VLOOKUP($G677,'02_REFERENCE'!$A$2:$S$99,15,FALSE),"N/A")</f>
        <v>N/A</v>
      </c>
      <c r="F677" s="21" t="str">
        <f>IFERROR(VLOOKUP($G677,'02_REFERENCE'!$A$2:$S$99,17,FALSE),"N/A")</f>
        <v>N/A</v>
      </c>
      <c r="G677" s="21" t="inlineStr"/>
      <c r="H677" s="21" t="inlineStr">
        <is>
          <t>False Positive</t>
        </is>
      </c>
      <c r="I677" s="21" t="inlineStr">
        <is>
          <t>FP</t>
        </is>
      </c>
      <c r="J677" s="21" t="inlineStr">
        <is>
          <t>M</t>
        </is>
      </c>
      <c r="K677" s="21" t="inlineStr">
        <is>
          <t>N</t>
        </is>
      </c>
      <c r="L677" s="21" t="inlineStr">
        <is>
          <t>No</t>
        </is>
      </c>
      <c r="M677" s="21" t="inlineStr"/>
      <c r="N677" s="22" t="inlineStr">
        <is>
          <t>Vulnerability scanning (OWASP Automated Threat #14): reconnaissance; not a security-failure mechanism present in the baseline.</t>
        </is>
      </c>
      <c r="O677" s="5" t="inlineStr">
        <is>
          <t>recon</t>
        </is>
      </c>
      <c r="P677" s="16" t="inlineStr">
        <is>
          <t>Vulnerability scanning</t>
        </is>
      </c>
      <c r="Q677" s="16" t="inlineStr">
        <is>
          <t>Web Frontend Interface</t>
        </is>
      </c>
      <c r="R677" s="16" t="inlineStr"/>
      <c r="S677" s="5" t="inlineStr">
        <is>
          <t>Confirmed</t>
        </is>
      </c>
    </row>
    <row r="678" ht="16" customHeight="1">
      <c r="A678" s="5" t="inlineStr">
        <is>
          <t>OWASP-S3-F005</t>
        </is>
      </c>
      <c r="B678" s="5" t="inlineStr">
        <is>
          <t>OWASP</t>
        </is>
      </c>
      <c r="C678" s="5" t="inlineStr">
        <is>
          <t>S3</t>
        </is>
      </c>
      <c r="D678" s="21" t="str">
        <f>IFERROR(VLOOKUP($G678,'02_REFERENCE'!$A$2:$S$99,4,FALSE),"N/A")</f>
        <v>Denial of Service</v>
      </c>
      <c r="E678" s="21" t="str">
        <f>IFERROR(VLOOKUP($G678,'02_REFERENCE'!$A$2:$S$99,15,FALSE),"N/A")</f>
        <v>High</v>
      </c>
      <c r="F678" s="21" t="str">
        <f>IFERROR(VLOOKUP($G678,'02_REFERENCE'!$A$2:$S$99,17,FALSE),"N/A")</f>
        <v>No</v>
      </c>
      <c r="G678" s="21" t="inlineStr">
        <is>
          <t>S3-RT-030</t>
        </is>
      </c>
      <c r="H678" s="21" t="inlineStr">
        <is>
          <t>Primary TP</t>
        </is>
      </c>
      <c r="I678" s="21" t="inlineStr">
        <is>
          <t>TP</t>
        </is>
      </c>
      <c r="J678" s="21" t="inlineStr">
        <is>
          <t>M</t>
        </is>
      </c>
      <c r="K678" s="21" t="inlineStr">
        <is>
          <t>Y</t>
        </is>
      </c>
      <c r="L678" s="21" t="inlineStr">
        <is>
          <t>No</t>
        </is>
      </c>
      <c r="M678" s="21" t="inlineStr"/>
      <c r="N678" s="22" t="inlineStr">
        <is>
          <t>Resource-exhaustion template on the primary service path -&gt; reference S3-RT-030.</t>
        </is>
      </c>
      <c r="O678" s="5" t="inlineStr">
        <is>
          <t>dos_service</t>
        </is>
      </c>
      <c r="P678" s="16" t="inlineStr">
        <is>
          <t>Denial of Service</t>
        </is>
      </c>
      <c r="Q678" s="16" t="inlineStr">
        <is>
          <t>Web Frontend Interface</t>
        </is>
      </c>
      <c r="R678" s="16" t="inlineStr"/>
      <c r="S678" s="5" t="inlineStr">
        <is>
          <t>Confirmed</t>
        </is>
      </c>
    </row>
    <row r="679" ht="16" customHeight="1">
      <c r="A679" s="5" t="inlineStr">
        <is>
          <t>OWASP-S3-F006</t>
        </is>
      </c>
      <c r="B679" s="5" t="inlineStr">
        <is>
          <t>OWASP</t>
        </is>
      </c>
      <c r="C679" s="5" t="inlineStr">
        <is>
          <t>S3</t>
        </is>
      </c>
      <c r="D679" s="21" t="str">
        <f>IFERROR(VLOOKUP($G679,'02_REFERENCE'!$A$2:$S$99,4,FALSE),"N/A")</f>
        <v>N/A</v>
      </c>
      <c r="E679" s="21" t="str">
        <f>IFERROR(VLOOKUP($G679,'02_REFERENCE'!$A$2:$S$99,15,FALSE),"N/A")</f>
        <v>N/A</v>
      </c>
      <c r="F679" s="21" t="str">
        <f>IFERROR(VLOOKUP($G679,'02_REFERENCE'!$A$2:$S$99,17,FALSE),"N/A")</f>
        <v>N/A</v>
      </c>
      <c r="G679" s="21" t="inlineStr"/>
      <c r="H679" s="21" t="inlineStr">
        <is>
          <t>False Positive</t>
        </is>
      </c>
      <c r="I679" s="21" t="inlineStr">
        <is>
          <t>FP</t>
        </is>
      </c>
      <c r="J679" s="21" t="inlineStr">
        <is>
          <t>M</t>
        </is>
      </c>
      <c r="K679" s="21" t="inlineStr">
        <is>
          <t>N</t>
        </is>
      </c>
      <c r="L679" s="21" t="inlineStr">
        <is>
          <t>No</t>
        </is>
      </c>
      <c r="M679" s="21" t="inlineStr"/>
      <c r="N679" s="22" t="inlineStr">
        <is>
          <t>Footprinting/Fingerprinting (OWASP Automated Threat #18/#4): reconnaissance; no reference mechanism.</t>
        </is>
      </c>
      <c r="O679" s="5" t="inlineStr">
        <is>
          <t>recon</t>
        </is>
      </c>
      <c r="P679" s="16" t="inlineStr">
        <is>
          <t>Footprinting</t>
        </is>
      </c>
      <c r="Q679" s="16" t="inlineStr">
        <is>
          <t>Web Frontend Interface</t>
        </is>
      </c>
      <c r="R679" s="16" t="inlineStr"/>
      <c r="S679" s="5" t="inlineStr">
        <is>
          <t>Confirmed</t>
        </is>
      </c>
    </row>
    <row r="680" ht="16" customHeight="1">
      <c r="A680" s="5" t="inlineStr">
        <is>
          <t>OWASP-S3-F007</t>
        </is>
      </c>
      <c r="B680" s="5" t="inlineStr">
        <is>
          <t>OWASP</t>
        </is>
      </c>
      <c r="C680" s="5" t="inlineStr">
        <is>
          <t>S3</t>
        </is>
      </c>
      <c r="D680" s="21" t="str">
        <f>IFERROR(VLOOKUP($G680,'02_REFERENCE'!$A$2:$S$99,4,FALSE),"N/A")</f>
        <v>N/A</v>
      </c>
      <c r="E680" s="21" t="str">
        <f>IFERROR(VLOOKUP($G680,'02_REFERENCE'!$A$2:$S$99,15,FALSE),"N/A")</f>
        <v>N/A</v>
      </c>
      <c r="F680" s="21" t="str">
        <f>IFERROR(VLOOKUP($G680,'02_REFERENCE'!$A$2:$S$99,17,FALSE),"N/A")</f>
        <v>N/A</v>
      </c>
      <c r="G680" s="21" t="inlineStr"/>
      <c r="H680" s="21" t="inlineStr">
        <is>
          <t>False Positive</t>
        </is>
      </c>
      <c r="I680" s="21" t="inlineStr">
        <is>
          <t>FP</t>
        </is>
      </c>
      <c r="J680" s="21" t="inlineStr">
        <is>
          <t>M</t>
        </is>
      </c>
      <c r="K680" s="21" t="inlineStr">
        <is>
          <t>N</t>
        </is>
      </c>
      <c r="L680" s="21" t="inlineStr">
        <is>
          <t>No</t>
        </is>
      </c>
      <c r="M680" s="21" t="inlineStr"/>
      <c r="N680" s="22" t="inlineStr">
        <is>
          <t>Generic least-privilege hardening template (horizontal/lateral EoP after compromise); no reference threat specifies this mechanism for this element.</t>
        </is>
      </c>
      <c r="O680" s="5" t="inlineStr">
        <is>
          <t>excessive_db_scope</t>
        </is>
      </c>
      <c r="P680" s="16" t="inlineStr">
        <is>
          <t>Least privilege</t>
        </is>
      </c>
      <c r="Q680" s="16" t="inlineStr">
        <is>
          <t>Account Management Service</t>
        </is>
      </c>
      <c r="R680" s="16" t="inlineStr"/>
      <c r="S680" s="5" t="inlineStr">
        <is>
          <t>Confirmed</t>
        </is>
      </c>
    </row>
    <row r="681" ht="16" customHeight="1">
      <c r="A681" s="5" t="inlineStr">
        <is>
          <t>OWASP-S3-F008</t>
        </is>
      </c>
      <c r="B681" s="5" t="inlineStr">
        <is>
          <t>OWASP</t>
        </is>
      </c>
      <c r="C681" s="5" t="inlineStr">
        <is>
          <t>S3</t>
        </is>
      </c>
      <c r="D681" s="21" t="str">
        <f>IFERROR(VLOOKUP($G681,'02_REFERENCE'!$A$2:$S$99,4,FALSE),"N/A")</f>
        <v>N/A</v>
      </c>
      <c r="E681" s="21" t="str">
        <f>IFERROR(VLOOKUP($G681,'02_REFERENCE'!$A$2:$S$99,15,FALSE),"N/A")</f>
        <v>N/A</v>
      </c>
      <c r="F681" s="21" t="str">
        <f>IFERROR(VLOOKUP($G681,'02_REFERENCE'!$A$2:$S$99,17,FALSE),"N/A")</f>
        <v>N/A</v>
      </c>
      <c r="G681" s="21" t="inlineStr"/>
      <c r="H681" s="21" t="inlineStr">
        <is>
          <t>False Positive</t>
        </is>
      </c>
      <c r="I681" s="21" t="inlineStr">
        <is>
          <t>FP</t>
        </is>
      </c>
      <c r="J681" s="21" t="inlineStr">
        <is>
          <t>M</t>
        </is>
      </c>
      <c r="K681" s="21" t="inlineStr">
        <is>
          <t>N</t>
        </is>
      </c>
      <c r="L681" s="21" t="inlineStr">
        <is>
          <t>No</t>
        </is>
      </c>
      <c r="M681" s="21" t="inlineStr"/>
      <c r="N681" s="22" t="inlineStr">
        <is>
          <t>Expedition (OWASP Automated Threat #6): generic automation/abuse-agility template; no single reference mechanism matches (brute force / stuffing are distinct specialist mechanisms).</t>
        </is>
      </c>
      <c r="O681" s="5" t="inlineStr">
        <is>
          <t>expedition</t>
        </is>
      </c>
      <c r="P681" s="16" t="inlineStr">
        <is>
          <t>Expedition</t>
        </is>
      </c>
      <c r="Q681" s="16" t="inlineStr">
        <is>
          <t>Account Management Service</t>
        </is>
      </c>
      <c r="R681" s="16" t="inlineStr"/>
      <c r="S681" s="5" t="inlineStr">
        <is>
          <t>Confirmed</t>
        </is>
      </c>
    </row>
    <row r="682" ht="16" customHeight="1">
      <c r="A682" s="5" t="inlineStr">
        <is>
          <t>OWASP-S3-F009</t>
        </is>
      </c>
      <c r="B682" s="5" t="inlineStr">
        <is>
          <t>OWASP</t>
        </is>
      </c>
      <c r="C682" s="5" t="inlineStr">
        <is>
          <t>S3</t>
        </is>
      </c>
      <c r="D682" s="21" t="str">
        <f>IFERROR(VLOOKUP($G682,'02_REFERENCE'!$A$2:$S$99,4,FALSE),"N/A")</f>
        <v>N/A</v>
      </c>
      <c r="E682" s="21" t="str">
        <f>IFERROR(VLOOKUP($G682,'02_REFERENCE'!$A$2:$S$99,15,FALSE),"N/A")</f>
        <v>N/A</v>
      </c>
      <c r="F682" s="21" t="str">
        <f>IFERROR(VLOOKUP($G682,'02_REFERENCE'!$A$2:$S$99,17,FALSE),"N/A")</f>
        <v>N/A</v>
      </c>
      <c r="G682" s="21" t="inlineStr"/>
      <c r="H682" s="21" t="inlineStr">
        <is>
          <t>False Positive</t>
        </is>
      </c>
      <c r="I682" s="21" t="inlineStr">
        <is>
          <t>FP</t>
        </is>
      </c>
      <c r="J682" s="21" t="inlineStr">
        <is>
          <t>M</t>
        </is>
      </c>
      <c r="K682" s="21" t="inlineStr">
        <is>
          <t>N</t>
        </is>
      </c>
      <c r="L682" s="21" t="inlineStr">
        <is>
          <t>No</t>
        </is>
      </c>
      <c r="M682" s="21" t="inlineStr"/>
      <c r="N682" s="22" t="inlineStr">
        <is>
          <t>Vulnerability scanning (OWASP Automated Threat #14): reconnaissance; not a security-failure mechanism present in the baseline.</t>
        </is>
      </c>
      <c r="O682" s="5" t="inlineStr">
        <is>
          <t>recon</t>
        </is>
      </c>
      <c r="P682" s="16" t="inlineStr">
        <is>
          <t>Vulnerability scanning</t>
        </is>
      </c>
      <c r="Q682" s="16" t="inlineStr">
        <is>
          <t>Account Management Service</t>
        </is>
      </c>
      <c r="R682" s="16" t="inlineStr"/>
      <c r="S682" s="5" t="inlineStr">
        <is>
          <t>Confirmed</t>
        </is>
      </c>
    </row>
    <row r="683" ht="16" customHeight="1">
      <c r="A683" s="5" t="inlineStr">
        <is>
          <t>OWASP-S3-F010</t>
        </is>
      </c>
      <c r="B683" s="5" t="inlineStr">
        <is>
          <t>OWASP</t>
        </is>
      </c>
      <c r="C683" s="5" t="inlineStr">
        <is>
          <t>S3</t>
        </is>
      </c>
      <c r="D683" s="21" t="str">
        <f>IFERROR(VLOOKUP($G683,'02_REFERENCE'!$A$2:$S$99,4,FALSE),"N/A")</f>
        <v>Denial of Service</v>
      </c>
      <c r="E683" s="21" t="str">
        <f>IFERROR(VLOOKUP($G683,'02_REFERENCE'!$A$2:$S$99,15,FALSE),"N/A")</f>
        <v>High</v>
      </c>
      <c r="F683" s="21" t="str">
        <f>IFERROR(VLOOKUP($G683,'02_REFERENCE'!$A$2:$S$99,17,FALSE),"N/A")</f>
        <v>No</v>
      </c>
      <c r="G683" s="21" t="inlineStr">
        <is>
          <t>S3-RT-030</t>
        </is>
      </c>
      <c r="H683" s="21" t="inlineStr">
        <is>
          <t>Duplicate</t>
        </is>
      </c>
      <c r="I683" s="21" t="inlineStr">
        <is>
          <t>TP</t>
        </is>
      </c>
      <c r="J683" s="21" t="inlineStr">
        <is>
          <t>M</t>
        </is>
      </c>
      <c r="K683" s="21" t="inlineStr">
        <is>
          <t>N</t>
        </is>
      </c>
      <c r="L683" s="21" t="inlineStr">
        <is>
          <t>Yes</t>
        </is>
      </c>
      <c r="M683" s="21" t="inlineStr">
        <is>
          <t>OWASP-S3-F005</t>
        </is>
      </c>
      <c r="N683" s="22" t="inlineStr">
        <is>
          <t>Resource-exhaustion template on the primary service path -&gt; reference S3-RT-030. [Equivalence: restates OWASP-S3-F005 — one-to-one rule applied.]</t>
        </is>
      </c>
      <c r="O683" s="5" t="inlineStr">
        <is>
          <t>dos_service</t>
        </is>
      </c>
      <c r="P683" s="16" t="inlineStr">
        <is>
          <t>Denial of Service</t>
        </is>
      </c>
      <c r="Q683" s="16" t="inlineStr">
        <is>
          <t>Account Management Service</t>
        </is>
      </c>
      <c r="R683" s="16" t="inlineStr"/>
      <c r="S683" s="5" t="inlineStr">
        <is>
          <t>Confirmed</t>
        </is>
      </c>
    </row>
    <row r="684" ht="16" customHeight="1">
      <c r="A684" s="5" t="inlineStr">
        <is>
          <t>OWASP-S3-F011</t>
        </is>
      </c>
      <c r="B684" s="5" t="inlineStr">
        <is>
          <t>OWASP</t>
        </is>
      </c>
      <c r="C684" s="5" t="inlineStr">
        <is>
          <t>S3</t>
        </is>
      </c>
      <c r="D684" s="21" t="str">
        <f>IFERROR(VLOOKUP($G684,'02_REFERENCE'!$A$2:$S$99,4,FALSE),"N/A")</f>
        <v>N/A</v>
      </c>
      <c r="E684" s="21" t="str">
        <f>IFERROR(VLOOKUP($G684,'02_REFERENCE'!$A$2:$S$99,15,FALSE),"N/A")</f>
        <v>N/A</v>
      </c>
      <c r="F684" s="21" t="str">
        <f>IFERROR(VLOOKUP($G684,'02_REFERENCE'!$A$2:$S$99,17,FALSE),"N/A")</f>
        <v>N/A</v>
      </c>
      <c r="G684" s="21" t="inlineStr"/>
      <c r="H684" s="21" t="inlineStr">
        <is>
          <t>False Positive</t>
        </is>
      </c>
      <c r="I684" s="21" t="inlineStr">
        <is>
          <t>FP</t>
        </is>
      </c>
      <c r="J684" s="21" t="inlineStr">
        <is>
          <t>M</t>
        </is>
      </c>
      <c r="K684" s="21" t="inlineStr">
        <is>
          <t>N</t>
        </is>
      </c>
      <c r="L684" s="21" t="inlineStr">
        <is>
          <t>No</t>
        </is>
      </c>
      <c r="M684" s="21" t="inlineStr"/>
      <c r="N684" s="22" t="inlineStr">
        <is>
          <t>Footprinting/Fingerprinting (OWASP Automated Threat #18/#4): reconnaissance; no reference mechanism.</t>
        </is>
      </c>
      <c r="O684" s="5" t="inlineStr">
        <is>
          <t>recon</t>
        </is>
      </c>
      <c r="P684" s="16" t="inlineStr">
        <is>
          <t>Footprinting</t>
        </is>
      </c>
      <c r="Q684" s="16" t="inlineStr">
        <is>
          <t>Account Management Service</t>
        </is>
      </c>
      <c r="R684" s="16" t="inlineStr"/>
      <c r="S684" s="5" t="inlineStr">
        <is>
          <t>Confirmed</t>
        </is>
      </c>
    </row>
    <row r="685" ht="16" customHeight="1">
      <c r="A685" s="5" t="inlineStr">
        <is>
          <t>OWASP-S3-F012</t>
        </is>
      </c>
      <c r="B685" s="5" t="inlineStr">
        <is>
          <t>OWASP</t>
        </is>
      </c>
      <c r="C685" s="5" t="inlineStr">
        <is>
          <t>S3</t>
        </is>
      </c>
      <c r="D685" s="21" t="str">
        <f>IFERROR(VLOOKUP($G685,'02_REFERENCE'!$A$2:$S$99,4,FALSE),"N/A")</f>
        <v>N/A</v>
      </c>
      <c r="E685" s="21" t="str">
        <f>IFERROR(VLOOKUP($G685,'02_REFERENCE'!$A$2:$S$99,15,FALSE),"N/A")</f>
        <v>N/A</v>
      </c>
      <c r="F685" s="21" t="str">
        <f>IFERROR(VLOOKUP($G685,'02_REFERENCE'!$A$2:$S$99,17,FALSE),"N/A")</f>
        <v>N/A</v>
      </c>
      <c r="G685" s="21" t="inlineStr"/>
      <c r="H685" s="21" t="inlineStr">
        <is>
          <t>False Positive</t>
        </is>
      </c>
      <c r="I685" s="21" t="inlineStr">
        <is>
          <t>FP</t>
        </is>
      </c>
      <c r="J685" s="21" t="inlineStr">
        <is>
          <t>M</t>
        </is>
      </c>
      <c r="K685" s="21" t="inlineStr">
        <is>
          <t>N</t>
        </is>
      </c>
      <c r="L685" s="21" t="inlineStr">
        <is>
          <t>No</t>
        </is>
      </c>
      <c r="M685" s="21" t="inlineStr"/>
      <c r="N685" s="22" t="inlineStr">
        <is>
          <t>Generic least-privilege hardening template (horizontal/lateral EoP after compromise); no reference threat specifies this mechanism for this element.</t>
        </is>
      </c>
      <c r="O685" s="5" t="inlineStr">
        <is>
          <t>excessive_db_scope</t>
        </is>
      </c>
      <c r="P685" s="16" t="inlineStr">
        <is>
          <t>Least privilege</t>
        </is>
      </c>
      <c r="Q685" s="16" t="inlineStr">
        <is>
          <t>User Profile API Handler</t>
        </is>
      </c>
      <c r="R685" s="16" t="inlineStr"/>
      <c r="S685" s="5" t="inlineStr">
        <is>
          <t>Confirmed</t>
        </is>
      </c>
    </row>
    <row r="686" ht="16" customHeight="1">
      <c r="A686" s="5" t="inlineStr">
        <is>
          <t>OWASP-S3-F013</t>
        </is>
      </c>
      <c r="B686" s="5" t="inlineStr">
        <is>
          <t>OWASP</t>
        </is>
      </c>
      <c r="C686" s="5" t="inlineStr">
        <is>
          <t>S3</t>
        </is>
      </c>
      <c r="D686" s="21" t="str">
        <f>IFERROR(VLOOKUP($G686,'02_REFERENCE'!$A$2:$S$99,4,FALSE),"N/A")</f>
        <v>N/A</v>
      </c>
      <c r="E686" s="21" t="str">
        <f>IFERROR(VLOOKUP($G686,'02_REFERENCE'!$A$2:$S$99,15,FALSE),"N/A")</f>
        <v>N/A</v>
      </c>
      <c r="F686" s="21" t="str">
        <f>IFERROR(VLOOKUP($G686,'02_REFERENCE'!$A$2:$S$99,17,FALSE),"N/A")</f>
        <v>N/A</v>
      </c>
      <c r="G686" s="21" t="inlineStr"/>
      <c r="H686" s="21" t="inlineStr">
        <is>
          <t>False Positive</t>
        </is>
      </c>
      <c r="I686" s="21" t="inlineStr">
        <is>
          <t>FP</t>
        </is>
      </c>
      <c r="J686" s="21" t="inlineStr">
        <is>
          <t>M</t>
        </is>
      </c>
      <c r="K686" s="21" t="inlineStr">
        <is>
          <t>N</t>
        </is>
      </c>
      <c r="L686" s="21" t="inlineStr">
        <is>
          <t>No</t>
        </is>
      </c>
      <c r="M686" s="21" t="inlineStr"/>
      <c r="N686" s="22" t="inlineStr">
        <is>
          <t>Expedition (OWASP Automated Threat #6): generic automation/abuse-agility template; no single reference mechanism matches (brute force / stuffing are distinct specialist mechanisms).</t>
        </is>
      </c>
      <c r="O686" s="5" t="inlineStr">
        <is>
          <t>expedition</t>
        </is>
      </c>
      <c r="P686" s="16" t="inlineStr">
        <is>
          <t>Expedition</t>
        </is>
      </c>
      <c r="Q686" s="16" t="inlineStr">
        <is>
          <t>User Profile API Handler</t>
        </is>
      </c>
      <c r="R686" s="16" t="inlineStr"/>
      <c r="S686" s="5" t="inlineStr">
        <is>
          <t>Confirmed</t>
        </is>
      </c>
    </row>
    <row r="687" ht="16" customHeight="1">
      <c r="A687" s="5" t="inlineStr">
        <is>
          <t>OWASP-S3-F014</t>
        </is>
      </c>
      <c r="B687" s="5" t="inlineStr">
        <is>
          <t>OWASP</t>
        </is>
      </c>
      <c r="C687" s="5" t="inlineStr">
        <is>
          <t>S3</t>
        </is>
      </c>
      <c r="D687" s="21" t="str">
        <f>IFERROR(VLOOKUP($G687,'02_REFERENCE'!$A$2:$S$99,4,FALSE),"N/A")</f>
        <v>N/A</v>
      </c>
      <c r="E687" s="21" t="str">
        <f>IFERROR(VLOOKUP($G687,'02_REFERENCE'!$A$2:$S$99,15,FALSE),"N/A")</f>
        <v>N/A</v>
      </c>
      <c r="F687" s="21" t="str">
        <f>IFERROR(VLOOKUP($G687,'02_REFERENCE'!$A$2:$S$99,17,FALSE),"N/A")</f>
        <v>N/A</v>
      </c>
      <c r="G687" s="21" t="inlineStr"/>
      <c r="H687" s="21" t="inlineStr">
        <is>
          <t>False Positive</t>
        </is>
      </c>
      <c r="I687" s="21" t="inlineStr">
        <is>
          <t>FP</t>
        </is>
      </c>
      <c r="J687" s="21" t="inlineStr">
        <is>
          <t>M</t>
        </is>
      </c>
      <c r="K687" s="21" t="inlineStr">
        <is>
          <t>N</t>
        </is>
      </c>
      <c r="L687" s="21" t="inlineStr">
        <is>
          <t>No</t>
        </is>
      </c>
      <c r="M687" s="21" t="inlineStr"/>
      <c r="N687" s="22" t="inlineStr">
        <is>
          <t>Vulnerability scanning (OWASP Automated Threat #14): reconnaissance; not a security-failure mechanism present in the baseline.</t>
        </is>
      </c>
      <c r="O687" s="5" t="inlineStr">
        <is>
          <t>recon</t>
        </is>
      </c>
      <c r="P687" s="16" t="inlineStr">
        <is>
          <t>Vulnerability scanning</t>
        </is>
      </c>
      <c r="Q687" s="16" t="inlineStr">
        <is>
          <t>User Profile API Handler</t>
        </is>
      </c>
      <c r="R687" s="16" t="inlineStr"/>
      <c r="S687" s="5" t="inlineStr">
        <is>
          <t>Confirmed</t>
        </is>
      </c>
    </row>
    <row r="688" ht="16" customHeight="1">
      <c r="A688" s="5" t="inlineStr">
        <is>
          <t>OWASP-S3-F015</t>
        </is>
      </c>
      <c r="B688" s="5" t="inlineStr">
        <is>
          <t>OWASP</t>
        </is>
      </c>
      <c r="C688" s="5" t="inlineStr">
        <is>
          <t>S3</t>
        </is>
      </c>
      <c r="D688" s="21" t="str">
        <f>IFERROR(VLOOKUP($G688,'02_REFERENCE'!$A$2:$S$99,4,FALSE),"N/A")</f>
        <v>Denial of Service</v>
      </c>
      <c r="E688" s="21" t="str">
        <f>IFERROR(VLOOKUP($G688,'02_REFERENCE'!$A$2:$S$99,15,FALSE),"N/A")</f>
        <v>High</v>
      </c>
      <c r="F688" s="21" t="str">
        <f>IFERROR(VLOOKUP($G688,'02_REFERENCE'!$A$2:$S$99,17,FALSE),"N/A")</f>
        <v>No</v>
      </c>
      <c r="G688" s="21" t="inlineStr">
        <is>
          <t>S3-RT-030</t>
        </is>
      </c>
      <c r="H688" s="21" t="inlineStr">
        <is>
          <t>Duplicate</t>
        </is>
      </c>
      <c r="I688" s="21" t="inlineStr">
        <is>
          <t>TP</t>
        </is>
      </c>
      <c r="J688" s="21" t="inlineStr">
        <is>
          <t>M</t>
        </is>
      </c>
      <c r="K688" s="21" t="inlineStr">
        <is>
          <t>N</t>
        </is>
      </c>
      <c r="L688" s="21" t="inlineStr">
        <is>
          <t>Yes</t>
        </is>
      </c>
      <c r="M688" s="21" t="inlineStr">
        <is>
          <t>OWASP-S3-F005</t>
        </is>
      </c>
      <c r="N688" s="22" t="inlineStr">
        <is>
          <t>Resource-exhaustion template on the primary service path -&gt; reference S3-RT-030. [Equivalence: restates OWASP-S3-F005 — one-to-one rule applied.]</t>
        </is>
      </c>
      <c r="O688" s="5" t="inlineStr">
        <is>
          <t>dos_service</t>
        </is>
      </c>
      <c r="P688" s="16" t="inlineStr">
        <is>
          <t>Denial of Service</t>
        </is>
      </c>
      <c r="Q688" s="16" t="inlineStr">
        <is>
          <t>User Profile API Handler</t>
        </is>
      </c>
      <c r="R688" s="16" t="inlineStr"/>
      <c r="S688" s="5" t="inlineStr">
        <is>
          <t>Confirmed</t>
        </is>
      </c>
    </row>
    <row r="689" ht="16" customHeight="1">
      <c r="A689" s="5" t="inlineStr">
        <is>
          <t>OWASP-S3-F016</t>
        </is>
      </c>
      <c r="B689" s="5" t="inlineStr">
        <is>
          <t>OWASP</t>
        </is>
      </c>
      <c r="C689" s="5" t="inlineStr">
        <is>
          <t>S3</t>
        </is>
      </c>
      <c r="D689" s="21" t="str">
        <f>IFERROR(VLOOKUP($G689,'02_REFERENCE'!$A$2:$S$99,4,FALSE),"N/A")</f>
        <v>N/A</v>
      </c>
      <c r="E689" s="21" t="str">
        <f>IFERROR(VLOOKUP($G689,'02_REFERENCE'!$A$2:$S$99,15,FALSE),"N/A")</f>
        <v>N/A</v>
      </c>
      <c r="F689" s="21" t="str">
        <f>IFERROR(VLOOKUP($G689,'02_REFERENCE'!$A$2:$S$99,17,FALSE),"N/A")</f>
        <v>N/A</v>
      </c>
      <c r="G689" s="21" t="inlineStr"/>
      <c r="H689" s="21" t="inlineStr">
        <is>
          <t>False Positive</t>
        </is>
      </c>
      <c r="I689" s="21" t="inlineStr">
        <is>
          <t>FP</t>
        </is>
      </c>
      <c r="J689" s="21" t="inlineStr">
        <is>
          <t>M</t>
        </is>
      </c>
      <c r="K689" s="21" t="inlineStr">
        <is>
          <t>N</t>
        </is>
      </c>
      <c r="L689" s="21" t="inlineStr">
        <is>
          <t>No</t>
        </is>
      </c>
      <c r="M689" s="21" t="inlineStr"/>
      <c r="N689" s="22" t="inlineStr">
        <is>
          <t>Footprinting/Fingerprinting (OWASP Automated Threat #18/#4): reconnaissance; no reference mechanism.</t>
        </is>
      </c>
      <c r="O689" s="5" t="inlineStr">
        <is>
          <t>recon</t>
        </is>
      </c>
      <c r="P689" s="16" t="inlineStr">
        <is>
          <t>Footprinting</t>
        </is>
      </c>
      <c r="Q689" s="16" t="inlineStr">
        <is>
          <t>User Profile API Handler</t>
        </is>
      </c>
      <c r="R689" s="16" t="inlineStr"/>
      <c r="S689" s="5" t="inlineStr">
        <is>
          <t>Confirmed</t>
        </is>
      </c>
    </row>
    <row r="690" ht="16" customHeight="1">
      <c r="A690" s="5" t="inlineStr">
        <is>
          <t>OWASP-S3-F017</t>
        </is>
      </c>
      <c r="B690" s="5" t="inlineStr">
        <is>
          <t>OWASP</t>
        </is>
      </c>
      <c r="C690" s="5" t="inlineStr">
        <is>
          <t>S3</t>
        </is>
      </c>
      <c r="D690" s="21" t="str">
        <f>IFERROR(VLOOKUP($G690,'02_REFERENCE'!$A$2:$S$99,4,FALSE),"N/A")</f>
        <v>Information Disclosure</v>
      </c>
      <c r="E690" s="21" t="str">
        <f>IFERROR(VLOOKUP($G690,'02_REFERENCE'!$A$2:$S$99,15,FALSE),"N/A")</f>
        <v>Critical</v>
      </c>
      <c r="F690" s="21" t="str">
        <f>IFERROR(VLOOKUP($G690,'02_REFERENCE'!$A$2:$S$99,17,FALSE),"N/A")</f>
        <v>No</v>
      </c>
      <c r="G690" s="21" t="inlineStr">
        <is>
          <t>S3-RT-014</t>
        </is>
      </c>
      <c r="H690" s="21" t="inlineStr">
        <is>
          <t>Primary TP</t>
        </is>
      </c>
      <c r="I690" s="21" t="inlineStr">
        <is>
          <t>TP</t>
        </is>
      </c>
      <c r="J690" s="21" t="inlineStr">
        <is>
          <t>M</t>
        </is>
      </c>
      <c r="K690" s="21" t="inlineStr">
        <is>
          <t>Y</t>
        </is>
      </c>
      <c r="L690" s="21" t="inlineStr">
        <is>
          <t>No</t>
        </is>
      </c>
      <c r="M690" s="21" t="inlineStr"/>
      <c r="N690" s="22" t="inlineStr">
        <is>
          <t>Scraping (OWASP Automated Threat #11) on the user-data-store element: automated bulk collection of stored user data corresponds to the mass-disclosure mechanism -&gt; reference S3-RT-014.</t>
        </is>
      </c>
      <c r="O690" s="5" t="inlineStr">
        <is>
          <t>mass_disclosure</t>
        </is>
      </c>
      <c r="P690" s="16" t="inlineStr">
        <is>
          <t>Scraping</t>
        </is>
      </c>
      <c r="Q690" s="16" t="inlineStr">
        <is>
          <t>Backend User Database</t>
        </is>
      </c>
      <c r="R690" s="16" t="inlineStr"/>
      <c r="S690" s="5" t="inlineStr">
        <is>
          <t>Confirmed</t>
        </is>
      </c>
    </row>
    <row r="691" ht="16" customHeight="1">
      <c r="A691" s="5" t="inlineStr">
        <is>
          <t>OWASP-S3-F018</t>
        </is>
      </c>
      <c r="B691" s="5" t="inlineStr">
        <is>
          <t>OWASP</t>
        </is>
      </c>
      <c r="C691" s="5" t="inlineStr">
        <is>
          <t>S3</t>
        </is>
      </c>
      <c r="D691" s="21" t="str">
        <f>IFERROR(VLOOKUP($G691,'02_REFERENCE'!$A$2:$S$99,4,FALSE),"N/A")</f>
        <v>N/A</v>
      </c>
      <c r="E691" s="21" t="str">
        <f>IFERROR(VLOOKUP($G691,'02_REFERENCE'!$A$2:$S$99,15,FALSE),"N/A")</f>
        <v>N/A</v>
      </c>
      <c r="F691" s="21" t="str">
        <f>IFERROR(VLOOKUP($G691,'02_REFERENCE'!$A$2:$S$99,17,FALSE),"N/A")</f>
        <v>N/A</v>
      </c>
      <c r="G691" s="21" t="inlineStr"/>
      <c r="H691" s="21" t="inlineStr">
        <is>
          <t>False Positive</t>
        </is>
      </c>
      <c r="I691" s="21" t="inlineStr">
        <is>
          <t>FP</t>
        </is>
      </c>
      <c r="J691" s="21" t="inlineStr">
        <is>
          <t>M</t>
        </is>
      </c>
      <c r="K691" s="21" t="inlineStr">
        <is>
          <t>N</t>
        </is>
      </c>
      <c r="L691" s="21" t="inlineStr">
        <is>
          <t>No</t>
        </is>
      </c>
      <c r="M691" s="21" t="inlineStr"/>
      <c r="N691" s="22" t="inlineStr">
        <is>
          <t>Skewing (OWASP Automated Threat #16): metric-frequency gaming; no matching reference mechanism.</t>
        </is>
      </c>
      <c r="O691" s="5" t="inlineStr">
        <is>
          <t>skew_spam</t>
        </is>
      </c>
      <c r="P691" s="16" t="inlineStr">
        <is>
          <t>Skewing</t>
        </is>
      </c>
      <c r="Q691" s="16" t="inlineStr">
        <is>
          <t>Backend User Database</t>
        </is>
      </c>
      <c r="R691" s="16" t="inlineStr"/>
      <c r="S691" s="5" t="inlineStr">
        <is>
          <t>Confirmed</t>
        </is>
      </c>
    </row>
    <row r="692" ht="16" customHeight="1">
      <c r="A692" s="5" t="inlineStr">
        <is>
          <t>OWASP-S3-F019</t>
        </is>
      </c>
      <c r="B692" s="5" t="inlineStr">
        <is>
          <t>OWASP</t>
        </is>
      </c>
      <c r="C692" s="5" t="inlineStr">
        <is>
          <t>S3</t>
        </is>
      </c>
      <c r="D692" s="21" t="str">
        <f>IFERROR(VLOOKUP($G692,'02_REFERENCE'!$A$2:$S$99,4,FALSE),"N/A")</f>
        <v>Tampering</v>
      </c>
      <c r="E692" s="21" t="str">
        <f>IFERROR(VLOOKUP($G692,'02_REFERENCE'!$A$2:$S$99,15,FALSE),"N/A")</f>
        <v>High</v>
      </c>
      <c r="F692" s="21" t="str">
        <f>IFERROR(VLOOKUP($G692,'02_REFERENCE'!$A$2:$S$99,17,FALSE),"N/A")</f>
        <v>No</v>
      </c>
      <c r="G692" s="21" t="inlineStr">
        <is>
          <t>S3-RT-012</t>
        </is>
      </c>
      <c r="H692" s="21" t="inlineStr">
        <is>
          <t>Primary TP</t>
        </is>
      </c>
      <c r="I692" s="21" t="inlineStr">
        <is>
          <t>TP</t>
        </is>
      </c>
      <c r="J692" s="21" t="inlineStr">
        <is>
          <t>M</t>
        </is>
      </c>
      <c r="K692" s="21" t="inlineStr">
        <is>
          <t>Y</t>
        </is>
      </c>
      <c r="L692" s="21" t="inlineStr">
        <is>
          <t>No</t>
        </is>
      </c>
      <c r="M692" s="21" t="inlineStr"/>
      <c r="N692" s="22" t="inlineStr">
        <is>
          <t>Storing malicious content (OWASP Automated Threat #17) in the user database -&gt; second-order injection when stored content crosses service domains -&gt; reference S3-RT-012 (stored second-order injection through profile data).</t>
        </is>
      </c>
      <c r="O692" s="5" t="inlineStr">
        <is>
          <t>stored_injection</t>
        </is>
      </c>
      <c r="P692" s="16" t="inlineStr">
        <is>
          <t>Spamming</t>
        </is>
      </c>
      <c r="Q692" s="16" t="inlineStr">
        <is>
          <t>Backend User Database</t>
        </is>
      </c>
      <c r="R692" s="16" t="inlineStr"/>
      <c r="S692" s="5" t="inlineStr">
        <is>
          <t>Confirmed</t>
        </is>
      </c>
    </row>
    <row r="693" ht="16" customHeight="1">
      <c r="A693" s="5" t="inlineStr">
        <is>
          <t>OWASP-S3-F020</t>
        </is>
      </c>
      <c r="B693" s="5" t="inlineStr">
        <is>
          <t>OWASP</t>
        </is>
      </c>
      <c r="C693" s="5" t="inlineStr">
        <is>
          <t>S3</t>
        </is>
      </c>
      <c r="D693" s="21" t="str">
        <f>IFERROR(VLOOKUP($G693,'02_REFERENCE'!$A$2:$S$99,4,FALSE),"N/A")</f>
        <v>Spoofing</v>
      </c>
      <c r="E693" s="21" t="str">
        <f>IFERROR(VLOOKUP($G693,'02_REFERENCE'!$A$2:$S$99,15,FALSE),"N/A")</f>
        <v>Critical</v>
      </c>
      <c r="F693" s="21" t="str">
        <f>IFERROR(VLOOKUP($G693,'02_REFERENCE'!$A$2:$S$99,17,FALSE),"N/A")</f>
        <v>No</v>
      </c>
      <c r="G693" s="21" t="inlineStr">
        <is>
          <t>S3-RT-002</t>
        </is>
      </c>
      <c r="H693" s="21" t="inlineStr">
        <is>
          <t>Primary TP</t>
        </is>
      </c>
      <c r="I693" s="21" t="inlineStr">
        <is>
          <t>TP</t>
        </is>
      </c>
      <c r="J693" s="21" t="inlineStr">
        <is>
          <t>M</t>
        </is>
      </c>
      <c r="K693" s="21" t="inlineStr">
        <is>
          <t>Y</t>
        </is>
      </c>
      <c r="L693" s="21" t="inlineStr">
        <is>
          <t>No</t>
        </is>
      </c>
      <c r="M693" s="21" t="inlineStr"/>
      <c r="N693" s="22" t="inlineStr">
        <is>
          <t>Brute force, dictionary and guessing (OWASP Automated Threat #7) against the identity-verification process -&gt; guesses against weak verification factors -&gt; reference S3-RT-002 (weak identity verification exploitation through guessable verification factors).</t>
        </is>
      </c>
      <c r="O693" s="5" t="inlineStr">
        <is>
          <t>brute_force</t>
        </is>
      </c>
      <c r="P693" s="16" t="inlineStr">
        <is>
          <t>Credential cracking</t>
        </is>
      </c>
      <c r="Q693" s="16" t="inlineStr">
        <is>
          <t>Backend User Database</t>
        </is>
      </c>
      <c r="R693" s="16" t="inlineStr"/>
      <c r="S693" s="5" t="inlineStr">
        <is>
          <t>Confirmed</t>
        </is>
      </c>
    </row>
    <row r="694" ht="16" customHeight="1">
      <c r="A694" s="5" t="inlineStr">
        <is>
          <t>OWASP-S3-F021</t>
        </is>
      </c>
      <c r="B694" s="5" t="inlineStr">
        <is>
          <t>OWASP</t>
        </is>
      </c>
      <c r="C694" s="5" t="inlineStr">
        <is>
          <t>S3</t>
        </is>
      </c>
      <c r="D694" s="21" t="str">
        <f>IFERROR(VLOOKUP($G694,'02_REFERENCE'!$A$2:$S$99,4,FALSE),"N/A")</f>
        <v>N/A</v>
      </c>
      <c r="E694" s="21" t="str">
        <f>IFERROR(VLOOKUP($G694,'02_REFERENCE'!$A$2:$S$99,15,FALSE),"N/A")</f>
        <v>N/A</v>
      </c>
      <c r="F694" s="21" t="str">
        <f>IFERROR(VLOOKUP($G694,'02_REFERENCE'!$A$2:$S$99,17,FALSE),"N/A")</f>
        <v>N/A</v>
      </c>
      <c r="G694" s="21" t="inlineStr"/>
      <c r="H694" s="21" t="inlineStr">
        <is>
          <t>False Positive</t>
        </is>
      </c>
      <c r="I694" s="21" t="inlineStr">
        <is>
          <t>FP</t>
        </is>
      </c>
      <c r="J694" s="21" t="inlineStr">
        <is>
          <t>M</t>
        </is>
      </c>
      <c r="K694" s="21" t="inlineStr">
        <is>
          <t>N</t>
        </is>
      </c>
      <c r="L694" s="21" t="inlineStr">
        <is>
          <t>No</t>
        </is>
      </c>
      <c r="M694" s="21" t="inlineStr"/>
      <c r="N694" s="22" t="inlineStr">
        <is>
          <t>Bulk account creation (OWASP Automated Threat #19); no reference mechanism.</t>
        </is>
      </c>
      <c r="O694" s="5" t="inlineStr"/>
      <c r="P694" s="16" t="inlineStr">
        <is>
          <t>Account creation</t>
        </is>
      </c>
      <c r="Q694" s="16" t="inlineStr">
        <is>
          <t>Backend User Database</t>
        </is>
      </c>
      <c r="R694" s="16" t="inlineStr"/>
      <c r="S694" s="5" t="inlineStr">
        <is>
          <t>Confirmed</t>
        </is>
      </c>
    </row>
    <row r="695" ht="16" customHeight="1">
      <c r="A695" s="5" t="inlineStr">
        <is>
          <t>OWASP-S3-F022</t>
        </is>
      </c>
      <c r="B695" s="5" t="inlineStr">
        <is>
          <t>OWASP</t>
        </is>
      </c>
      <c r="C695" s="5" t="inlineStr">
        <is>
          <t>S3</t>
        </is>
      </c>
      <c r="D695" s="21" t="str">
        <f>IFERROR(VLOOKUP($G695,'02_REFERENCE'!$A$2:$S$99,4,FALSE),"N/A")</f>
        <v>Information Disclosure</v>
      </c>
      <c r="E695" s="21" t="str">
        <f>IFERROR(VLOOKUP($G695,'02_REFERENCE'!$A$2:$S$99,15,FALSE),"N/A")</f>
        <v>Critical</v>
      </c>
      <c r="F695" s="21" t="str">
        <f>IFERROR(VLOOKUP($G695,'02_REFERENCE'!$A$2:$S$99,17,FALSE),"N/A")</f>
        <v>No</v>
      </c>
      <c r="G695" s="21" t="inlineStr">
        <is>
          <t>S3-RT-014</t>
        </is>
      </c>
      <c r="H695" s="21" t="inlineStr">
        <is>
          <t>Duplicate</t>
        </is>
      </c>
      <c r="I695" s="21" t="inlineStr">
        <is>
          <t>TP</t>
        </is>
      </c>
      <c r="J695" s="21" t="inlineStr">
        <is>
          <t>M</t>
        </is>
      </c>
      <c r="K695" s="21" t="inlineStr">
        <is>
          <t>N</t>
        </is>
      </c>
      <c r="L695" s="21" t="inlineStr">
        <is>
          <t>Yes</t>
        </is>
      </c>
      <c r="M695" s="21" t="inlineStr">
        <is>
          <t>OWASP-S3-F017</t>
        </is>
      </c>
      <c r="N695" s="22" t="inlineStr">
        <is>
          <t>Compilation of credentials/information from multiple accounts (OWASP Automated Threat #20) -&gt; bulk collection of account data -&gt; reference S3-RT-014 (mass disclosure of User Database contents). [Equivalence: restates OWASP-S3-F017 — one-to-one rule applied.]</t>
        </is>
      </c>
      <c r="O695" s="5" t="inlineStr">
        <is>
          <t>mass_disclosure</t>
        </is>
      </c>
      <c r="P695" s="16" t="inlineStr">
        <is>
          <t>Account aggregation</t>
        </is>
      </c>
      <c r="Q695" s="16" t="inlineStr">
        <is>
          <t>Backend User Database</t>
        </is>
      </c>
      <c r="R695" s="16" t="inlineStr"/>
      <c r="S695" s="5" t="inlineStr">
        <is>
          <t>Confirmed</t>
        </is>
      </c>
    </row>
    <row r="696" ht="16" customHeight="1">
      <c r="A696" s="5" t="inlineStr">
        <is>
          <t>OWASP-S3-F023</t>
        </is>
      </c>
      <c r="B696" s="5" t="inlineStr">
        <is>
          <t>OWASP</t>
        </is>
      </c>
      <c r="C696" s="5" t="inlineStr">
        <is>
          <t>S3</t>
        </is>
      </c>
      <c r="D696" s="21" t="str">
        <f>IFERROR(VLOOKUP($G696,'02_REFERENCE'!$A$2:$S$99,4,FALSE),"N/A")</f>
        <v>N/A</v>
      </c>
      <c r="E696" s="21" t="str">
        <f>IFERROR(VLOOKUP($G696,'02_REFERENCE'!$A$2:$S$99,15,FALSE),"N/A")</f>
        <v>N/A</v>
      </c>
      <c r="F696" s="21" t="str">
        <f>IFERROR(VLOOKUP($G696,'02_REFERENCE'!$A$2:$S$99,17,FALSE),"N/A")</f>
        <v>N/A</v>
      </c>
      <c r="G696" s="21" t="inlineStr"/>
      <c r="H696" s="21" t="inlineStr">
        <is>
          <t>False Positive</t>
        </is>
      </c>
      <c r="I696" s="21" t="inlineStr">
        <is>
          <t>FP</t>
        </is>
      </c>
      <c r="J696" s="21" t="inlineStr">
        <is>
          <t>M</t>
        </is>
      </c>
      <c r="K696" s="21" t="inlineStr">
        <is>
          <t>N</t>
        </is>
      </c>
      <c r="L696" s="21" t="inlineStr">
        <is>
          <t>No</t>
        </is>
      </c>
      <c r="M696" s="21" t="inlineStr"/>
      <c r="N696" s="22" t="inlineStr">
        <is>
          <t>Weak encryption algorithm; the reference baseline contains no storage-encryption mechanism reference.</t>
        </is>
      </c>
      <c r="O696" s="5" t="inlineStr"/>
      <c r="P696" s="16" t="inlineStr">
        <is>
          <t>Vulnerable encryption algorithms</t>
        </is>
      </c>
      <c r="Q696" s="16" t="inlineStr">
        <is>
          <t>Backend User Database</t>
        </is>
      </c>
      <c r="R696" s="16" t="inlineStr"/>
      <c r="S696" s="5" t="inlineStr">
        <is>
          <t>Confirmed</t>
        </is>
      </c>
    </row>
    <row r="697" ht="16" customHeight="1">
      <c r="A697" s="5" t="inlineStr">
        <is>
          <t>OWASP-S3-F024</t>
        </is>
      </c>
      <c r="B697" s="5" t="inlineStr">
        <is>
          <t>OWASP</t>
        </is>
      </c>
      <c r="C697" s="5" t="inlineStr">
        <is>
          <t>S3</t>
        </is>
      </c>
      <c r="D697" s="21" t="str">
        <f>IFERROR(VLOOKUP($G697,'02_REFERENCE'!$A$2:$S$99,4,FALSE),"N/A")</f>
        <v>Information Disclosure</v>
      </c>
      <c r="E697" s="21" t="str">
        <f>IFERROR(VLOOKUP($G697,'02_REFERENCE'!$A$2:$S$99,15,FALSE),"N/A")</f>
        <v>High</v>
      </c>
      <c r="F697" s="21" t="str">
        <f>IFERROR(VLOOKUP($G697,'02_REFERENCE'!$A$2:$S$99,17,FALSE),"N/A")</f>
        <v>No</v>
      </c>
      <c r="G697" s="21" t="inlineStr">
        <is>
          <t>S3-RT-016</t>
        </is>
      </c>
      <c r="H697" s="21" t="inlineStr">
        <is>
          <t>Primary TP</t>
        </is>
      </c>
      <c r="I697" s="21" t="inlineStr">
        <is>
          <t>TP</t>
        </is>
      </c>
      <c r="J697" s="21" t="inlineStr">
        <is>
          <t>M</t>
        </is>
      </c>
      <c r="K697" s="21" t="inlineStr">
        <is>
          <t>Y</t>
        </is>
      </c>
      <c r="L697" s="21" t="inlineStr">
        <is>
          <t>No</t>
        </is>
      </c>
      <c r="M697" s="21" t="inlineStr"/>
      <c r="N697" s="22" t="inlineStr">
        <is>
          <t>Weak/absent transport protection exposes sensitive data in transit -&gt; reference S3-RT-016.</t>
        </is>
      </c>
      <c r="O697" s="5" t="inlineStr">
        <is>
          <t>transit_creds</t>
        </is>
      </c>
      <c r="P697" s="16" t="inlineStr">
        <is>
          <t>Vulnerable transport protocol</t>
        </is>
      </c>
      <c r="Q697" s="16" t="inlineStr">
        <is>
          <t>Backend User Database</t>
        </is>
      </c>
      <c r="R697" s="16" t="inlineStr"/>
      <c r="S697" s="5" t="inlineStr">
        <is>
          <t>Confirmed</t>
        </is>
      </c>
    </row>
    <row r="698" ht="16" customHeight="1">
      <c r="A698" s="5" t="inlineStr">
        <is>
          <t>OWASP-S3-F025</t>
        </is>
      </c>
      <c r="B698" s="5" t="inlineStr">
        <is>
          <t>OWASP</t>
        </is>
      </c>
      <c r="C698" s="5" t="inlineStr">
        <is>
          <t>S3</t>
        </is>
      </c>
      <c r="D698" s="21" t="str">
        <f>IFERROR(VLOOKUP($G698,'02_REFERENCE'!$A$2:$S$99,4,FALSE),"N/A")</f>
        <v>N/A</v>
      </c>
      <c r="E698" s="21" t="str">
        <f>IFERROR(VLOOKUP($G698,'02_REFERENCE'!$A$2:$S$99,15,FALSE),"N/A")</f>
        <v>N/A</v>
      </c>
      <c r="F698" s="21" t="str">
        <f>IFERROR(VLOOKUP($G698,'02_REFERENCE'!$A$2:$S$99,17,FALSE),"N/A")</f>
        <v>N/A</v>
      </c>
      <c r="G698" s="21" t="inlineStr"/>
      <c r="H698" s="21" t="inlineStr">
        <is>
          <t>False Positive</t>
        </is>
      </c>
      <c r="I698" s="21" t="inlineStr">
        <is>
          <t>FP</t>
        </is>
      </c>
      <c r="J698" s="21" t="inlineStr">
        <is>
          <t>M</t>
        </is>
      </c>
      <c r="K698" s="21" t="inlineStr">
        <is>
          <t>N</t>
        </is>
      </c>
      <c r="L698" s="21" t="inlineStr">
        <is>
          <t>No</t>
        </is>
      </c>
      <c r="M698" s="21" t="inlineStr"/>
      <c r="N698" s="22" t="inlineStr">
        <is>
          <t>Footprinting/Fingerprinting (OWASP Automated Threat #18/#4): reconnaissance; no reference mechanism.</t>
        </is>
      </c>
      <c r="O698" s="5" t="inlineStr">
        <is>
          <t>recon</t>
        </is>
      </c>
      <c r="P698" s="16" t="inlineStr">
        <is>
          <t>Fingerprinting</t>
        </is>
      </c>
      <c r="Q698" s="16" t="inlineStr">
        <is>
          <t>Backend User Database</t>
        </is>
      </c>
      <c r="R698" s="16" t="inlineStr"/>
      <c r="S698" s="5" t="inlineStr">
        <is>
          <t>Confirmed</t>
        </is>
      </c>
    </row>
    <row r="699" ht="16" customHeight="1">
      <c r="A699" s="5" t="inlineStr">
        <is>
          <t>OWASP-S3-F026</t>
        </is>
      </c>
      <c r="B699" s="5" t="inlineStr">
        <is>
          <t>OWASP</t>
        </is>
      </c>
      <c r="C699" s="5" t="inlineStr">
        <is>
          <t>S3</t>
        </is>
      </c>
      <c r="D699" s="21" t="str">
        <f>IFERROR(VLOOKUP($G699,'02_REFERENCE'!$A$2:$S$99,4,FALSE),"N/A")</f>
        <v>Information Disclosure</v>
      </c>
      <c r="E699" s="21" t="str">
        <f>IFERROR(VLOOKUP($G699,'02_REFERENCE'!$A$2:$S$99,15,FALSE),"N/A")</f>
        <v>High</v>
      </c>
      <c r="F699" s="21" t="str">
        <f>IFERROR(VLOOKUP($G699,'02_REFERENCE'!$A$2:$S$99,17,FALSE),"N/A")</f>
        <v>No</v>
      </c>
      <c r="G699" s="21" t="inlineStr">
        <is>
          <t>S3-RT-016</t>
        </is>
      </c>
      <c r="H699" s="21" t="inlineStr">
        <is>
          <t>Duplicate</t>
        </is>
      </c>
      <c r="I699" s="21" t="inlineStr">
        <is>
          <t>TP</t>
        </is>
      </c>
      <c r="J699" s="21" t="inlineStr">
        <is>
          <t>M</t>
        </is>
      </c>
      <c r="K699" s="21" t="inlineStr">
        <is>
          <t>N</t>
        </is>
      </c>
      <c r="L699" s="21" t="inlineStr">
        <is>
          <t>Yes</t>
        </is>
      </c>
      <c r="M699" s="21" t="inlineStr">
        <is>
          <t>OWASP-S3-F024</t>
        </is>
      </c>
      <c r="N699" s="22" t="inlineStr">
        <is>
          <t>Weak/absent transport protection exposes sensitive data in transit -&gt; reference S3-RT-016. [Equivalence: restates OWASP-S3-F024 — one-to-one rule applied.]</t>
        </is>
      </c>
      <c r="O699" s="5" t="inlineStr">
        <is>
          <t>transit_creds</t>
        </is>
      </c>
      <c r="P699" s="16" t="inlineStr">
        <is>
          <t>Vulnerable transport protocol</t>
        </is>
      </c>
      <c r="Q699" s="16" t="inlineStr">
        <is>
          <t>Backend User Database</t>
        </is>
      </c>
      <c r="R699" s="16" t="inlineStr"/>
      <c r="S699" s="5" t="inlineStr">
        <is>
          <t>Confirmed</t>
        </is>
      </c>
    </row>
    <row r="700" ht="16" customHeight="1">
      <c r="A700" s="5" t="inlineStr">
        <is>
          <t>OWASP-S3-F027</t>
        </is>
      </c>
      <c r="B700" s="5" t="inlineStr">
        <is>
          <t>OWASP</t>
        </is>
      </c>
      <c r="C700" s="5" t="inlineStr">
        <is>
          <t>S3</t>
        </is>
      </c>
      <c r="D700" s="21" t="str">
        <f>IFERROR(VLOOKUP($G700,'02_REFERENCE'!$A$2:$S$99,4,FALSE),"N/A")</f>
        <v>Information Disclosure</v>
      </c>
      <c r="E700" s="21" t="str">
        <f>IFERROR(VLOOKUP($G700,'02_REFERENCE'!$A$2:$S$99,15,FALSE),"N/A")</f>
        <v>High</v>
      </c>
      <c r="F700" s="21" t="str">
        <f>IFERROR(VLOOKUP($G700,'02_REFERENCE'!$A$2:$S$99,17,FALSE),"N/A")</f>
        <v>No</v>
      </c>
      <c r="G700" s="21" t="inlineStr">
        <is>
          <t>S3-RT-016</t>
        </is>
      </c>
      <c r="H700" s="21" t="inlineStr">
        <is>
          <t>Duplicate</t>
        </is>
      </c>
      <c r="I700" s="21" t="inlineStr">
        <is>
          <t>TP</t>
        </is>
      </c>
      <c r="J700" s="21" t="inlineStr">
        <is>
          <t>M</t>
        </is>
      </c>
      <c r="K700" s="21" t="inlineStr">
        <is>
          <t>N</t>
        </is>
      </c>
      <c r="L700" s="21" t="inlineStr">
        <is>
          <t>Yes</t>
        </is>
      </c>
      <c r="M700" s="21" t="inlineStr">
        <is>
          <t>OWASP-S3-F024</t>
        </is>
      </c>
      <c r="N700" s="22" t="inlineStr">
        <is>
          <t>Weak/absent transport protection exposes sensitive data in transit -&gt; reference S3-RT-016. [Equivalence: restates OWASP-S3-F024 — one-to-one rule applied.]</t>
        </is>
      </c>
      <c r="O700" s="5" t="inlineStr">
        <is>
          <t>transit_creds</t>
        </is>
      </c>
      <c r="P700" s="16" t="inlineStr">
        <is>
          <t>Vulnerable transport protocol</t>
        </is>
      </c>
      <c r="Q700" s="16" t="inlineStr">
        <is>
          <t>Backend User Database</t>
        </is>
      </c>
      <c r="R700" s="16" t="inlineStr"/>
      <c r="S700" s="5" t="inlineStr">
        <is>
          <t>Confirmed</t>
        </is>
      </c>
    </row>
    <row r="701" ht="16" customHeight="1">
      <c r="A701" s="5" t="inlineStr">
        <is>
          <t>OWASP-S3-F028</t>
        </is>
      </c>
      <c r="B701" s="5" t="inlineStr">
        <is>
          <t>OWASP</t>
        </is>
      </c>
      <c r="C701" s="5" t="inlineStr">
        <is>
          <t>S3</t>
        </is>
      </c>
      <c r="D701" s="21" t="str">
        <f>IFERROR(VLOOKUP($G701,'02_REFERENCE'!$A$2:$S$99,4,FALSE),"N/A")</f>
        <v>Information Disclosure</v>
      </c>
      <c r="E701" s="21" t="str">
        <f>IFERROR(VLOOKUP($G701,'02_REFERENCE'!$A$2:$S$99,15,FALSE),"N/A")</f>
        <v>High</v>
      </c>
      <c r="F701" s="21" t="str">
        <f>IFERROR(VLOOKUP($G701,'02_REFERENCE'!$A$2:$S$99,17,FALSE),"N/A")</f>
        <v>No</v>
      </c>
      <c r="G701" s="21" t="inlineStr">
        <is>
          <t>S3-RT-016</t>
        </is>
      </c>
      <c r="H701" s="21" t="inlineStr">
        <is>
          <t>Duplicate</t>
        </is>
      </c>
      <c r="I701" s="21" t="inlineStr">
        <is>
          <t>TP</t>
        </is>
      </c>
      <c r="J701" s="21" t="inlineStr">
        <is>
          <t>M</t>
        </is>
      </c>
      <c r="K701" s="21" t="inlineStr">
        <is>
          <t>N</t>
        </is>
      </c>
      <c r="L701" s="21" t="inlineStr">
        <is>
          <t>Yes</t>
        </is>
      </c>
      <c r="M701" s="21" t="inlineStr">
        <is>
          <t>OWASP-S3-F024</t>
        </is>
      </c>
      <c r="N701" s="22" t="inlineStr">
        <is>
          <t>Weak/absent transport protection exposes sensitive data in transit -&gt; reference S3-RT-016. [Equivalence: restates OWASP-S3-F024 — one-to-one rule applied.]</t>
        </is>
      </c>
      <c r="O701" s="5" t="inlineStr">
        <is>
          <t>transit_creds</t>
        </is>
      </c>
      <c r="P701" s="16" t="inlineStr">
        <is>
          <t>Vulnerable transport protocol</t>
        </is>
      </c>
      <c r="Q701" s="16" t="inlineStr">
        <is>
          <t>Backend User Database</t>
        </is>
      </c>
      <c r="R701" s="16" t="inlineStr"/>
      <c r="S701" s="5" t="inlineStr">
        <is>
          <t>Confirmed</t>
        </is>
      </c>
    </row>
    <row r="702" ht="16" customHeight="1">
      <c r="A702" s="5" t="inlineStr">
        <is>
          <t>OWASP-S3-F029</t>
        </is>
      </c>
      <c r="B702" s="5" t="inlineStr">
        <is>
          <t>OWASP</t>
        </is>
      </c>
      <c r="C702" s="5" t="inlineStr">
        <is>
          <t>S3</t>
        </is>
      </c>
      <c r="D702" s="21" t="str">
        <f>IFERROR(VLOOKUP($G702,'02_REFERENCE'!$A$2:$S$99,4,FALSE),"N/A")</f>
        <v>Information Disclosure</v>
      </c>
      <c r="E702" s="21" t="str">
        <f>IFERROR(VLOOKUP($G702,'02_REFERENCE'!$A$2:$S$99,15,FALSE),"N/A")</f>
        <v>High</v>
      </c>
      <c r="F702" s="21" t="str">
        <f>IFERROR(VLOOKUP($G702,'02_REFERENCE'!$A$2:$S$99,17,FALSE),"N/A")</f>
        <v>No</v>
      </c>
      <c r="G702" s="21" t="inlineStr">
        <is>
          <t>S3-RT-016</t>
        </is>
      </c>
      <c r="H702" s="21" t="inlineStr">
        <is>
          <t>Duplicate</t>
        </is>
      </c>
      <c r="I702" s="21" t="inlineStr">
        <is>
          <t>TP</t>
        </is>
      </c>
      <c r="J702" s="21" t="inlineStr">
        <is>
          <t>M</t>
        </is>
      </c>
      <c r="K702" s="21" t="inlineStr">
        <is>
          <t>N</t>
        </is>
      </c>
      <c r="L702" s="21" t="inlineStr">
        <is>
          <t>Yes</t>
        </is>
      </c>
      <c r="M702" s="21" t="inlineStr">
        <is>
          <t>OWASP-S3-F024</t>
        </is>
      </c>
      <c r="N702" s="22" t="inlineStr">
        <is>
          <t>Weak/absent transport protection exposes sensitive data in transit -&gt; reference S3-RT-016. [Equivalence: restates OWASP-S3-F024 — one-to-one rule applied.]</t>
        </is>
      </c>
      <c r="O702" s="5" t="inlineStr">
        <is>
          <t>transit_creds</t>
        </is>
      </c>
      <c r="P702" s="16" t="inlineStr">
        <is>
          <t>Vulnerable transport protocol</t>
        </is>
      </c>
      <c r="Q702" s="16" t="inlineStr">
        <is>
          <t>Backend User Database</t>
        </is>
      </c>
      <c r="R702" s="16" t="inlineStr"/>
      <c r="S702" s="5" t="inlineStr">
        <is>
          <t>Confirmed</t>
        </is>
      </c>
    </row>
    <row r="703" ht="16" customHeight="1">
      <c r="A703" s="5" t="inlineStr">
        <is>
          <t>OWASP-S3-F030</t>
        </is>
      </c>
      <c r="B703" s="5" t="inlineStr">
        <is>
          <t>OWASP</t>
        </is>
      </c>
      <c r="C703" s="5" t="inlineStr">
        <is>
          <t>S3</t>
        </is>
      </c>
      <c r="D703" s="21" t="str">
        <f>IFERROR(VLOOKUP($G703,'02_REFERENCE'!$A$2:$S$99,4,FALSE),"N/A")</f>
        <v>Information Disclosure</v>
      </c>
      <c r="E703" s="21" t="str">
        <f>IFERROR(VLOOKUP($G703,'02_REFERENCE'!$A$2:$S$99,15,FALSE),"N/A")</f>
        <v>High</v>
      </c>
      <c r="F703" s="21" t="str">
        <f>IFERROR(VLOOKUP($G703,'02_REFERENCE'!$A$2:$S$99,17,FALSE),"N/A")</f>
        <v>No</v>
      </c>
      <c r="G703" s="21" t="inlineStr">
        <is>
          <t>S3-RT-016</t>
        </is>
      </c>
      <c r="H703" s="21" t="inlineStr">
        <is>
          <t>Duplicate</t>
        </is>
      </c>
      <c r="I703" s="21" t="inlineStr">
        <is>
          <t>TP</t>
        </is>
      </c>
      <c r="J703" s="21" t="inlineStr">
        <is>
          <t>M</t>
        </is>
      </c>
      <c r="K703" s="21" t="inlineStr">
        <is>
          <t>N</t>
        </is>
      </c>
      <c r="L703" s="21" t="inlineStr">
        <is>
          <t>Yes</t>
        </is>
      </c>
      <c r="M703" s="21" t="inlineStr">
        <is>
          <t>OWASP-S3-F024</t>
        </is>
      </c>
      <c r="N703" s="22" t="inlineStr">
        <is>
          <t>Weak/absent transport protection exposes sensitive data in transit -&gt; reference S3-RT-016. [Equivalence: restates OWASP-S3-F024 — one-to-one rule applied.]</t>
        </is>
      </c>
      <c r="O703" s="5" t="inlineStr">
        <is>
          <t>transit_creds</t>
        </is>
      </c>
      <c r="P703" s="16" t="inlineStr">
        <is>
          <t>Vulnerable transport protocol</t>
        </is>
      </c>
      <c r="Q703" s="16" t="inlineStr">
        <is>
          <t>Backend User Database</t>
        </is>
      </c>
      <c r="R703" s="16" t="inlineStr"/>
      <c r="S703" s="5" t="inlineStr">
        <is>
          <t>Confirmed</t>
        </is>
      </c>
    </row>
    <row r="704" ht="16" customHeight="1">
      <c r="A704" s="5" t="inlineStr">
        <is>
          <t>OWASP-S3-F031</t>
        </is>
      </c>
      <c r="B704" s="5" t="inlineStr">
        <is>
          <t>OWASP</t>
        </is>
      </c>
      <c r="C704" s="5" t="inlineStr">
        <is>
          <t>S3</t>
        </is>
      </c>
      <c r="D704" s="21" t="str">
        <f>IFERROR(VLOOKUP($G704,'02_REFERENCE'!$A$2:$S$99,4,FALSE),"N/A")</f>
        <v>N/A</v>
      </c>
      <c r="E704" s="21" t="str">
        <f>IFERROR(VLOOKUP($G704,'02_REFERENCE'!$A$2:$S$99,15,FALSE),"N/A")</f>
        <v>N/A</v>
      </c>
      <c r="F704" s="21" t="str">
        <f>IFERROR(VLOOKUP($G704,'02_REFERENCE'!$A$2:$S$99,17,FALSE),"N/A")</f>
        <v>N/A</v>
      </c>
      <c r="G704" s="21" t="inlineStr"/>
      <c r="H704" s="21" t="inlineStr">
        <is>
          <t>False Positive</t>
        </is>
      </c>
      <c r="I704" s="21" t="inlineStr">
        <is>
          <t>FP</t>
        </is>
      </c>
      <c r="J704" s="21" t="inlineStr">
        <is>
          <t>M</t>
        </is>
      </c>
      <c r="K704" s="21" t="inlineStr">
        <is>
          <t>N</t>
        </is>
      </c>
      <c r="L704" s="21" t="inlineStr">
        <is>
          <t>No</t>
        </is>
      </c>
      <c r="M704" s="21" t="inlineStr"/>
      <c r="N704" s="22" t="inlineStr">
        <is>
          <t>Footprinting/Fingerprinting (OWASP Automated Threat #18/#4): reconnaissance; no reference mechanism.</t>
        </is>
      </c>
      <c r="O704" s="5" t="inlineStr">
        <is>
          <t>recon</t>
        </is>
      </c>
      <c r="P704" s="16" t="inlineStr">
        <is>
          <t>Fingerprinting</t>
        </is>
      </c>
      <c r="Q704" s="16" t="inlineStr">
        <is>
          <t>Backend User Database</t>
        </is>
      </c>
      <c r="R704" s="16" t="inlineStr"/>
      <c r="S704" s="5" t="inlineStr">
        <is>
          <t>Confirmed</t>
        </is>
      </c>
    </row>
    <row r="705" ht="16" customHeight="1">
      <c r="A705" s="5" t="inlineStr">
        <is>
          <t>OWASP-S3-F032</t>
        </is>
      </c>
      <c r="B705" s="5" t="inlineStr">
        <is>
          <t>OWASP</t>
        </is>
      </c>
      <c r="C705" s="5" t="inlineStr">
        <is>
          <t>S3</t>
        </is>
      </c>
      <c r="D705" s="21" t="str">
        <f>IFERROR(VLOOKUP($G705,'02_REFERENCE'!$A$2:$S$99,4,FALSE),"N/A")</f>
        <v>Information Disclosure</v>
      </c>
      <c r="E705" s="21" t="str">
        <f>IFERROR(VLOOKUP($G705,'02_REFERENCE'!$A$2:$S$99,15,FALSE),"N/A")</f>
        <v>High</v>
      </c>
      <c r="F705" s="21" t="str">
        <f>IFERROR(VLOOKUP($G705,'02_REFERENCE'!$A$2:$S$99,17,FALSE),"N/A")</f>
        <v>No</v>
      </c>
      <c r="G705" s="21" t="inlineStr">
        <is>
          <t>S3-RT-016</t>
        </is>
      </c>
      <c r="H705" s="21" t="inlineStr">
        <is>
          <t>Duplicate</t>
        </is>
      </c>
      <c r="I705" s="21" t="inlineStr">
        <is>
          <t>TP</t>
        </is>
      </c>
      <c r="J705" s="21" t="inlineStr">
        <is>
          <t>M</t>
        </is>
      </c>
      <c r="K705" s="21" t="inlineStr">
        <is>
          <t>N</t>
        </is>
      </c>
      <c r="L705" s="21" t="inlineStr">
        <is>
          <t>Yes</t>
        </is>
      </c>
      <c r="M705" s="21" t="inlineStr">
        <is>
          <t>OWASP-S3-F024</t>
        </is>
      </c>
      <c r="N705" s="22" t="inlineStr">
        <is>
          <t>Weak/absent transport protection exposes sensitive data in transit -&gt; reference S3-RT-016. [Equivalence: restates OWASP-S3-F024 — one-to-one rule applied.]</t>
        </is>
      </c>
      <c r="O705" s="5" t="inlineStr">
        <is>
          <t>transit_creds</t>
        </is>
      </c>
      <c r="P705" s="16" t="inlineStr">
        <is>
          <t>Vulnerable transport protocol</t>
        </is>
      </c>
      <c r="Q705" s="16" t="inlineStr">
        <is>
          <t>Backend User Database</t>
        </is>
      </c>
      <c r="R705" s="16" t="inlineStr"/>
      <c r="S705" s="5" t="inlineStr">
        <is>
          <t>Confirmed</t>
        </is>
      </c>
    </row>
    <row r="706" ht="16" customHeight="1">
      <c r="A706" s="5" t="inlineStr">
        <is>
          <t>OWASP-S3-F033</t>
        </is>
      </c>
      <c r="B706" s="5" t="inlineStr">
        <is>
          <t>OWASP</t>
        </is>
      </c>
      <c r="C706" s="5" t="inlineStr">
        <is>
          <t>S3</t>
        </is>
      </c>
      <c r="D706" s="21" t="str">
        <f>IFERROR(VLOOKUP($G706,'02_REFERENCE'!$A$2:$S$99,4,FALSE),"N/A")</f>
        <v>Information Disclosure</v>
      </c>
      <c r="E706" s="21" t="str">
        <f>IFERROR(VLOOKUP($G706,'02_REFERENCE'!$A$2:$S$99,15,FALSE),"N/A")</f>
        <v>High</v>
      </c>
      <c r="F706" s="21" t="str">
        <f>IFERROR(VLOOKUP($G706,'02_REFERENCE'!$A$2:$S$99,17,FALSE),"N/A")</f>
        <v>No</v>
      </c>
      <c r="G706" s="21" t="inlineStr">
        <is>
          <t>S3-RT-016</t>
        </is>
      </c>
      <c r="H706" s="21" t="inlineStr">
        <is>
          <t>Duplicate</t>
        </is>
      </c>
      <c r="I706" s="21" t="inlineStr">
        <is>
          <t>TP</t>
        </is>
      </c>
      <c r="J706" s="21" t="inlineStr">
        <is>
          <t>M</t>
        </is>
      </c>
      <c r="K706" s="21" t="inlineStr">
        <is>
          <t>N</t>
        </is>
      </c>
      <c r="L706" s="21" t="inlineStr">
        <is>
          <t>Yes</t>
        </is>
      </c>
      <c r="M706" s="21" t="inlineStr">
        <is>
          <t>OWASP-S3-F024</t>
        </is>
      </c>
      <c r="N706" s="22" t="inlineStr">
        <is>
          <t>Weak/absent transport protection exposes sensitive data in transit -&gt; reference S3-RT-016. [Equivalence: restates OWASP-S3-F024 — one-to-one rule applied.]</t>
        </is>
      </c>
      <c r="O706" s="5" t="inlineStr">
        <is>
          <t>transit_creds</t>
        </is>
      </c>
      <c r="P706" s="16" t="inlineStr">
        <is>
          <t>Vulnerable transport protocol</t>
        </is>
      </c>
      <c r="Q706" s="16" t="inlineStr">
        <is>
          <t>Backend User Database</t>
        </is>
      </c>
      <c r="R706" s="16" t="inlineStr"/>
      <c r="S706" s="5" t="inlineStr">
        <is>
          <t>Confirmed</t>
        </is>
      </c>
    </row>
    <row r="707" ht="16" customHeight="1">
      <c r="A707" s="5" t="inlineStr">
        <is>
          <t>OWASP-S3-F034</t>
        </is>
      </c>
      <c r="B707" s="5" t="inlineStr">
        <is>
          <t>OWASP</t>
        </is>
      </c>
      <c r="C707" s="5" t="inlineStr">
        <is>
          <t>S3</t>
        </is>
      </c>
      <c r="D707" s="21" t="str">
        <f>IFERROR(VLOOKUP($G707,'02_REFERENCE'!$A$2:$S$99,4,FALSE),"N/A")</f>
        <v>Information Disclosure</v>
      </c>
      <c r="E707" s="21" t="str">
        <f>IFERROR(VLOOKUP($G707,'02_REFERENCE'!$A$2:$S$99,15,FALSE),"N/A")</f>
        <v>High</v>
      </c>
      <c r="F707" s="21" t="str">
        <f>IFERROR(VLOOKUP($G707,'02_REFERENCE'!$A$2:$S$99,17,FALSE),"N/A")</f>
        <v>No</v>
      </c>
      <c r="G707" s="21" t="inlineStr">
        <is>
          <t>S3-RT-016</t>
        </is>
      </c>
      <c r="H707" s="21" t="inlineStr">
        <is>
          <t>Duplicate</t>
        </is>
      </c>
      <c r="I707" s="21" t="inlineStr">
        <is>
          <t>TP</t>
        </is>
      </c>
      <c r="J707" s="21" t="inlineStr">
        <is>
          <t>M</t>
        </is>
      </c>
      <c r="K707" s="21" t="inlineStr">
        <is>
          <t>N</t>
        </is>
      </c>
      <c r="L707" s="21" t="inlineStr">
        <is>
          <t>Yes</t>
        </is>
      </c>
      <c r="M707" s="21" t="inlineStr">
        <is>
          <t>OWASP-S3-F024</t>
        </is>
      </c>
      <c r="N707" s="22" t="inlineStr">
        <is>
          <t>Weak/absent transport protection exposes sensitive data in transit -&gt; reference S3-RT-016. [Equivalence: restates OWASP-S3-F024 — one-to-one rule applied.]</t>
        </is>
      </c>
      <c r="O707" s="5" t="inlineStr">
        <is>
          <t>transit_creds</t>
        </is>
      </c>
      <c r="P707" s="16" t="inlineStr">
        <is>
          <t>Vulnerable transport protocol</t>
        </is>
      </c>
      <c r="Q707" s="16" t="inlineStr">
        <is>
          <t>Backend User Database</t>
        </is>
      </c>
      <c r="R707" s="16" t="inlineStr"/>
      <c r="S707" s="5" t="inlineStr">
        <is>
          <t>Confirmed</t>
        </is>
      </c>
    </row>
    <row r="708" ht="16" customHeight="1">
      <c r="A708" s="5" t="inlineStr">
        <is>
          <t>OWASP-S3-F035</t>
        </is>
      </c>
      <c r="B708" s="5" t="inlineStr">
        <is>
          <t>OWASP</t>
        </is>
      </c>
      <c r="C708" s="5" t="inlineStr">
        <is>
          <t>S3</t>
        </is>
      </c>
      <c r="D708" s="21" t="str">
        <f>IFERROR(VLOOKUP($G708,'02_REFERENCE'!$A$2:$S$99,4,FALSE),"N/A")</f>
        <v>N/A</v>
      </c>
      <c r="E708" s="21" t="str">
        <f>IFERROR(VLOOKUP($G708,'02_REFERENCE'!$A$2:$S$99,15,FALSE),"N/A")</f>
        <v>N/A</v>
      </c>
      <c r="F708" s="21" t="str">
        <f>IFERROR(VLOOKUP($G708,'02_REFERENCE'!$A$2:$S$99,17,FALSE),"N/A")</f>
        <v>N/A</v>
      </c>
      <c r="G708" s="21" t="inlineStr"/>
      <c r="H708" s="21" t="inlineStr">
        <is>
          <t>False Positive</t>
        </is>
      </c>
      <c r="I708" s="21" t="inlineStr">
        <is>
          <t>FP</t>
        </is>
      </c>
      <c r="J708" s="21" t="inlineStr">
        <is>
          <t>M</t>
        </is>
      </c>
      <c r="K708" s="21" t="inlineStr">
        <is>
          <t>N</t>
        </is>
      </c>
      <c r="L708" s="21" t="inlineStr">
        <is>
          <t>No</t>
        </is>
      </c>
      <c r="M708" s="21" t="inlineStr"/>
      <c r="N708" s="22" t="inlineStr">
        <is>
          <t>Footprinting/Fingerprinting (OWASP Automated Threat #18/#4): reconnaissance; no reference mechanism.</t>
        </is>
      </c>
      <c r="O708" s="5" t="inlineStr">
        <is>
          <t>recon</t>
        </is>
      </c>
      <c r="P708" s="16" t="inlineStr">
        <is>
          <t>Fingerprinting</t>
        </is>
      </c>
      <c r="Q708" s="16" t="inlineStr">
        <is>
          <t>Backend User Database</t>
        </is>
      </c>
      <c r="R708" s="16" t="inlineStr"/>
      <c r="S708" s="5" t="inlineStr">
        <is>
          <t>Confirmed</t>
        </is>
      </c>
    </row>
    <row r="709" ht="16" customHeight="1">
      <c r="A709" s="5" t="inlineStr">
        <is>
          <t>OWASP-S3-F036</t>
        </is>
      </c>
      <c r="B709" s="5" t="inlineStr">
        <is>
          <t>OWASP</t>
        </is>
      </c>
      <c r="C709" s="5" t="inlineStr">
        <is>
          <t>S3</t>
        </is>
      </c>
      <c r="D709" s="21" t="str">
        <f>IFERROR(VLOOKUP($G709,'02_REFERENCE'!$A$2:$S$99,4,FALSE),"N/A")</f>
        <v>Information Disclosure</v>
      </c>
      <c r="E709" s="21" t="str">
        <f>IFERROR(VLOOKUP($G709,'02_REFERENCE'!$A$2:$S$99,15,FALSE),"N/A")</f>
        <v>High</v>
      </c>
      <c r="F709" s="21" t="str">
        <f>IFERROR(VLOOKUP($G709,'02_REFERENCE'!$A$2:$S$99,17,FALSE),"N/A")</f>
        <v>No</v>
      </c>
      <c r="G709" s="21" t="inlineStr">
        <is>
          <t>S3-RT-016</t>
        </is>
      </c>
      <c r="H709" s="21" t="inlineStr">
        <is>
          <t>Duplicate</t>
        </is>
      </c>
      <c r="I709" s="21" t="inlineStr">
        <is>
          <t>TP</t>
        </is>
      </c>
      <c r="J709" s="21" t="inlineStr">
        <is>
          <t>M</t>
        </is>
      </c>
      <c r="K709" s="21" t="inlineStr">
        <is>
          <t>N</t>
        </is>
      </c>
      <c r="L709" s="21" t="inlineStr">
        <is>
          <t>Yes</t>
        </is>
      </c>
      <c r="M709" s="21" t="inlineStr">
        <is>
          <t>OWASP-S3-F024</t>
        </is>
      </c>
      <c r="N709" s="22" t="inlineStr">
        <is>
          <t>Weak/absent transport protection exposes sensitive data in transit -&gt; reference S3-RT-016. [Equivalence: restates OWASP-S3-F024 — one-to-one rule applied.]</t>
        </is>
      </c>
      <c r="O709" s="5" t="inlineStr">
        <is>
          <t>transit_creds</t>
        </is>
      </c>
      <c r="P709" s="16" t="inlineStr">
        <is>
          <t>Vulnerable transport protocol</t>
        </is>
      </c>
      <c r="Q709" s="16" t="inlineStr">
        <is>
          <t>Backend User Database</t>
        </is>
      </c>
      <c r="R709" s="16" t="inlineStr"/>
      <c r="S709" s="5" t="inlineStr">
        <is>
          <t>Confirmed</t>
        </is>
      </c>
    </row>
    <row r="710" ht="16" customHeight="1">
      <c r="A710" s="5" t="inlineStr">
        <is>
          <t>OWASP-S3-F037</t>
        </is>
      </c>
      <c r="B710" s="5" t="inlineStr">
        <is>
          <t>OWASP</t>
        </is>
      </c>
      <c r="C710" s="5" t="inlineStr">
        <is>
          <t>S3</t>
        </is>
      </c>
      <c r="D710" s="21" t="str">
        <f>IFERROR(VLOOKUP($G710,'02_REFERENCE'!$A$2:$S$99,4,FALSE),"N/A")</f>
        <v>N/A</v>
      </c>
      <c r="E710" s="21" t="str">
        <f>IFERROR(VLOOKUP($G710,'02_REFERENCE'!$A$2:$S$99,15,FALSE),"N/A")</f>
        <v>N/A</v>
      </c>
      <c r="F710" s="21" t="str">
        <f>IFERROR(VLOOKUP($G710,'02_REFERENCE'!$A$2:$S$99,17,FALSE),"N/A")</f>
        <v>N/A</v>
      </c>
      <c r="G710" s="21" t="inlineStr"/>
      <c r="H710" s="21" t="inlineStr">
        <is>
          <t>False Positive</t>
        </is>
      </c>
      <c r="I710" s="21" t="inlineStr">
        <is>
          <t>FP</t>
        </is>
      </c>
      <c r="J710" s="21" t="inlineStr">
        <is>
          <t>M</t>
        </is>
      </c>
      <c r="K710" s="21" t="inlineStr">
        <is>
          <t>N</t>
        </is>
      </c>
      <c r="L710" s="21" t="inlineStr">
        <is>
          <t>No</t>
        </is>
      </c>
      <c r="M710" s="21" t="inlineStr"/>
      <c r="N710" s="22" t="inlineStr">
        <is>
          <t>Generic least-privilege hardening template (horizontal/lateral EoP after compromise); no reference threat specifies this mechanism for this element.</t>
        </is>
      </c>
      <c r="O710" s="5" t="inlineStr">
        <is>
          <t>excessive_db_scope</t>
        </is>
      </c>
      <c r="P710" s="16" t="inlineStr">
        <is>
          <t>Least privilege</t>
        </is>
      </c>
      <c r="Q710" s="16" t="inlineStr">
        <is>
          <t>Password Reset Token Module</t>
        </is>
      </c>
      <c r="R710" s="16" t="inlineStr"/>
      <c r="S710" s="5" t="inlineStr">
        <is>
          <t>Confirmed</t>
        </is>
      </c>
    </row>
    <row r="711" ht="16" customHeight="1">
      <c r="A711" s="5" t="inlineStr">
        <is>
          <t>OWASP-S3-F038</t>
        </is>
      </c>
      <c r="B711" s="5" t="inlineStr">
        <is>
          <t>OWASP</t>
        </is>
      </c>
      <c r="C711" s="5" t="inlineStr">
        <is>
          <t>S3</t>
        </is>
      </c>
      <c r="D711" s="21" t="str">
        <f>IFERROR(VLOOKUP($G711,'02_REFERENCE'!$A$2:$S$99,4,FALSE),"N/A")</f>
        <v>N/A</v>
      </c>
      <c r="E711" s="21" t="str">
        <f>IFERROR(VLOOKUP($G711,'02_REFERENCE'!$A$2:$S$99,15,FALSE),"N/A")</f>
        <v>N/A</v>
      </c>
      <c r="F711" s="21" t="str">
        <f>IFERROR(VLOOKUP($G711,'02_REFERENCE'!$A$2:$S$99,17,FALSE),"N/A")</f>
        <v>N/A</v>
      </c>
      <c r="G711" s="21" t="inlineStr"/>
      <c r="H711" s="21" t="inlineStr">
        <is>
          <t>False Positive</t>
        </is>
      </c>
      <c r="I711" s="21" t="inlineStr">
        <is>
          <t>FP</t>
        </is>
      </c>
      <c r="J711" s="21" t="inlineStr">
        <is>
          <t>M</t>
        </is>
      </c>
      <c r="K711" s="21" t="inlineStr">
        <is>
          <t>N</t>
        </is>
      </c>
      <c r="L711" s="21" t="inlineStr">
        <is>
          <t>No</t>
        </is>
      </c>
      <c r="M711" s="21" t="inlineStr"/>
      <c r="N711" s="22" t="inlineStr">
        <is>
          <t>Expedition (OWASP Automated Threat #6): generic automation/abuse-agility template; no single reference mechanism matches (brute force / stuffing are distinct specialist mechanisms).</t>
        </is>
      </c>
      <c r="O711" s="5" t="inlineStr">
        <is>
          <t>expedition</t>
        </is>
      </c>
      <c r="P711" s="16" t="inlineStr">
        <is>
          <t>Expedition</t>
        </is>
      </c>
      <c r="Q711" s="16" t="inlineStr">
        <is>
          <t>Password Reset Token Module</t>
        </is>
      </c>
      <c r="R711" s="16" t="inlineStr"/>
      <c r="S711" s="5" t="inlineStr">
        <is>
          <t>Confirmed</t>
        </is>
      </c>
    </row>
    <row r="712" ht="16" customHeight="1">
      <c r="A712" s="5" t="inlineStr">
        <is>
          <t>OWASP-S3-F039</t>
        </is>
      </c>
      <c r="B712" s="5" t="inlineStr">
        <is>
          <t>OWASP</t>
        </is>
      </c>
      <c r="C712" s="5" t="inlineStr">
        <is>
          <t>S3</t>
        </is>
      </c>
      <c r="D712" s="21" t="str">
        <f>IFERROR(VLOOKUP($G712,'02_REFERENCE'!$A$2:$S$99,4,FALSE),"N/A")</f>
        <v>N/A</v>
      </c>
      <c r="E712" s="21" t="str">
        <f>IFERROR(VLOOKUP($G712,'02_REFERENCE'!$A$2:$S$99,15,FALSE),"N/A")</f>
        <v>N/A</v>
      </c>
      <c r="F712" s="21" t="str">
        <f>IFERROR(VLOOKUP($G712,'02_REFERENCE'!$A$2:$S$99,17,FALSE),"N/A")</f>
        <v>N/A</v>
      </c>
      <c r="G712" s="21" t="inlineStr"/>
      <c r="H712" s="21" t="inlineStr">
        <is>
          <t>False Positive</t>
        </is>
      </c>
      <c r="I712" s="21" t="inlineStr">
        <is>
          <t>FP</t>
        </is>
      </c>
      <c r="J712" s="21" t="inlineStr">
        <is>
          <t>M</t>
        </is>
      </c>
      <c r="K712" s="21" t="inlineStr">
        <is>
          <t>N</t>
        </is>
      </c>
      <c r="L712" s="21" t="inlineStr">
        <is>
          <t>No</t>
        </is>
      </c>
      <c r="M712" s="21" t="inlineStr"/>
      <c r="N712" s="22" t="inlineStr">
        <is>
          <t>Vulnerability scanning (OWASP Automated Threat #14): reconnaissance; not a security-failure mechanism present in the baseline.</t>
        </is>
      </c>
      <c r="O712" s="5" t="inlineStr">
        <is>
          <t>recon</t>
        </is>
      </c>
      <c r="P712" s="16" t="inlineStr">
        <is>
          <t>Vulnerability scanning</t>
        </is>
      </c>
      <c r="Q712" s="16" t="inlineStr">
        <is>
          <t>Password Reset Token Module</t>
        </is>
      </c>
      <c r="R712" s="16" t="inlineStr"/>
      <c r="S712" s="5" t="inlineStr">
        <is>
          <t>Confirmed</t>
        </is>
      </c>
    </row>
    <row r="713" ht="16" customHeight="1">
      <c r="A713" s="5" t="inlineStr">
        <is>
          <t>OWASP-S3-F040</t>
        </is>
      </c>
      <c r="B713" s="5" t="inlineStr">
        <is>
          <t>OWASP</t>
        </is>
      </c>
      <c r="C713" s="5" t="inlineStr">
        <is>
          <t>S3</t>
        </is>
      </c>
      <c r="D713" s="21" t="str">
        <f>IFERROR(VLOOKUP($G713,'02_REFERENCE'!$A$2:$S$99,4,FALSE),"N/A")</f>
        <v>Denial of Service</v>
      </c>
      <c r="E713" s="21" t="str">
        <f>IFERROR(VLOOKUP($G713,'02_REFERENCE'!$A$2:$S$99,15,FALSE),"N/A")</f>
        <v>Medium</v>
      </c>
      <c r="F713" s="21" t="str">
        <f>IFERROR(VLOOKUP($G713,'02_REFERENCE'!$A$2:$S$99,17,FALSE),"N/A")</f>
        <v>No</v>
      </c>
      <c r="G713" s="21" t="inlineStr">
        <is>
          <t>S3-RT-031</t>
        </is>
      </c>
      <c r="H713" s="21" t="inlineStr">
        <is>
          <t>Primary TP</t>
        </is>
      </c>
      <c r="I713" s="21" t="inlineStr">
        <is>
          <t>TP</t>
        </is>
      </c>
      <c r="J713" s="21" t="inlineStr">
        <is>
          <t>M</t>
        </is>
      </c>
      <c r="K713" s="21" t="inlineStr">
        <is>
          <t>Y</t>
        </is>
      </c>
      <c r="L713" s="21" t="inlineStr">
        <is>
          <t>No</t>
        </is>
      </c>
      <c r="M713" s="21" t="inlineStr"/>
      <c r="N713" s="22" t="inlineStr">
        <is>
          <t>Resource-exhaustion template (OWASP Automated Threat #15) on the recovery-token module -&gt; high-volume token generation and token-store accumulation -&gt; reference S3-RT-031 (recovery token generation abuse and token store exhaustion).</t>
        </is>
      </c>
      <c r="O713" s="5" t="inlineStr">
        <is>
          <t>token_generation_abuse</t>
        </is>
      </c>
      <c r="P713" s="16" t="inlineStr">
        <is>
          <t>Denial of Service</t>
        </is>
      </c>
      <c r="Q713" s="16" t="inlineStr">
        <is>
          <t>Password Reset Token Module</t>
        </is>
      </c>
      <c r="R713" s="16" t="inlineStr"/>
      <c r="S713" s="5" t="inlineStr">
        <is>
          <t>Confirmed</t>
        </is>
      </c>
    </row>
    <row r="714" ht="16" customHeight="1">
      <c r="A714" s="5" t="inlineStr">
        <is>
          <t>OWASP-S3-F041</t>
        </is>
      </c>
      <c r="B714" s="5" t="inlineStr">
        <is>
          <t>OWASP</t>
        </is>
      </c>
      <c r="C714" s="5" t="inlineStr">
        <is>
          <t>S3</t>
        </is>
      </c>
      <c r="D714" s="21" t="str">
        <f>IFERROR(VLOOKUP($G714,'02_REFERENCE'!$A$2:$S$99,4,FALSE),"N/A")</f>
        <v>N/A</v>
      </c>
      <c r="E714" s="21" t="str">
        <f>IFERROR(VLOOKUP($G714,'02_REFERENCE'!$A$2:$S$99,15,FALSE),"N/A")</f>
        <v>N/A</v>
      </c>
      <c r="F714" s="21" t="str">
        <f>IFERROR(VLOOKUP($G714,'02_REFERENCE'!$A$2:$S$99,17,FALSE),"N/A")</f>
        <v>N/A</v>
      </c>
      <c r="G714" s="21" t="inlineStr"/>
      <c r="H714" s="21" t="inlineStr">
        <is>
          <t>False Positive</t>
        </is>
      </c>
      <c r="I714" s="21" t="inlineStr">
        <is>
          <t>FP</t>
        </is>
      </c>
      <c r="J714" s="21" t="inlineStr">
        <is>
          <t>M</t>
        </is>
      </c>
      <c r="K714" s="21" t="inlineStr">
        <is>
          <t>N</t>
        </is>
      </c>
      <c r="L714" s="21" t="inlineStr">
        <is>
          <t>No</t>
        </is>
      </c>
      <c r="M714" s="21" t="inlineStr"/>
      <c r="N714" s="22" t="inlineStr">
        <is>
          <t>Expedition (OWASP Automated Threat #6): generic automation/abuse-agility template; no single reference mechanism matches (brute force / stuffing are distinct specialist mechanisms).</t>
        </is>
      </c>
      <c r="O714" s="5" t="inlineStr">
        <is>
          <t>expedition</t>
        </is>
      </c>
      <c r="P714" s="16" t="inlineStr">
        <is>
          <t>Expedition</t>
        </is>
      </c>
      <c r="Q714" s="16" t="inlineStr">
        <is>
          <t>P4 AI Account Support Assistant</t>
        </is>
      </c>
      <c r="R714" s="16" t="inlineStr"/>
      <c r="S714" s="5" t="inlineStr">
        <is>
          <t>Confirmed</t>
        </is>
      </c>
    </row>
    <row r="715" ht="16" customHeight="1">
      <c r="A715" s="5" t="inlineStr">
        <is>
          <t>OWASP-S3-F042</t>
        </is>
      </c>
      <c r="B715" s="5" t="inlineStr">
        <is>
          <t>OWASP</t>
        </is>
      </c>
      <c r="C715" s="5" t="inlineStr">
        <is>
          <t>S3</t>
        </is>
      </c>
      <c r="D715" s="21" t="str">
        <f>IFERROR(VLOOKUP($G715,'02_REFERENCE'!$A$2:$S$99,4,FALSE),"N/A")</f>
        <v>N/A</v>
      </c>
      <c r="E715" s="21" t="str">
        <f>IFERROR(VLOOKUP($G715,'02_REFERENCE'!$A$2:$S$99,15,FALSE),"N/A")</f>
        <v>N/A</v>
      </c>
      <c r="F715" s="21" t="str">
        <f>IFERROR(VLOOKUP($G715,'02_REFERENCE'!$A$2:$S$99,17,FALSE),"N/A")</f>
        <v>N/A</v>
      </c>
      <c r="G715" s="21" t="inlineStr"/>
      <c r="H715" s="21" t="inlineStr">
        <is>
          <t>False Positive</t>
        </is>
      </c>
      <c r="I715" s="21" t="inlineStr">
        <is>
          <t>FP</t>
        </is>
      </c>
      <c r="J715" s="21" t="inlineStr">
        <is>
          <t>M</t>
        </is>
      </c>
      <c r="K715" s="21" t="inlineStr">
        <is>
          <t>N</t>
        </is>
      </c>
      <c r="L715" s="21" t="inlineStr">
        <is>
          <t>No</t>
        </is>
      </c>
      <c r="M715" s="21" t="inlineStr"/>
      <c r="N715" s="22" t="inlineStr">
        <is>
          <t>Vulnerability scanning (OWASP Automated Threat #14): reconnaissance; not a security-failure mechanism present in the baseline.</t>
        </is>
      </c>
      <c r="O715" s="5" t="inlineStr">
        <is>
          <t>recon</t>
        </is>
      </c>
      <c r="P715" s="16" t="inlineStr">
        <is>
          <t>Vulnerability scanning</t>
        </is>
      </c>
      <c r="Q715" s="16" t="inlineStr">
        <is>
          <t>P4 AI Account Support Assistant</t>
        </is>
      </c>
      <c r="R715" s="16" t="inlineStr"/>
      <c r="S715" s="5" t="inlineStr">
        <is>
          <t>Confirmed</t>
        </is>
      </c>
    </row>
    <row r="716" ht="16" customHeight="1">
      <c r="A716" s="5" t="inlineStr">
        <is>
          <t>OWASP-S3-F043</t>
        </is>
      </c>
      <c r="B716" s="5" t="inlineStr">
        <is>
          <t>OWASP</t>
        </is>
      </c>
      <c r="C716" s="5" t="inlineStr">
        <is>
          <t>S3</t>
        </is>
      </c>
      <c r="D716" s="21" t="str">
        <f>IFERROR(VLOOKUP($G716,'02_REFERENCE'!$A$2:$S$99,4,FALSE),"N/A")</f>
        <v>Denial of Service</v>
      </c>
      <c r="E716" s="21" t="str">
        <f>IFERROR(VLOOKUP($G716,'02_REFERENCE'!$A$2:$S$99,15,FALSE),"N/A")</f>
        <v>Medium</v>
      </c>
      <c r="F716" s="21" t="str">
        <f>IFERROR(VLOOKUP($G716,'02_REFERENCE'!$A$2:$S$99,17,FALSE),"N/A")</f>
        <v>Yes</v>
      </c>
      <c r="G716" s="21" t="inlineStr">
        <is>
          <t>S3-RT-033</t>
        </is>
      </c>
      <c r="H716" s="21" t="inlineStr">
        <is>
          <t>Primary TP</t>
        </is>
      </c>
      <c r="I716" s="21" t="inlineStr">
        <is>
          <t>TP</t>
        </is>
      </c>
      <c r="J716" s="21" t="inlineStr">
        <is>
          <t>M</t>
        </is>
      </c>
      <c r="K716" s="21" t="inlineStr">
        <is>
          <t>Y</t>
        </is>
      </c>
      <c r="L716" s="21" t="inlineStr">
        <is>
          <t>No</t>
        </is>
      </c>
      <c r="M716" s="21" t="inlineStr"/>
      <c r="N716" s="22" t="inlineStr">
        <is>
          <t>Resource-exhaustion template on the LLM pipeline component -&gt; reference S3-RT-033 (unbounded LLM pipeline consumption).</t>
        </is>
      </c>
      <c r="O716" s="5" t="inlineStr">
        <is>
          <t>llm_consumption</t>
        </is>
      </c>
      <c r="P716" s="16" t="inlineStr">
        <is>
          <t>Denial of Service</t>
        </is>
      </c>
      <c r="Q716" s="16" t="inlineStr">
        <is>
          <t>P4 AI Account Support Assistant</t>
        </is>
      </c>
      <c r="R716" s="16" t="inlineStr"/>
      <c r="S716" s="5" t="inlineStr">
        <is>
          <t>Confirmed</t>
        </is>
      </c>
    </row>
    <row r="717" ht="16" customHeight="1">
      <c r="A717" s="5" t="inlineStr">
        <is>
          <t>OWASP-S3-F044</t>
        </is>
      </c>
      <c r="B717" s="5" t="inlineStr">
        <is>
          <t>OWASP</t>
        </is>
      </c>
      <c r="C717" s="5" t="inlineStr">
        <is>
          <t>S3</t>
        </is>
      </c>
      <c r="D717" s="21" t="str">
        <f>IFERROR(VLOOKUP($G717,'02_REFERENCE'!$A$2:$S$99,4,FALSE),"N/A")</f>
        <v>N/A</v>
      </c>
      <c r="E717" s="21" t="str">
        <f>IFERROR(VLOOKUP($G717,'02_REFERENCE'!$A$2:$S$99,15,FALSE),"N/A")</f>
        <v>N/A</v>
      </c>
      <c r="F717" s="21" t="str">
        <f>IFERROR(VLOOKUP($G717,'02_REFERENCE'!$A$2:$S$99,17,FALSE),"N/A")</f>
        <v>N/A</v>
      </c>
      <c r="G717" s="21" t="inlineStr"/>
      <c r="H717" s="21" t="inlineStr">
        <is>
          <t>False Positive</t>
        </is>
      </c>
      <c r="I717" s="21" t="inlineStr">
        <is>
          <t>FP</t>
        </is>
      </c>
      <c r="J717" s="21" t="inlineStr">
        <is>
          <t>M</t>
        </is>
      </c>
      <c r="K717" s="21" t="inlineStr">
        <is>
          <t>N</t>
        </is>
      </c>
      <c r="L717" s="21" t="inlineStr">
        <is>
          <t>No</t>
        </is>
      </c>
      <c r="M717" s="21" t="inlineStr"/>
      <c r="N717" s="22" t="inlineStr">
        <is>
          <t>Expedition (OWASP Automated Threat #6): generic automation/abuse-agility template; no single reference mechanism matches (brute force / stuffing are distinct specialist mechanisms).</t>
        </is>
      </c>
      <c r="O717" s="5" t="inlineStr">
        <is>
          <t>expedition</t>
        </is>
      </c>
      <c r="P717" s="16" t="inlineStr">
        <is>
          <t>Expedition</t>
        </is>
      </c>
      <c r="Q717" s="16" t="inlineStr">
        <is>
          <t>P5 LLM Integration Service</t>
        </is>
      </c>
      <c r="R717" s="16" t="inlineStr"/>
      <c r="S717" s="5" t="inlineStr">
        <is>
          <t>Confirmed</t>
        </is>
      </c>
    </row>
    <row r="718" ht="16" customHeight="1">
      <c r="A718" s="5" t="inlineStr">
        <is>
          <t>OWASP-S3-F045</t>
        </is>
      </c>
      <c r="B718" s="5" t="inlineStr">
        <is>
          <t>OWASP</t>
        </is>
      </c>
      <c r="C718" s="5" t="inlineStr">
        <is>
          <t>S3</t>
        </is>
      </c>
      <c r="D718" s="21" t="str">
        <f>IFERROR(VLOOKUP($G718,'02_REFERENCE'!$A$2:$S$99,4,FALSE),"N/A")</f>
        <v>N/A</v>
      </c>
      <c r="E718" s="21" t="str">
        <f>IFERROR(VLOOKUP($G718,'02_REFERENCE'!$A$2:$S$99,15,FALSE),"N/A")</f>
        <v>N/A</v>
      </c>
      <c r="F718" s="21" t="str">
        <f>IFERROR(VLOOKUP($G718,'02_REFERENCE'!$A$2:$S$99,17,FALSE),"N/A")</f>
        <v>N/A</v>
      </c>
      <c r="G718" s="21" t="inlineStr"/>
      <c r="H718" s="21" t="inlineStr">
        <is>
          <t>False Positive</t>
        </is>
      </c>
      <c r="I718" s="21" t="inlineStr">
        <is>
          <t>FP</t>
        </is>
      </c>
      <c r="J718" s="21" t="inlineStr">
        <is>
          <t>M</t>
        </is>
      </c>
      <c r="K718" s="21" t="inlineStr">
        <is>
          <t>N</t>
        </is>
      </c>
      <c r="L718" s="21" t="inlineStr">
        <is>
          <t>No</t>
        </is>
      </c>
      <c r="M718" s="21" t="inlineStr"/>
      <c r="N718" s="22" t="inlineStr">
        <is>
          <t>Vulnerability scanning (OWASP Automated Threat #14): reconnaissance; not a security-failure mechanism present in the baseline.</t>
        </is>
      </c>
      <c r="O718" s="5" t="inlineStr">
        <is>
          <t>recon</t>
        </is>
      </c>
      <c r="P718" s="16" t="inlineStr">
        <is>
          <t>Vulnerability scanning</t>
        </is>
      </c>
      <c r="Q718" s="16" t="inlineStr">
        <is>
          <t>P5 LLM Integration Service</t>
        </is>
      </c>
      <c r="R718" s="16" t="inlineStr"/>
      <c r="S718" s="5" t="inlineStr">
        <is>
          <t>Confirmed</t>
        </is>
      </c>
    </row>
    <row r="719" ht="16" customHeight="1">
      <c r="A719" s="5" t="inlineStr">
        <is>
          <t>OWASP-S3-F046</t>
        </is>
      </c>
      <c r="B719" s="5" t="inlineStr">
        <is>
          <t>OWASP</t>
        </is>
      </c>
      <c r="C719" s="5" t="inlineStr">
        <is>
          <t>S3</t>
        </is>
      </c>
      <c r="D719" s="21" t="str">
        <f>IFERROR(VLOOKUP($G719,'02_REFERENCE'!$A$2:$S$99,4,FALSE),"N/A")</f>
        <v>Denial of Service</v>
      </c>
      <c r="E719" s="21" t="str">
        <f>IFERROR(VLOOKUP($G719,'02_REFERENCE'!$A$2:$S$99,15,FALSE),"N/A")</f>
        <v>Medium</v>
      </c>
      <c r="F719" s="21" t="str">
        <f>IFERROR(VLOOKUP($G719,'02_REFERENCE'!$A$2:$S$99,17,FALSE),"N/A")</f>
        <v>Yes</v>
      </c>
      <c r="G719" s="21" t="inlineStr">
        <is>
          <t>S3-RT-033</t>
        </is>
      </c>
      <c r="H719" s="21" t="inlineStr">
        <is>
          <t>Duplicate</t>
        </is>
      </c>
      <c r="I719" s="21" t="inlineStr">
        <is>
          <t>TP</t>
        </is>
      </c>
      <c r="J719" s="21" t="inlineStr">
        <is>
          <t>M</t>
        </is>
      </c>
      <c r="K719" s="21" t="inlineStr">
        <is>
          <t>N</t>
        </is>
      </c>
      <c r="L719" s="21" t="inlineStr">
        <is>
          <t>Yes</t>
        </is>
      </c>
      <c r="M719" s="21" t="inlineStr">
        <is>
          <t>OWASP-S3-F043</t>
        </is>
      </c>
      <c r="N719" s="22" t="inlineStr">
        <is>
          <t>Resource-exhaustion template on the LLM pipeline component -&gt; reference S3-RT-033 (unbounded LLM pipeline consumption). [Equivalence: restates OWASP-S3-F043 — one-to-one rule applied.]</t>
        </is>
      </c>
      <c r="O719" s="5" t="inlineStr">
        <is>
          <t>llm_consumption</t>
        </is>
      </c>
      <c r="P719" s="16" t="inlineStr">
        <is>
          <t>Denial of Service</t>
        </is>
      </c>
      <c r="Q719" s="16" t="inlineStr">
        <is>
          <t>P5 LLM Integration Service</t>
        </is>
      </c>
      <c r="R719" s="16" t="inlineStr"/>
      <c r="S719" s="5" t="inlineStr">
        <is>
          <t>Confirmed</t>
        </is>
      </c>
    </row>
    <row r="720" ht="16" customHeight="1">
      <c r="A720" s="5" t="inlineStr">
        <is>
          <t>TMT-S3-F001</t>
        </is>
      </c>
      <c r="B720" s="5" t="inlineStr">
        <is>
          <t>TMT</t>
        </is>
      </c>
      <c r="C720" s="5" t="inlineStr">
        <is>
          <t>S3</t>
        </is>
      </c>
      <c r="D720" s="21" t="str">
        <f>IFERROR(VLOOKUP($G720,'02_REFERENCE'!$A$2:$S$99,4,FALSE),"N/A")</f>
        <v>N/A</v>
      </c>
      <c r="E720" s="21" t="str">
        <f>IFERROR(VLOOKUP($G720,'02_REFERENCE'!$A$2:$S$99,15,FALSE),"N/A")</f>
        <v>N/A</v>
      </c>
      <c r="F720" s="21" t="str">
        <f>IFERROR(VLOOKUP($G720,'02_REFERENCE'!$A$2:$S$99,17,FALSE),"N/A")</f>
        <v>N/A</v>
      </c>
      <c r="G720" s="21" t="inlineStr"/>
      <c r="H720" s="21" t="inlineStr">
        <is>
          <t>False Positive</t>
        </is>
      </c>
      <c r="I720" s="21" t="inlineStr">
        <is>
          <t>FP</t>
        </is>
      </c>
      <c r="J720" s="21" t="inlineStr">
        <is>
          <t>M</t>
        </is>
      </c>
      <c r="K720" s="21" t="inlineStr">
        <is>
          <t>N</t>
        </is>
      </c>
      <c r="L720" s="21" t="inlineStr">
        <is>
          <t>No</t>
        </is>
      </c>
      <c r="M720" s="21" t="inlineStr"/>
      <c r="N720" s="22" t="inlineStr">
        <is>
          <t>Process-identity spoofing / memory-integrity template; no reference mechanism (authentication bypass RT-004 is logic-based, not process-spoofing).</t>
        </is>
      </c>
      <c r="O720" s="5" t="inlineStr"/>
      <c r="P720" s="16" t="inlineStr">
        <is>
          <t>EE1 Registered User (Browser) Process Memory Tampered</t>
        </is>
      </c>
      <c r="Q720" s="16" t="inlineStr">
        <is>
          <t>Diagram 1</t>
        </is>
      </c>
      <c r="R720" s="16" t="inlineStr">
        <is>
          <t>Password reset request</t>
        </is>
      </c>
      <c r="S720" s="5" t="inlineStr">
        <is>
          <t>Confirmed</t>
        </is>
      </c>
    </row>
    <row r="721" ht="16" customHeight="1">
      <c r="A721" s="5" t="inlineStr">
        <is>
          <t>TMT-S3-F002</t>
        </is>
      </c>
      <c r="B721" s="5" t="inlineStr">
        <is>
          <t>TMT</t>
        </is>
      </c>
      <c r="C721" s="5" t="inlineStr">
        <is>
          <t>S3</t>
        </is>
      </c>
      <c r="D721" s="21" t="str">
        <f>IFERROR(VLOOKUP($G721,'02_REFERENCE'!$A$2:$S$99,4,FALSE),"N/A")</f>
        <v>Tampering</v>
      </c>
      <c r="E721" s="21" t="str">
        <f>IFERROR(VLOOKUP($G721,'02_REFERENCE'!$A$2:$S$99,15,FALSE),"N/A")</f>
        <v>High</v>
      </c>
      <c r="F721" s="21" t="str">
        <f>IFERROR(VLOOKUP($G721,'02_REFERENCE'!$A$2:$S$99,17,FALSE),"N/A")</f>
        <v>No</v>
      </c>
      <c r="G721" s="21" t="inlineStr">
        <is>
          <t>S3-RT-013</t>
        </is>
      </c>
      <c r="H721" s="21" t="inlineStr">
        <is>
          <t>Primary TP</t>
        </is>
      </c>
      <c r="I721" s="21" t="inlineStr">
        <is>
          <t>TP</t>
        </is>
      </c>
      <c r="J721" s="21" t="inlineStr">
        <is>
          <t>M</t>
        </is>
      </c>
      <c r="K721" s="21" t="inlineStr">
        <is>
          <t>Y</t>
        </is>
      </c>
      <c r="L721" s="21" t="inlineStr">
        <is>
          <t>No</t>
        </is>
      </c>
      <c r="M721" s="21" t="inlineStr"/>
      <c r="N721" s="22" t="inlineStr">
        <is>
          <t>XSS on a user/API data flow -&gt; stored/reflected active content from user, profile and recovery data in the client context -&gt; reference S3-RT-013.</t>
        </is>
      </c>
      <c r="O721" s="5" t="inlineStr">
        <is>
          <t>stored_active_content</t>
        </is>
      </c>
      <c r="P721" s="16" t="inlineStr">
        <is>
          <t>Cross Site Scripting</t>
        </is>
      </c>
      <c r="Q721" s="16" t="inlineStr">
        <is>
          <t>Diagram 1</t>
        </is>
      </c>
      <c r="R721" s="16" t="inlineStr">
        <is>
          <t>Password reset request</t>
        </is>
      </c>
      <c r="S721" s="5" t="inlineStr">
        <is>
          <t>Confirmed</t>
        </is>
      </c>
    </row>
    <row r="722" ht="16" customHeight="1">
      <c r="A722" s="5" t="inlineStr">
        <is>
          <t>TMT-S3-F003</t>
        </is>
      </c>
      <c r="B722" s="5" t="inlineStr">
        <is>
          <t>TMT</t>
        </is>
      </c>
      <c r="C722" s="5" t="inlineStr">
        <is>
          <t>S3</t>
        </is>
      </c>
      <c r="D722" s="21" t="str">
        <f>IFERROR(VLOOKUP($G722,'02_REFERENCE'!$A$2:$S$99,4,FALSE),"N/A")</f>
        <v>N/A</v>
      </c>
      <c r="E722" s="21" t="str">
        <f>IFERROR(VLOOKUP($G722,'02_REFERENCE'!$A$2:$S$99,15,FALSE),"N/A")</f>
        <v>N/A</v>
      </c>
      <c r="F722" s="21" t="str">
        <f>IFERROR(VLOOKUP($G722,'02_REFERENCE'!$A$2:$S$99,17,FALSE),"N/A")</f>
        <v>N/A</v>
      </c>
      <c r="G722" s="21" t="inlineStr"/>
      <c r="H722" s="21" t="inlineStr">
        <is>
          <t>False Positive</t>
        </is>
      </c>
      <c r="I722" s="21" t="inlineStr">
        <is>
          <t>FP</t>
        </is>
      </c>
      <c r="J722" s="21" t="inlineStr">
        <is>
          <t>M</t>
        </is>
      </c>
      <c r="K722" s="21" t="inlineStr">
        <is>
          <t>N</t>
        </is>
      </c>
      <c r="L722" s="21" t="inlineStr">
        <is>
          <t>No</t>
        </is>
      </c>
      <c r="M722" s="21" t="inlineStr"/>
      <c r="N722" s="22" t="inlineStr">
        <is>
          <t>Process-identity spoofing / memory-integrity template; no reference mechanism (authentication bypass RT-004 is logic-based, not process-spoofing).</t>
        </is>
      </c>
      <c r="O722" s="5" t="inlineStr"/>
      <c r="P722" s="16" t="inlineStr">
        <is>
          <t>Elevation Using Impersonation</t>
        </is>
      </c>
      <c r="Q722" s="16" t="inlineStr">
        <is>
          <t>Diagram 1</t>
        </is>
      </c>
      <c r="R722" s="16" t="inlineStr">
        <is>
          <t>Password reset request</t>
        </is>
      </c>
      <c r="S722" s="5" t="inlineStr">
        <is>
          <t>Confirmed</t>
        </is>
      </c>
    </row>
    <row r="723" ht="16" customHeight="1">
      <c r="A723" s="5" t="inlineStr">
        <is>
          <t>TMT-S3-F004</t>
        </is>
      </c>
      <c r="B723" s="5" t="inlineStr">
        <is>
          <t>TMT</t>
        </is>
      </c>
      <c r="C723" s="5" t="inlineStr">
        <is>
          <t>S3</t>
        </is>
      </c>
      <c r="D723" s="21" t="str">
        <f>IFERROR(VLOOKUP($G723,'02_REFERENCE'!$A$2:$S$99,4,FALSE),"N/A")</f>
        <v>N/A</v>
      </c>
      <c r="E723" s="21" t="str">
        <f>IFERROR(VLOOKUP($G723,'02_REFERENCE'!$A$2:$S$99,15,FALSE),"N/A")</f>
        <v>N/A</v>
      </c>
      <c r="F723" s="21" t="str">
        <f>IFERROR(VLOOKUP($G723,'02_REFERENCE'!$A$2:$S$99,17,FALSE),"N/A")</f>
        <v>N/A</v>
      </c>
      <c r="G723" s="21" t="inlineStr"/>
      <c r="H723" s="21" t="inlineStr">
        <is>
          <t>False Positive</t>
        </is>
      </c>
      <c r="I723" s="21" t="inlineStr">
        <is>
          <t>FP</t>
        </is>
      </c>
      <c r="J723" s="21" t="inlineStr">
        <is>
          <t>M</t>
        </is>
      </c>
      <c r="K723" s="21" t="inlineStr">
        <is>
          <t>N</t>
        </is>
      </c>
      <c r="L723" s="21" t="inlineStr">
        <is>
          <t>No</t>
        </is>
      </c>
      <c r="M723" s="21" t="inlineStr"/>
      <c r="N723" s="22" t="inlineStr">
        <is>
          <t>Process-identity spoofing / memory-integrity template; no reference mechanism (authentication bypass RT-004 is logic-based, not process-spoofing).</t>
        </is>
      </c>
      <c r="O723" s="5" t="inlineStr"/>
      <c r="P723" s="16" t="inlineStr">
        <is>
          <t>P1 Web Frontend Interface Process Memory Tampered</t>
        </is>
      </c>
      <c r="Q723" s="16" t="inlineStr">
        <is>
          <t>Diagram 1</t>
        </is>
      </c>
      <c r="R723" s="16" t="inlineStr">
        <is>
          <t>forwarded password reset request</t>
        </is>
      </c>
      <c r="S723" s="5" t="inlineStr">
        <is>
          <t>Confirmed</t>
        </is>
      </c>
    </row>
    <row r="724" ht="16" customHeight="1">
      <c r="A724" s="5" t="inlineStr">
        <is>
          <t>TMT-S3-F005</t>
        </is>
      </c>
      <c r="B724" s="5" t="inlineStr">
        <is>
          <t>TMT</t>
        </is>
      </c>
      <c r="C724" s="5" t="inlineStr">
        <is>
          <t>S3</t>
        </is>
      </c>
      <c r="D724" s="21" t="str">
        <f>IFERROR(VLOOKUP($G724,'02_REFERENCE'!$A$2:$S$99,4,FALSE),"N/A")</f>
        <v>N/A</v>
      </c>
      <c r="E724" s="21" t="str">
        <f>IFERROR(VLOOKUP($G724,'02_REFERENCE'!$A$2:$S$99,15,FALSE),"N/A")</f>
        <v>N/A</v>
      </c>
      <c r="F724" s="21" t="str">
        <f>IFERROR(VLOOKUP($G724,'02_REFERENCE'!$A$2:$S$99,17,FALSE),"N/A")</f>
        <v>N/A</v>
      </c>
      <c r="G724" s="21" t="inlineStr"/>
      <c r="H724" s="21" t="inlineStr">
        <is>
          <t>False Positive</t>
        </is>
      </c>
      <c r="I724" s="21" t="inlineStr">
        <is>
          <t>FP</t>
        </is>
      </c>
      <c r="J724" s="21" t="inlineStr">
        <is>
          <t>M</t>
        </is>
      </c>
      <c r="K724" s="21" t="inlineStr">
        <is>
          <t>N</t>
        </is>
      </c>
      <c r="L724" s="21" t="inlineStr">
        <is>
          <t>No</t>
        </is>
      </c>
      <c r="M724" s="21" t="inlineStr"/>
      <c r="N724" s="22" t="inlineStr">
        <is>
          <t>Process-identity spoofing / memory-integrity template; no reference mechanism (authentication bypass RT-004 is logic-based, not process-spoofing).</t>
        </is>
      </c>
      <c r="O724" s="5" t="inlineStr"/>
      <c r="P724" s="16" t="inlineStr">
        <is>
          <t>Elevation Using Impersonation</t>
        </is>
      </c>
      <c r="Q724" s="16" t="inlineStr">
        <is>
          <t>Diagram 1</t>
        </is>
      </c>
      <c r="R724" s="16" t="inlineStr">
        <is>
          <t>forwarded password reset request</t>
        </is>
      </c>
      <c r="S724" s="5" t="inlineStr">
        <is>
          <t>Confirmed</t>
        </is>
      </c>
    </row>
    <row r="725" ht="16" customHeight="1">
      <c r="A725" s="5" t="inlineStr">
        <is>
          <t>TMT-S3-F006</t>
        </is>
      </c>
      <c r="B725" s="5" t="inlineStr">
        <is>
          <t>TMT</t>
        </is>
      </c>
      <c r="C725" s="5" t="inlineStr">
        <is>
          <t>S3</t>
        </is>
      </c>
      <c r="D725" s="21" t="str">
        <f>IFERROR(VLOOKUP($G725,'02_REFERENCE'!$A$2:$S$99,4,FALSE),"N/A")</f>
        <v>N/A</v>
      </c>
      <c r="E725" s="21" t="str">
        <f>IFERROR(VLOOKUP($G725,'02_REFERENCE'!$A$2:$S$99,15,FALSE),"N/A")</f>
        <v>N/A</v>
      </c>
      <c r="F725" s="21" t="str">
        <f>IFERROR(VLOOKUP($G725,'02_REFERENCE'!$A$2:$S$99,17,FALSE),"N/A")</f>
        <v>N/A</v>
      </c>
      <c r="G725" s="21" t="inlineStr"/>
      <c r="H725" s="21" t="inlineStr">
        <is>
          <t>False Positive</t>
        </is>
      </c>
      <c r="I725" s="21" t="inlineStr">
        <is>
          <t>FP</t>
        </is>
      </c>
      <c r="J725" s="21" t="inlineStr">
        <is>
          <t>M</t>
        </is>
      </c>
      <c r="K725" s="21" t="inlineStr">
        <is>
          <t>N</t>
        </is>
      </c>
      <c r="L725" s="21" t="inlineStr">
        <is>
          <t>No</t>
        </is>
      </c>
      <c r="M725" s="21" t="inlineStr"/>
      <c r="N725" s="22" t="inlineStr">
        <is>
          <t>Process-identity spoofing / memory-integrity template; no reference mechanism (authentication bypass RT-004 is logic-based, not process-spoofing).</t>
        </is>
      </c>
      <c r="O725" s="5" t="inlineStr"/>
      <c r="P725" s="16" t="inlineStr">
        <is>
          <t>Spoofing of Destination Data Store DS1 Backend User Database</t>
        </is>
      </c>
      <c r="Q725" s="16" t="inlineStr">
        <is>
          <t>Diagram 1</t>
        </is>
      </c>
      <c r="R725" s="16" t="inlineStr">
        <is>
          <t>user account verification query</t>
        </is>
      </c>
      <c r="S725" s="5" t="inlineStr">
        <is>
          <t>Confirmed</t>
        </is>
      </c>
    </row>
    <row r="726" ht="16" customHeight="1">
      <c r="A726" s="5" t="inlineStr">
        <is>
          <t>TMT-S3-F007</t>
        </is>
      </c>
      <c r="B726" s="5" t="inlineStr">
        <is>
          <t>TMT</t>
        </is>
      </c>
      <c r="C726" s="5" t="inlineStr">
        <is>
          <t>S3</t>
        </is>
      </c>
      <c r="D726" s="21" t="str">
        <f>IFERROR(VLOOKUP($G726,'02_REFERENCE'!$A$2:$S$99,4,FALSE),"N/A")</f>
        <v>Denial of Service</v>
      </c>
      <c r="E726" s="21" t="str">
        <f>IFERROR(VLOOKUP($G726,'02_REFERENCE'!$A$2:$S$99,15,FALSE),"N/A")</f>
        <v>High</v>
      </c>
      <c r="F726" s="21" t="str">
        <f>IFERROR(VLOOKUP($G726,'02_REFERENCE'!$A$2:$S$99,17,FALSE),"N/A")</f>
        <v>No</v>
      </c>
      <c r="G726" s="21" t="inlineStr">
        <is>
          <t>S3-RT-030</t>
        </is>
      </c>
      <c r="H726" s="21" t="inlineStr">
        <is>
          <t>Primary TP</t>
        </is>
      </c>
      <c r="I726" s="21" t="inlineStr">
        <is>
          <t>TP</t>
        </is>
      </c>
      <c r="J726" s="21" t="inlineStr">
        <is>
          <t>M</t>
        </is>
      </c>
      <c r="K726" s="21" t="inlineStr">
        <is>
          <t>Y</t>
        </is>
      </c>
      <c r="L726" s="21" t="inlineStr">
        <is>
          <t>No</t>
        </is>
      </c>
      <c r="M726" s="21" t="inlineStr"/>
      <c r="N726" s="22" t="inlineStr">
        <is>
          <t>Excessive resource consumption of the primary service -&gt; reference S3-RT-030.</t>
        </is>
      </c>
      <c r="O726" s="5" t="inlineStr">
        <is>
          <t>dos_service</t>
        </is>
      </c>
      <c r="P726" s="16" t="inlineStr">
        <is>
          <t>Potential Excessive Resource Consumption for P2 Account Management Service or DS1 Backend User Database</t>
        </is>
      </c>
      <c r="Q726" s="16" t="inlineStr">
        <is>
          <t>Diagram 1</t>
        </is>
      </c>
      <c r="R726" s="16" t="inlineStr">
        <is>
          <t>user account verification query</t>
        </is>
      </c>
      <c r="S726" s="5" t="inlineStr">
        <is>
          <t>Confirmed</t>
        </is>
      </c>
    </row>
    <row r="727" ht="16" customHeight="1">
      <c r="A727" s="5" t="inlineStr">
        <is>
          <t>TMT-S3-F008</t>
        </is>
      </c>
      <c r="B727" s="5" t="inlineStr">
        <is>
          <t>TMT</t>
        </is>
      </c>
      <c r="C727" s="5" t="inlineStr">
        <is>
          <t>S3</t>
        </is>
      </c>
      <c r="D727" s="21" t="str">
        <f>IFERROR(VLOOKUP($G727,'02_REFERENCE'!$A$2:$S$99,4,FALSE),"N/A")</f>
        <v>N/A</v>
      </c>
      <c r="E727" s="21" t="str">
        <f>IFERROR(VLOOKUP($G727,'02_REFERENCE'!$A$2:$S$99,15,FALSE),"N/A")</f>
        <v>N/A</v>
      </c>
      <c r="F727" s="21" t="str">
        <f>IFERROR(VLOOKUP($G727,'02_REFERENCE'!$A$2:$S$99,17,FALSE),"N/A")</f>
        <v>N/A</v>
      </c>
      <c r="G727" s="21" t="inlineStr"/>
      <c r="H727" s="21" t="inlineStr">
        <is>
          <t>False Positive</t>
        </is>
      </c>
      <c r="I727" s="21" t="inlineStr">
        <is>
          <t>FP</t>
        </is>
      </c>
      <c r="J727" s="21" t="inlineStr">
        <is>
          <t>M</t>
        </is>
      </c>
      <c r="K727" s="21" t="inlineStr">
        <is>
          <t>N</t>
        </is>
      </c>
      <c r="L727" s="21" t="inlineStr">
        <is>
          <t>No</t>
        </is>
      </c>
      <c r="M727" s="21" t="inlineStr"/>
      <c r="N727" s="22" t="inlineStr">
        <is>
          <t>Process-identity spoofing / memory-integrity template; no reference mechanism (authentication bypass RT-004 is logic-based, not process-spoofing).</t>
        </is>
      </c>
      <c r="O727" s="5" t="inlineStr"/>
      <c r="P727" s="16" t="inlineStr">
        <is>
          <t>P2 Account Management Service Process Memory Tampered</t>
        </is>
      </c>
      <c r="Q727" s="16" t="inlineStr">
        <is>
          <t>Diagram 1</t>
        </is>
      </c>
      <c r="R727" s="16" t="inlineStr">
        <is>
          <t>token generation request</t>
        </is>
      </c>
      <c r="S727" s="5" t="inlineStr">
        <is>
          <t>Confirmed</t>
        </is>
      </c>
    </row>
    <row r="728" ht="16" customHeight="1">
      <c r="A728" s="5" t="inlineStr">
        <is>
          <t>TMT-S3-F009</t>
        </is>
      </c>
      <c r="B728" s="5" t="inlineStr">
        <is>
          <t>TMT</t>
        </is>
      </c>
      <c r="C728" s="5" t="inlineStr">
        <is>
          <t>S3</t>
        </is>
      </c>
      <c r="D728" s="21" t="str">
        <f>IFERROR(VLOOKUP($G728,'02_REFERENCE'!$A$2:$S$99,4,FALSE),"N/A")</f>
        <v>N/A</v>
      </c>
      <c r="E728" s="21" t="str">
        <f>IFERROR(VLOOKUP($G728,'02_REFERENCE'!$A$2:$S$99,15,FALSE),"N/A")</f>
        <v>N/A</v>
      </c>
      <c r="F728" s="21" t="str">
        <f>IFERROR(VLOOKUP($G728,'02_REFERENCE'!$A$2:$S$99,17,FALSE),"N/A")</f>
        <v>N/A</v>
      </c>
      <c r="G728" s="21" t="inlineStr"/>
      <c r="H728" s="21" t="inlineStr">
        <is>
          <t>False Positive</t>
        </is>
      </c>
      <c r="I728" s="21" t="inlineStr">
        <is>
          <t>FP</t>
        </is>
      </c>
      <c r="J728" s="21" t="inlineStr">
        <is>
          <t>M</t>
        </is>
      </c>
      <c r="K728" s="21" t="inlineStr">
        <is>
          <t>N</t>
        </is>
      </c>
      <c r="L728" s="21" t="inlineStr">
        <is>
          <t>No</t>
        </is>
      </c>
      <c r="M728" s="21" t="inlineStr"/>
      <c r="N728" s="22" t="inlineStr">
        <is>
          <t>Process-identity spoofing / memory-integrity template; no reference mechanism (authentication bypass RT-004 is logic-based, not process-spoofing).</t>
        </is>
      </c>
      <c r="O728" s="5" t="inlineStr"/>
      <c r="P728" s="16" t="inlineStr">
        <is>
          <t>Elevation Using Impersonation</t>
        </is>
      </c>
      <c r="Q728" s="16" t="inlineStr">
        <is>
          <t>Diagram 1</t>
        </is>
      </c>
      <c r="R728" s="16" t="inlineStr">
        <is>
          <t>token generation request</t>
        </is>
      </c>
      <c r="S728" s="5" t="inlineStr">
        <is>
          <t>Confirmed</t>
        </is>
      </c>
    </row>
    <row r="729" ht="16" customHeight="1">
      <c r="A729" s="5" t="inlineStr">
        <is>
          <t>TMT-S3-F010</t>
        </is>
      </c>
      <c r="B729" s="5" t="inlineStr">
        <is>
          <t>TMT</t>
        </is>
      </c>
      <c r="C729" s="5" t="inlineStr">
        <is>
          <t>S3</t>
        </is>
      </c>
      <c r="D729" s="21" t="str">
        <f>IFERROR(VLOOKUP($G729,'02_REFERENCE'!$A$2:$S$99,4,FALSE),"N/A")</f>
        <v>Spoofing</v>
      </c>
      <c r="E729" s="21" t="str">
        <f>IFERROR(VLOOKUP($G729,'02_REFERENCE'!$A$2:$S$99,15,FALSE),"N/A")</f>
        <v>High</v>
      </c>
      <c r="F729" s="21" t="str">
        <f>IFERROR(VLOOKUP($G729,'02_REFERENCE'!$A$2:$S$99,17,FALSE),"N/A")</f>
        <v>No</v>
      </c>
      <c r="G729" s="21" t="inlineStr">
        <is>
          <t>S3-RT-003</t>
        </is>
      </c>
      <c r="H729" s="21" t="inlineStr">
        <is>
          <t>Primary TP</t>
        </is>
      </c>
      <c r="I729" s="21" t="inlineStr">
        <is>
          <t>TP</t>
        </is>
      </c>
      <c r="J729" s="21" t="inlineStr">
        <is>
          <t>M</t>
        </is>
      </c>
      <c r="K729" s="21" t="inlineStr">
        <is>
          <t>Y</t>
        </is>
      </c>
      <c r="L729" s="21" t="inlineStr">
        <is>
          <t>No</t>
        </is>
      </c>
      <c r="M729" s="21" t="inlineStr"/>
      <c r="N729" s="22" t="inlineStr">
        <is>
          <t>Spoofing of the external communication channel on the recovery-token flow -&gt; token delivered to the attacker instead of the user -&gt; reference S3-RT-003 (recovery token theft at the user boundary).</t>
        </is>
      </c>
      <c r="O729" s="5" t="inlineStr">
        <is>
          <t>transit_token</t>
        </is>
      </c>
      <c r="P729" s="16" t="inlineStr">
        <is>
          <t>Spoofing the External communication channel External Entity</t>
        </is>
      </c>
      <c r="Q729" s="16" t="inlineStr">
        <is>
          <t>Diagram 1</t>
        </is>
      </c>
      <c r="R729" s="16" t="inlineStr">
        <is>
          <t>password reset token</t>
        </is>
      </c>
      <c r="S729" s="5" t="inlineStr">
        <is>
          <t>Confirmed</t>
        </is>
      </c>
    </row>
    <row r="730" ht="16" customHeight="1">
      <c r="A730" s="5" t="inlineStr">
        <is>
          <t>TMT-S3-F011</t>
        </is>
      </c>
      <c r="B730" s="5" t="inlineStr">
        <is>
          <t>TMT</t>
        </is>
      </c>
      <c r="C730" s="5" t="inlineStr">
        <is>
          <t>S3</t>
        </is>
      </c>
      <c r="D730" s="21" t="str">
        <f>IFERROR(VLOOKUP($G730,'02_REFERENCE'!$A$2:$S$99,4,FALSE),"N/A")</f>
        <v>N/A</v>
      </c>
      <c r="E730" s="21" t="str">
        <f>IFERROR(VLOOKUP($G730,'02_REFERENCE'!$A$2:$S$99,15,FALSE),"N/A")</f>
        <v>N/A</v>
      </c>
      <c r="F730" s="21" t="str">
        <f>IFERROR(VLOOKUP($G730,'02_REFERENCE'!$A$2:$S$99,17,FALSE),"N/A")</f>
        <v>N/A</v>
      </c>
      <c r="G730" s="21" t="inlineStr"/>
      <c r="H730" s="21" t="inlineStr">
        <is>
          <t>False Positive</t>
        </is>
      </c>
      <c r="I730" s="21" t="inlineStr">
        <is>
          <t>FP</t>
        </is>
      </c>
      <c r="J730" s="21" t="inlineStr">
        <is>
          <t>M</t>
        </is>
      </c>
      <c r="K730" s="21" t="inlineStr">
        <is>
          <t>N</t>
        </is>
      </c>
      <c r="L730" s="21" t="inlineStr">
        <is>
          <t>No</t>
        </is>
      </c>
      <c r="M730" s="21" t="inlineStr"/>
      <c r="N730" s="22" t="inlineStr">
        <is>
          <t>Process-identity spoofing / memory-integrity template; no reference mechanism (authentication bypass RT-004 is logic-based, not process-spoofing).</t>
        </is>
      </c>
      <c r="O730" s="5" t="inlineStr"/>
      <c r="P730" s="16" t="inlineStr">
        <is>
          <t>Elevation Using Impersonation</t>
        </is>
      </c>
      <c r="Q730" s="16" t="inlineStr">
        <is>
          <t>Diagram 1</t>
        </is>
      </c>
      <c r="R730" s="16" t="inlineStr">
        <is>
          <t>password reset token</t>
        </is>
      </c>
      <c r="S730" s="5" t="inlineStr">
        <is>
          <t>Confirmed</t>
        </is>
      </c>
    </row>
    <row r="731" ht="16" customHeight="1">
      <c r="A731" s="5" t="inlineStr">
        <is>
          <t>TMT-S3-F012</t>
        </is>
      </c>
      <c r="B731" s="5" t="inlineStr">
        <is>
          <t>TMT</t>
        </is>
      </c>
      <c r="C731" s="5" t="inlineStr">
        <is>
          <t>S3</t>
        </is>
      </c>
      <c r="D731" s="21" t="str">
        <f>IFERROR(VLOOKUP($G731,'02_REFERENCE'!$A$2:$S$99,4,FALSE),"N/A")</f>
        <v>N/A</v>
      </c>
      <c r="E731" s="21" t="str">
        <f>IFERROR(VLOOKUP($G731,'02_REFERENCE'!$A$2:$S$99,15,FALSE),"N/A")</f>
        <v>N/A</v>
      </c>
      <c r="F731" s="21" t="str">
        <f>IFERROR(VLOOKUP($G731,'02_REFERENCE'!$A$2:$S$99,17,FALSE),"N/A")</f>
        <v>N/A</v>
      </c>
      <c r="G731" s="21" t="inlineStr"/>
      <c r="H731" s="21" t="inlineStr">
        <is>
          <t>False Positive</t>
        </is>
      </c>
      <c r="I731" s="21" t="inlineStr">
        <is>
          <t>FP</t>
        </is>
      </c>
      <c r="J731" s="21" t="inlineStr">
        <is>
          <t>M</t>
        </is>
      </c>
      <c r="K731" s="21" t="inlineStr">
        <is>
          <t>N</t>
        </is>
      </c>
      <c r="L731" s="21" t="inlineStr">
        <is>
          <t>No</t>
        </is>
      </c>
      <c r="M731" s="21" t="inlineStr"/>
      <c r="N731" s="22" t="inlineStr">
        <is>
          <t>Process-identity spoofing / memory-integrity template; no reference mechanism (authentication bypass RT-004 is logic-based, not process-spoofing).</t>
        </is>
      </c>
      <c r="O731" s="5" t="inlineStr"/>
      <c r="P731" s="16" t="inlineStr">
        <is>
          <t>EE1 Registered User (Browser) Process Memory Tampered</t>
        </is>
      </c>
      <c r="Q731" s="16" t="inlineStr">
        <is>
          <t>Diagram 1</t>
        </is>
      </c>
      <c r="R731" s="16" t="inlineStr">
        <is>
          <t>reset token and new password</t>
        </is>
      </c>
      <c r="S731" s="5" t="inlineStr">
        <is>
          <t>Confirmed</t>
        </is>
      </c>
    </row>
    <row r="732" ht="16" customHeight="1">
      <c r="A732" s="5" t="inlineStr">
        <is>
          <t>TMT-S3-F013</t>
        </is>
      </c>
      <c r="B732" s="5" t="inlineStr">
        <is>
          <t>TMT</t>
        </is>
      </c>
      <c r="C732" s="5" t="inlineStr">
        <is>
          <t>S3</t>
        </is>
      </c>
      <c r="D732" s="21" t="str">
        <f>IFERROR(VLOOKUP($G732,'02_REFERENCE'!$A$2:$S$99,4,FALSE),"N/A")</f>
        <v>Spoofing</v>
      </c>
      <c r="E732" s="21" t="str">
        <f>IFERROR(VLOOKUP($G732,'02_REFERENCE'!$A$2:$S$99,15,FALSE),"N/A")</f>
        <v>High</v>
      </c>
      <c r="F732" s="21" t="str">
        <f>IFERROR(VLOOKUP($G732,'02_REFERENCE'!$A$2:$S$99,17,FALSE),"N/A")</f>
        <v>No</v>
      </c>
      <c r="G732" s="21" t="inlineStr">
        <is>
          <t>S3-RT-003</t>
        </is>
      </c>
      <c r="H732" s="21" t="inlineStr">
        <is>
          <t>Duplicate</t>
        </is>
      </c>
      <c r="I732" s="21" t="inlineStr">
        <is>
          <t>TP</t>
        </is>
      </c>
      <c r="J732" s="21" t="inlineStr">
        <is>
          <t>M</t>
        </is>
      </c>
      <c r="K732" s="21" t="inlineStr">
        <is>
          <t>N</t>
        </is>
      </c>
      <c r="L732" s="21" t="inlineStr">
        <is>
          <t>Yes</t>
        </is>
      </c>
      <c r="M732" s="21" t="inlineStr">
        <is>
          <t>TMT-S3-F010</t>
        </is>
      </c>
      <c r="N732" s="22" t="inlineStr">
        <is>
          <t>XSS on a session/token flow -&gt; client-side token theft at the delivery crossing -&gt; reference S3-RT-003. [Equivalence: restates TMT-S3-F010 — one-to-one rule applied.]</t>
        </is>
      </c>
      <c r="O732" s="5" t="inlineStr">
        <is>
          <t>transit_token</t>
        </is>
      </c>
      <c r="P732" s="16" t="inlineStr">
        <is>
          <t>Cross Site Scripting</t>
        </is>
      </c>
      <c r="Q732" s="16" t="inlineStr">
        <is>
          <t>Diagram 1</t>
        </is>
      </c>
      <c r="R732" s="16" t="inlineStr">
        <is>
          <t>reset token and new password</t>
        </is>
      </c>
      <c r="S732" s="5" t="inlineStr">
        <is>
          <t>Confirmed</t>
        </is>
      </c>
    </row>
    <row r="733" ht="16" customHeight="1">
      <c r="A733" s="5" t="inlineStr">
        <is>
          <t>TMT-S3-F014</t>
        </is>
      </c>
      <c r="B733" s="5" t="inlineStr">
        <is>
          <t>TMT</t>
        </is>
      </c>
      <c r="C733" s="5" t="inlineStr">
        <is>
          <t>S3</t>
        </is>
      </c>
      <c r="D733" s="21" t="str">
        <f>IFERROR(VLOOKUP($G733,'02_REFERENCE'!$A$2:$S$99,4,FALSE),"N/A")</f>
        <v>N/A</v>
      </c>
      <c r="E733" s="21" t="str">
        <f>IFERROR(VLOOKUP($G733,'02_REFERENCE'!$A$2:$S$99,15,FALSE),"N/A")</f>
        <v>N/A</v>
      </c>
      <c r="F733" s="21" t="str">
        <f>IFERROR(VLOOKUP($G733,'02_REFERENCE'!$A$2:$S$99,17,FALSE),"N/A")</f>
        <v>N/A</v>
      </c>
      <c r="G733" s="21" t="inlineStr"/>
      <c r="H733" s="21" t="inlineStr">
        <is>
          <t>False Positive</t>
        </is>
      </c>
      <c r="I733" s="21" t="inlineStr">
        <is>
          <t>FP</t>
        </is>
      </c>
      <c r="J733" s="21" t="inlineStr">
        <is>
          <t>M</t>
        </is>
      </c>
      <c r="K733" s="21" t="inlineStr">
        <is>
          <t>N</t>
        </is>
      </c>
      <c r="L733" s="21" t="inlineStr">
        <is>
          <t>No</t>
        </is>
      </c>
      <c r="M733" s="21" t="inlineStr"/>
      <c r="N733" s="22" t="inlineStr">
        <is>
          <t>Process-identity spoofing / memory-integrity template; no reference mechanism (authentication bypass RT-004 is logic-based, not process-spoofing).</t>
        </is>
      </c>
      <c r="O733" s="5" t="inlineStr"/>
      <c r="P733" s="16" t="inlineStr">
        <is>
          <t>Elevation Using Impersonation</t>
        </is>
      </c>
      <c r="Q733" s="16" t="inlineStr">
        <is>
          <t>Diagram 1</t>
        </is>
      </c>
      <c r="R733" s="16" t="inlineStr">
        <is>
          <t>reset token and new password</t>
        </is>
      </c>
      <c r="S733" s="5" t="inlineStr">
        <is>
          <t>Confirmed</t>
        </is>
      </c>
    </row>
    <row r="734" ht="16" customHeight="1">
      <c r="A734" s="5" t="inlineStr">
        <is>
          <t>TMT-S3-F015</t>
        </is>
      </c>
      <c r="B734" s="5" t="inlineStr">
        <is>
          <t>TMT</t>
        </is>
      </c>
      <c r="C734" s="5" t="inlineStr">
        <is>
          <t>S3</t>
        </is>
      </c>
      <c r="D734" s="21" t="str">
        <f>IFERROR(VLOOKUP($G734,'02_REFERENCE'!$A$2:$S$99,4,FALSE),"N/A")</f>
        <v>N/A</v>
      </c>
      <c r="E734" s="21" t="str">
        <f>IFERROR(VLOOKUP($G734,'02_REFERENCE'!$A$2:$S$99,15,FALSE),"N/A")</f>
        <v>N/A</v>
      </c>
      <c r="F734" s="21" t="str">
        <f>IFERROR(VLOOKUP($G734,'02_REFERENCE'!$A$2:$S$99,17,FALSE),"N/A")</f>
        <v>N/A</v>
      </c>
      <c r="G734" s="21" t="inlineStr"/>
      <c r="H734" s="21" t="inlineStr">
        <is>
          <t>False Positive</t>
        </is>
      </c>
      <c r="I734" s="21" t="inlineStr">
        <is>
          <t>FP</t>
        </is>
      </c>
      <c r="J734" s="21" t="inlineStr">
        <is>
          <t>M</t>
        </is>
      </c>
      <c r="K734" s="21" t="inlineStr">
        <is>
          <t>N</t>
        </is>
      </c>
      <c r="L734" s="21" t="inlineStr">
        <is>
          <t>No</t>
        </is>
      </c>
      <c r="M734" s="21" t="inlineStr"/>
      <c r="N734" s="22" t="inlineStr">
        <is>
          <t>Process-identity spoofing / memory-integrity template; no reference mechanism (authentication bypass RT-004 is logic-based, not process-spoofing).</t>
        </is>
      </c>
      <c r="O734" s="5" t="inlineStr"/>
      <c r="P734" s="16" t="inlineStr">
        <is>
          <t>P1 Web Frontend Interface Process Memory Tampered</t>
        </is>
      </c>
      <c r="Q734" s="16" t="inlineStr">
        <is>
          <t>Diagram 1</t>
        </is>
      </c>
      <c r="R734" s="16" t="inlineStr">
        <is>
          <t>forwarded reset token and new password</t>
        </is>
      </c>
      <c r="S734" s="5" t="inlineStr">
        <is>
          <t>Confirmed</t>
        </is>
      </c>
    </row>
    <row r="735" ht="16" customHeight="1">
      <c r="A735" s="5" t="inlineStr">
        <is>
          <t>TMT-S3-F016</t>
        </is>
      </c>
      <c r="B735" s="5" t="inlineStr">
        <is>
          <t>TMT</t>
        </is>
      </c>
      <c r="C735" s="5" t="inlineStr">
        <is>
          <t>S3</t>
        </is>
      </c>
      <c r="D735" s="21" t="str">
        <f>IFERROR(VLOOKUP($G735,'02_REFERENCE'!$A$2:$S$99,4,FALSE),"N/A")</f>
        <v>N/A</v>
      </c>
      <c r="E735" s="21" t="str">
        <f>IFERROR(VLOOKUP($G735,'02_REFERENCE'!$A$2:$S$99,15,FALSE),"N/A")</f>
        <v>N/A</v>
      </c>
      <c r="F735" s="21" t="str">
        <f>IFERROR(VLOOKUP($G735,'02_REFERENCE'!$A$2:$S$99,17,FALSE),"N/A")</f>
        <v>N/A</v>
      </c>
      <c r="G735" s="21" t="inlineStr"/>
      <c r="H735" s="21" t="inlineStr">
        <is>
          <t>False Positive</t>
        </is>
      </c>
      <c r="I735" s="21" t="inlineStr">
        <is>
          <t>FP</t>
        </is>
      </c>
      <c r="J735" s="21" t="inlineStr">
        <is>
          <t>M</t>
        </is>
      </c>
      <c r="K735" s="21" t="inlineStr">
        <is>
          <t>N</t>
        </is>
      </c>
      <c r="L735" s="21" t="inlineStr">
        <is>
          <t>No</t>
        </is>
      </c>
      <c r="M735" s="21" t="inlineStr"/>
      <c r="N735" s="22" t="inlineStr">
        <is>
          <t>Process-identity spoofing / memory-integrity template; no reference mechanism (authentication bypass RT-004 is logic-based, not process-spoofing).</t>
        </is>
      </c>
      <c r="O735" s="5" t="inlineStr"/>
      <c r="P735" s="16" t="inlineStr">
        <is>
          <t>Elevation Using Impersonation</t>
        </is>
      </c>
      <c r="Q735" s="16" t="inlineStr">
        <is>
          <t>Diagram 1</t>
        </is>
      </c>
      <c r="R735" s="16" t="inlineStr">
        <is>
          <t>forwarded reset token and new password</t>
        </is>
      </c>
      <c r="S735" s="5" t="inlineStr">
        <is>
          <t>Confirmed</t>
        </is>
      </c>
    </row>
    <row r="736" ht="16" customHeight="1">
      <c r="A736" s="5" t="inlineStr">
        <is>
          <t>TMT-S3-F017</t>
        </is>
      </c>
      <c r="B736" s="5" t="inlineStr">
        <is>
          <t>TMT</t>
        </is>
      </c>
      <c r="C736" s="5" t="inlineStr">
        <is>
          <t>S3</t>
        </is>
      </c>
      <c r="D736" s="21" t="str">
        <f>IFERROR(VLOOKUP($G736,'02_REFERENCE'!$A$2:$S$99,4,FALSE),"N/A")</f>
        <v>N/A</v>
      </c>
      <c r="E736" s="21" t="str">
        <f>IFERROR(VLOOKUP($G736,'02_REFERENCE'!$A$2:$S$99,15,FALSE),"N/A")</f>
        <v>N/A</v>
      </c>
      <c r="F736" s="21" t="str">
        <f>IFERROR(VLOOKUP($G736,'02_REFERENCE'!$A$2:$S$99,17,FALSE),"N/A")</f>
        <v>N/A</v>
      </c>
      <c r="G736" s="21" t="inlineStr"/>
      <c r="H736" s="21" t="inlineStr">
        <is>
          <t>False Positive</t>
        </is>
      </c>
      <c r="I736" s="21" t="inlineStr">
        <is>
          <t>FP</t>
        </is>
      </c>
      <c r="J736" s="21" t="inlineStr">
        <is>
          <t>M</t>
        </is>
      </c>
      <c r="K736" s="21" t="inlineStr">
        <is>
          <t>N</t>
        </is>
      </c>
      <c r="L736" s="21" t="inlineStr">
        <is>
          <t>No</t>
        </is>
      </c>
      <c r="M736" s="21" t="inlineStr"/>
      <c r="N736" s="22" t="inlineStr">
        <is>
          <t>Process-identity spoofing / memory-integrity template; no reference mechanism (authentication bypass RT-004 is logic-based, not process-spoofing).</t>
        </is>
      </c>
      <c r="O736" s="5" t="inlineStr"/>
      <c r="P736" s="16" t="inlineStr">
        <is>
          <t>EE1 Registered User (Browser) Process Memory Tampered</t>
        </is>
      </c>
      <c r="Q736" s="16" t="inlineStr">
        <is>
          <t>Diagram 1</t>
        </is>
      </c>
      <c r="R736" s="16" t="inlineStr">
        <is>
          <t>authenticated api request</t>
        </is>
      </c>
      <c r="S736" s="5" t="inlineStr">
        <is>
          <t>Confirmed</t>
        </is>
      </c>
    </row>
    <row r="737" ht="16" customHeight="1">
      <c r="A737" s="5" t="inlineStr">
        <is>
          <t>TMT-S3-F018</t>
        </is>
      </c>
      <c r="B737" s="5" t="inlineStr">
        <is>
          <t>TMT</t>
        </is>
      </c>
      <c r="C737" s="5" t="inlineStr">
        <is>
          <t>S3</t>
        </is>
      </c>
      <c r="D737" s="21" t="str">
        <f>IFERROR(VLOOKUP($G737,'02_REFERENCE'!$A$2:$S$99,4,FALSE),"N/A")</f>
        <v>Tampering</v>
      </c>
      <c r="E737" s="21" t="str">
        <f>IFERROR(VLOOKUP($G737,'02_REFERENCE'!$A$2:$S$99,15,FALSE),"N/A")</f>
        <v>High</v>
      </c>
      <c r="F737" s="21" t="str">
        <f>IFERROR(VLOOKUP($G737,'02_REFERENCE'!$A$2:$S$99,17,FALSE),"N/A")</f>
        <v>No</v>
      </c>
      <c r="G737" s="21" t="inlineStr">
        <is>
          <t>S3-RT-013</t>
        </is>
      </c>
      <c r="H737" s="21" t="inlineStr">
        <is>
          <t>Duplicate</t>
        </is>
      </c>
      <c r="I737" s="21" t="inlineStr">
        <is>
          <t>TP</t>
        </is>
      </c>
      <c r="J737" s="21" t="inlineStr">
        <is>
          <t>M</t>
        </is>
      </c>
      <c r="K737" s="21" t="inlineStr">
        <is>
          <t>N</t>
        </is>
      </c>
      <c r="L737" s="21" t="inlineStr">
        <is>
          <t>Yes</t>
        </is>
      </c>
      <c r="M737" s="21" t="inlineStr">
        <is>
          <t>TMT-S3-F002</t>
        </is>
      </c>
      <c r="N737" s="22" t="inlineStr">
        <is>
          <t>XSS on a user/API data flow -&gt; stored/reflected active content from user, profile and recovery data in the client context -&gt; reference S3-RT-013. [Equivalence: restates TMT-S3-F002 — one-to-one rule applied.]</t>
        </is>
      </c>
      <c r="O737" s="5" t="inlineStr">
        <is>
          <t>stored_active_content</t>
        </is>
      </c>
      <c r="P737" s="16" t="inlineStr">
        <is>
          <t>Cross Site Scripting</t>
        </is>
      </c>
      <c r="Q737" s="16" t="inlineStr">
        <is>
          <t>Diagram 1</t>
        </is>
      </c>
      <c r="R737" s="16" t="inlineStr">
        <is>
          <t>authenticated api request</t>
        </is>
      </c>
      <c r="S737" s="5" t="inlineStr">
        <is>
          <t>Confirmed</t>
        </is>
      </c>
    </row>
    <row r="738" ht="16" customHeight="1">
      <c r="A738" s="5" t="inlineStr">
        <is>
          <t>TMT-S3-F019</t>
        </is>
      </c>
      <c r="B738" s="5" t="inlineStr">
        <is>
          <t>TMT</t>
        </is>
      </c>
      <c r="C738" s="5" t="inlineStr">
        <is>
          <t>S3</t>
        </is>
      </c>
      <c r="D738" s="21" t="str">
        <f>IFERROR(VLOOKUP($G738,'02_REFERENCE'!$A$2:$S$99,4,FALSE),"N/A")</f>
        <v>N/A</v>
      </c>
      <c r="E738" s="21" t="str">
        <f>IFERROR(VLOOKUP($G738,'02_REFERENCE'!$A$2:$S$99,15,FALSE),"N/A")</f>
        <v>N/A</v>
      </c>
      <c r="F738" s="21" t="str">
        <f>IFERROR(VLOOKUP($G738,'02_REFERENCE'!$A$2:$S$99,17,FALSE),"N/A")</f>
        <v>N/A</v>
      </c>
      <c r="G738" s="21" t="inlineStr"/>
      <c r="H738" s="21" t="inlineStr">
        <is>
          <t>False Positive</t>
        </is>
      </c>
      <c r="I738" s="21" t="inlineStr">
        <is>
          <t>FP</t>
        </is>
      </c>
      <c r="J738" s="21" t="inlineStr">
        <is>
          <t>M</t>
        </is>
      </c>
      <c r="K738" s="21" t="inlineStr">
        <is>
          <t>N</t>
        </is>
      </c>
      <c r="L738" s="21" t="inlineStr">
        <is>
          <t>No</t>
        </is>
      </c>
      <c r="M738" s="21" t="inlineStr"/>
      <c r="N738" s="22" t="inlineStr">
        <is>
          <t>Process-identity spoofing / memory-integrity template; no reference mechanism (authentication bypass RT-004 is logic-based, not process-spoofing).</t>
        </is>
      </c>
      <c r="O738" s="5" t="inlineStr"/>
      <c r="P738" s="16" t="inlineStr">
        <is>
          <t>Elevation Using Impersonation</t>
        </is>
      </c>
      <c r="Q738" s="16" t="inlineStr">
        <is>
          <t>Diagram 1</t>
        </is>
      </c>
      <c r="R738" s="16" t="inlineStr">
        <is>
          <t>authenticated api request</t>
        </is>
      </c>
      <c r="S738" s="5" t="inlineStr">
        <is>
          <t>Confirmed</t>
        </is>
      </c>
    </row>
    <row r="739" ht="16" customHeight="1">
      <c r="A739" s="5" t="inlineStr">
        <is>
          <t>TMT-S3-F020</t>
        </is>
      </c>
      <c r="B739" s="5" t="inlineStr">
        <is>
          <t>TMT</t>
        </is>
      </c>
      <c r="C739" s="5" t="inlineStr">
        <is>
          <t>S3</t>
        </is>
      </c>
      <c r="D739" s="21" t="str">
        <f>IFERROR(VLOOKUP($G739,'02_REFERENCE'!$A$2:$S$99,4,FALSE),"N/A")</f>
        <v>N/A</v>
      </c>
      <c r="E739" s="21" t="str">
        <f>IFERROR(VLOOKUP($G739,'02_REFERENCE'!$A$2:$S$99,15,FALSE),"N/A")</f>
        <v>N/A</v>
      </c>
      <c r="F739" s="21" t="str">
        <f>IFERROR(VLOOKUP($G739,'02_REFERENCE'!$A$2:$S$99,17,FALSE),"N/A")</f>
        <v>N/A</v>
      </c>
      <c r="G739" s="21" t="inlineStr"/>
      <c r="H739" s="21" t="inlineStr">
        <is>
          <t>False Positive</t>
        </is>
      </c>
      <c r="I739" s="21" t="inlineStr">
        <is>
          <t>FP</t>
        </is>
      </c>
      <c r="J739" s="21" t="inlineStr">
        <is>
          <t>M</t>
        </is>
      </c>
      <c r="K739" s="21" t="inlineStr">
        <is>
          <t>N</t>
        </is>
      </c>
      <c r="L739" s="21" t="inlineStr">
        <is>
          <t>No</t>
        </is>
      </c>
      <c r="M739" s="21" t="inlineStr"/>
      <c r="N739" s="22" t="inlineStr">
        <is>
          <t>Process-identity spoofing / memory-integrity template; no reference mechanism (authentication bypass RT-004 is logic-based, not process-spoofing).</t>
        </is>
      </c>
      <c r="O739" s="5" t="inlineStr"/>
      <c r="P739" s="16" t="inlineStr">
        <is>
          <t>P1 Web Frontend Interface Process Memory Tampered</t>
        </is>
      </c>
      <c r="Q739" s="16" t="inlineStr">
        <is>
          <t>Diagram 1</t>
        </is>
      </c>
      <c r="R739" s="16" t="inlineStr">
        <is>
          <t>forwarded authenticated API request</t>
        </is>
      </c>
      <c r="S739" s="5" t="inlineStr">
        <is>
          <t>Confirmed</t>
        </is>
      </c>
    </row>
    <row r="740" ht="16" customHeight="1">
      <c r="A740" s="5" t="inlineStr">
        <is>
          <t>TMT-S3-F021</t>
        </is>
      </c>
      <c r="B740" s="5" t="inlineStr">
        <is>
          <t>TMT</t>
        </is>
      </c>
      <c r="C740" s="5" t="inlineStr">
        <is>
          <t>S3</t>
        </is>
      </c>
      <c r="D740" s="21" t="str">
        <f>IFERROR(VLOOKUP($G740,'02_REFERENCE'!$A$2:$S$99,4,FALSE),"N/A")</f>
        <v>N/A</v>
      </c>
      <c r="E740" s="21" t="str">
        <f>IFERROR(VLOOKUP($G740,'02_REFERENCE'!$A$2:$S$99,15,FALSE),"N/A")</f>
        <v>N/A</v>
      </c>
      <c r="F740" s="21" t="str">
        <f>IFERROR(VLOOKUP($G740,'02_REFERENCE'!$A$2:$S$99,17,FALSE),"N/A")</f>
        <v>N/A</v>
      </c>
      <c r="G740" s="21" t="inlineStr"/>
      <c r="H740" s="21" t="inlineStr">
        <is>
          <t>False Positive</t>
        </is>
      </c>
      <c r="I740" s="21" t="inlineStr">
        <is>
          <t>FP</t>
        </is>
      </c>
      <c r="J740" s="21" t="inlineStr">
        <is>
          <t>M</t>
        </is>
      </c>
      <c r="K740" s="21" t="inlineStr">
        <is>
          <t>N</t>
        </is>
      </c>
      <c r="L740" s="21" t="inlineStr">
        <is>
          <t>No</t>
        </is>
      </c>
      <c r="M740" s="21" t="inlineStr"/>
      <c r="N740" s="22" t="inlineStr">
        <is>
          <t>Process-identity spoofing / memory-integrity template; no reference mechanism (authentication bypass RT-004 is logic-based, not process-spoofing).</t>
        </is>
      </c>
      <c r="O740" s="5" t="inlineStr"/>
      <c r="P740" s="16" t="inlineStr">
        <is>
          <t>Elevation Using Impersonation</t>
        </is>
      </c>
      <c r="Q740" s="16" t="inlineStr">
        <is>
          <t>Diagram 1</t>
        </is>
      </c>
      <c r="R740" s="16" t="inlineStr">
        <is>
          <t>forwarded authenticated API request</t>
        </is>
      </c>
      <c r="S740" s="5" t="inlineStr">
        <is>
          <t>Confirmed</t>
        </is>
      </c>
    </row>
    <row r="741" ht="16" customHeight="1">
      <c r="A741" s="5" t="inlineStr">
        <is>
          <t>TMT-S3-F022</t>
        </is>
      </c>
      <c r="B741" s="5" t="inlineStr">
        <is>
          <t>TMT</t>
        </is>
      </c>
      <c r="C741" s="5" t="inlineStr">
        <is>
          <t>S3</t>
        </is>
      </c>
      <c r="D741" s="21" t="str">
        <f>IFERROR(VLOOKUP($G741,'02_REFERENCE'!$A$2:$S$99,4,FALSE),"N/A")</f>
        <v>N/A</v>
      </c>
      <c r="E741" s="21" t="str">
        <f>IFERROR(VLOOKUP($G741,'02_REFERENCE'!$A$2:$S$99,15,FALSE),"N/A")</f>
        <v>N/A</v>
      </c>
      <c r="F741" s="21" t="str">
        <f>IFERROR(VLOOKUP($G741,'02_REFERENCE'!$A$2:$S$99,17,FALSE),"N/A")</f>
        <v>N/A</v>
      </c>
      <c r="G741" s="21" t="inlineStr"/>
      <c r="H741" s="21" t="inlineStr">
        <is>
          <t>False Positive</t>
        </is>
      </c>
      <c r="I741" s="21" t="inlineStr">
        <is>
          <t>FP</t>
        </is>
      </c>
      <c r="J741" s="21" t="inlineStr">
        <is>
          <t>M</t>
        </is>
      </c>
      <c r="K741" s="21" t="inlineStr">
        <is>
          <t>N</t>
        </is>
      </c>
      <c r="L741" s="21" t="inlineStr">
        <is>
          <t>No</t>
        </is>
      </c>
      <c r="M741" s="21" t="inlineStr"/>
      <c r="N741" s="22" t="inlineStr">
        <is>
          <t>Process-identity spoofing / memory-integrity template; no reference mechanism (authentication bypass RT-004 is logic-based, not process-spoofing).</t>
        </is>
      </c>
      <c r="O741" s="5" t="inlineStr"/>
      <c r="P741" s="16" t="inlineStr">
        <is>
          <t>Spoofing of Destination Data Store DS1 Backend User Database</t>
        </is>
      </c>
      <c r="Q741" s="16" t="inlineStr">
        <is>
          <t>Diagram 1</t>
        </is>
      </c>
      <c r="R741" s="16" t="inlineStr">
        <is>
          <t>profile data query or update</t>
        </is>
      </c>
      <c r="S741" s="5" t="inlineStr">
        <is>
          <t>Confirmed</t>
        </is>
      </c>
    </row>
    <row r="742" ht="16" customHeight="1">
      <c r="A742" s="5" t="inlineStr">
        <is>
          <t>TMT-S3-F023</t>
        </is>
      </c>
      <c r="B742" s="5" t="inlineStr">
        <is>
          <t>TMT</t>
        </is>
      </c>
      <c r="C742" s="5" t="inlineStr">
        <is>
          <t>S3</t>
        </is>
      </c>
      <c r="D742" s="21" t="str">
        <f>IFERROR(VLOOKUP($G742,'02_REFERENCE'!$A$2:$S$99,4,FALSE),"N/A")</f>
        <v>Denial of Service</v>
      </c>
      <c r="E742" s="21" t="str">
        <f>IFERROR(VLOOKUP($G742,'02_REFERENCE'!$A$2:$S$99,15,FALSE),"N/A")</f>
        <v>High</v>
      </c>
      <c r="F742" s="21" t="str">
        <f>IFERROR(VLOOKUP($G742,'02_REFERENCE'!$A$2:$S$99,17,FALSE),"N/A")</f>
        <v>No</v>
      </c>
      <c r="G742" s="21" t="inlineStr">
        <is>
          <t>S3-RT-030</t>
        </is>
      </c>
      <c r="H742" s="21" t="inlineStr">
        <is>
          <t>Duplicate</t>
        </is>
      </c>
      <c r="I742" s="21" t="inlineStr">
        <is>
          <t>TP</t>
        </is>
      </c>
      <c r="J742" s="21" t="inlineStr">
        <is>
          <t>M</t>
        </is>
      </c>
      <c r="K742" s="21" t="inlineStr">
        <is>
          <t>N</t>
        </is>
      </c>
      <c r="L742" s="21" t="inlineStr">
        <is>
          <t>Yes</t>
        </is>
      </c>
      <c r="M742" s="21" t="inlineStr">
        <is>
          <t>TMT-S3-F007</t>
        </is>
      </c>
      <c r="N742" s="22" t="inlineStr">
        <is>
          <t>Excessive resource consumption of the primary service -&gt; reference S3-RT-030. [Equivalence: restates TMT-S3-F007 — one-to-one rule applied.]</t>
        </is>
      </c>
      <c r="O742" s="5" t="inlineStr">
        <is>
          <t>dos_service</t>
        </is>
      </c>
      <c r="P742" s="16" t="inlineStr">
        <is>
          <t>Potential Excessive Resource Consumption for P4 User Profile API Handler or DS1 Backend User Database</t>
        </is>
      </c>
      <c r="Q742" s="16" t="inlineStr">
        <is>
          <t>Diagram 1</t>
        </is>
      </c>
      <c r="R742" s="16" t="inlineStr">
        <is>
          <t>profile data query or update</t>
        </is>
      </c>
      <c r="S742" s="5" t="inlineStr">
        <is>
          <t>Confirmed</t>
        </is>
      </c>
    </row>
    <row r="743" ht="16" customHeight="1">
      <c r="A743" s="5" t="inlineStr">
        <is>
          <t>TMT-S3-F024</t>
        </is>
      </c>
      <c r="B743" s="5" t="inlineStr">
        <is>
          <t>TMT</t>
        </is>
      </c>
      <c r="C743" s="5" t="inlineStr">
        <is>
          <t>S3</t>
        </is>
      </c>
      <c r="D743" s="21" t="str">
        <f>IFERROR(VLOOKUP($G743,'02_REFERENCE'!$A$2:$S$99,4,FALSE),"N/A")</f>
        <v>N/A</v>
      </c>
      <c r="E743" s="21" t="str">
        <f>IFERROR(VLOOKUP($G743,'02_REFERENCE'!$A$2:$S$99,15,FALSE),"N/A")</f>
        <v>N/A</v>
      </c>
      <c r="F743" s="21" t="str">
        <f>IFERROR(VLOOKUP($G743,'02_REFERENCE'!$A$2:$S$99,17,FALSE),"N/A")</f>
        <v>N/A</v>
      </c>
      <c r="G743" s="21" t="inlineStr"/>
      <c r="H743" s="21" t="inlineStr">
        <is>
          <t>False Positive</t>
        </is>
      </c>
      <c r="I743" s="21" t="inlineStr">
        <is>
          <t>FP</t>
        </is>
      </c>
      <c r="J743" s="21" t="inlineStr">
        <is>
          <t>M</t>
        </is>
      </c>
      <c r="K743" s="21" t="inlineStr">
        <is>
          <t>N</t>
        </is>
      </c>
      <c r="L743" s="21" t="inlineStr">
        <is>
          <t>No</t>
        </is>
      </c>
      <c r="M743" s="21" t="inlineStr"/>
      <c r="N743" s="22" t="inlineStr">
        <is>
          <t>Process-identity spoofing / memory-integrity template; no reference mechanism (authentication bypass RT-004 is logic-based, not process-spoofing).</t>
        </is>
      </c>
      <c r="O743" s="5" t="inlineStr"/>
      <c r="P743" s="16" t="inlineStr">
        <is>
          <t>Spoofing of Source Data Store DS1 Backend User Database</t>
        </is>
      </c>
      <c r="Q743" s="16" t="inlineStr">
        <is>
          <t>Diagram 1</t>
        </is>
      </c>
      <c r="R743" s="16" t="inlineStr">
        <is>
          <t>profile data response</t>
        </is>
      </c>
      <c r="S743" s="5" t="inlineStr">
        <is>
          <t>Confirmed</t>
        </is>
      </c>
    </row>
    <row r="744" ht="16" customHeight="1">
      <c r="A744" s="5" t="inlineStr">
        <is>
          <t>TMT-S3-F025</t>
        </is>
      </c>
      <c r="B744" s="5" t="inlineStr">
        <is>
          <t>TMT</t>
        </is>
      </c>
      <c r="C744" s="5" t="inlineStr">
        <is>
          <t>S3</t>
        </is>
      </c>
      <c r="D744" s="21" t="str">
        <f>IFERROR(VLOOKUP($G744,'02_REFERENCE'!$A$2:$S$99,4,FALSE),"N/A")</f>
        <v>Information Disclosure</v>
      </c>
      <c r="E744" s="21" t="str">
        <f>IFERROR(VLOOKUP($G744,'02_REFERENCE'!$A$2:$S$99,15,FALSE),"N/A")</f>
        <v>Critical</v>
      </c>
      <c r="F744" s="21" t="str">
        <f>IFERROR(VLOOKUP($G744,'02_REFERENCE'!$A$2:$S$99,17,FALSE),"N/A")</f>
        <v>No</v>
      </c>
      <c r="G744" s="21" t="inlineStr">
        <is>
          <t>S3-RT-014</t>
        </is>
      </c>
      <c r="H744" s="21" t="inlineStr">
        <is>
          <t>Primary TP</t>
        </is>
      </c>
      <c r="I744" s="21" t="inlineStr">
        <is>
          <t>TP</t>
        </is>
      </c>
      <c r="J744" s="21" t="inlineStr">
        <is>
          <t>M</t>
        </is>
      </c>
      <c r="K744" s="21" t="inlineStr">
        <is>
          <t>Y</t>
        </is>
      </c>
      <c r="L744" s="21" t="inlineStr">
        <is>
          <t>No</t>
        </is>
      </c>
      <c r="M744" s="21" t="inlineStr"/>
      <c r="N744" s="22" t="inlineStr">
        <is>
          <t>Weak access control on a data-store resource -&gt; unauthorized read of store contents -&gt; reference S3-RT-014.</t>
        </is>
      </c>
      <c r="O744" s="5" t="inlineStr">
        <is>
          <t>mass_disclosure</t>
        </is>
      </c>
      <c r="P744" s="16" t="inlineStr">
        <is>
          <t>Weak Access Control for a Resource</t>
        </is>
      </c>
      <c r="Q744" s="16" t="inlineStr">
        <is>
          <t>Diagram 1</t>
        </is>
      </c>
      <c r="R744" s="16" t="inlineStr">
        <is>
          <t>profile data response</t>
        </is>
      </c>
      <c r="S744" s="5" t="inlineStr">
        <is>
          <t>Confirmed</t>
        </is>
      </c>
    </row>
    <row r="745" ht="16" customHeight="1">
      <c r="A745" s="5" t="inlineStr">
        <is>
          <t>TMT-S3-F026</t>
        </is>
      </c>
      <c r="B745" s="5" t="inlineStr">
        <is>
          <t>TMT</t>
        </is>
      </c>
      <c r="C745" s="5" t="inlineStr">
        <is>
          <t>S3</t>
        </is>
      </c>
      <c r="D745" s="21" t="str">
        <f>IFERROR(VLOOKUP($G745,'02_REFERENCE'!$A$2:$S$99,4,FALSE),"N/A")</f>
        <v>N/A</v>
      </c>
      <c r="E745" s="21" t="str">
        <f>IFERROR(VLOOKUP($G745,'02_REFERENCE'!$A$2:$S$99,15,FALSE),"N/A")</f>
        <v>N/A</v>
      </c>
      <c r="F745" s="21" t="str">
        <f>IFERROR(VLOOKUP($G745,'02_REFERENCE'!$A$2:$S$99,17,FALSE),"N/A")</f>
        <v>N/A</v>
      </c>
      <c r="G745" s="21" t="inlineStr"/>
      <c r="H745" s="21" t="inlineStr">
        <is>
          <t>False Positive</t>
        </is>
      </c>
      <c r="I745" s="21" t="inlineStr">
        <is>
          <t>FP</t>
        </is>
      </c>
      <c r="J745" s="21" t="inlineStr">
        <is>
          <t>M</t>
        </is>
      </c>
      <c r="K745" s="21" t="inlineStr">
        <is>
          <t>N</t>
        </is>
      </c>
      <c r="L745" s="21" t="inlineStr">
        <is>
          <t>No</t>
        </is>
      </c>
      <c r="M745" s="21" t="inlineStr"/>
      <c r="N745" s="22" t="inlineStr">
        <is>
          <t>Process-identity spoofing / memory-integrity template; no reference mechanism (authentication bypass RT-004 is logic-based, not process-spoofing).</t>
        </is>
      </c>
      <c r="O745" s="5" t="inlineStr"/>
      <c r="P745" s="16" t="inlineStr">
        <is>
          <t>P4 User Profile API Handler Process Memory Tampered</t>
        </is>
      </c>
      <c r="Q745" s="16" t="inlineStr">
        <is>
          <t>Diagram 1</t>
        </is>
      </c>
      <c r="R745" s="16" t="inlineStr">
        <is>
          <t>api response</t>
        </is>
      </c>
      <c r="S745" s="5" t="inlineStr">
        <is>
          <t>Confirmed</t>
        </is>
      </c>
    </row>
    <row r="746" ht="16" customHeight="1">
      <c r="A746" s="5" t="inlineStr">
        <is>
          <t>TMT-S3-F027</t>
        </is>
      </c>
      <c r="B746" s="5" t="inlineStr">
        <is>
          <t>TMT</t>
        </is>
      </c>
      <c r="C746" s="5" t="inlineStr">
        <is>
          <t>S3</t>
        </is>
      </c>
      <c r="D746" s="21" t="str">
        <f>IFERROR(VLOOKUP($G746,'02_REFERENCE'!$A$2:$S$99,4,FALSE),"N/A")</f>
        <v>Tampering</v>
      </c>
      <c r="E746" s="21" t="str">
        <f>IFERROR(VLOOKUP($G746,'02_REFERENCE'!$A$2:$S$99,15,FALSE),"N/A")</f>
        <v>High</v>
      </c>
      <c r="F746" s="21" t="str">
        <f>IFERROR(VLOOKUP($G746,'02_REFERENCE'!$A$2:$S$99,17,FALSE),"N/A")</f>
        <v>No</v>
      </c>
      <c r="G746" s="21" t="inlineStr">
        <is>
          <t>S3-RT-013</t>
        </is>
      </c>
      <c r="H746" s="21" t="inlineStr">
        <is>
          <t>Duplicate</t>
        </is>
      </c>
      <c r="I746" s="21" t="inlineStr">
        <is>
          <t>TP</t>
        </is>
      </c>
      <c r="J746" s="21" t="inlineStr">
        <is>
          <t>M</t>
        </is>
      </c>
      <c r="K746" s="21" t="inlineStr">
        <is>
          <t>N</t>
        </is>
      </c>
      <c r="L746" s="21" t="inlineStr">
        <is>
          <t>Yes</t>
        </is>
      </c>
      <c r="M746" s="21" t="inlineStr">
        <is>
          <t>TMT-S3-F002</t>
        </is>
      </c>
      <c r="N746" s="22" t="inlineStr">
        <is>
          <t>XSS on a user/API data flow -&gt; stored/reflected active content from user, profile and recovery data in the client context -&gt; reference S3-RT-013. [Equivalence: restates TMT-S3-F002 — one-to-one rule applied.]</t>
        </is>
      </c>
      <c r="O746" s="5" t="inlineStr">
        <is>
          <t>stored_active_content</t>
        </is>
      </c>
      <c r="P746" s="16" t="inlineStr">
        <is>
          <t>Cross Site Scripting</t>
        </is>
      </c>
      <c r="Q746" s="16" t="inlineStr">
        <is>
          <t>Diagram 1</t>
        </is>
      </c>
      <c r="R746" s="16" t="inlineStr">
        <is>
          <t>api response</t>
        </is>
      </c>
      <c r="S746" s="5" t="inlineStr">
        <is>
          <t>Confirmed</t>
        </is>
      </c>
    </row>
    <row r="747" ht="16" customHeight="1">
      <c r="A747" s="5" t="inlineStr">
        <is>
          <t>TMT-S3-F028</t>
        </is>
      </c>
      <c r="B747" s="5" t="inlineStr">
        <is>
          <t>TMT</t>
        </is>
      </c>
      <c r="C747" s="5" t="inlineStr">
        <is>
          <t>S3</t>
        </is>
      </c>
      <c r="D747" s="21" t="str">
        <f>IFERROR(VLOOKUP($G747,'02_REFERENCE'!$A$2:$S$99,4,FALSE),"N/A")</f>
        <v>N/A</v>
      </c>
      <c r="E747" s="21" t="str">
        <f>IFERROR(VLOOKUP($G747,'02_REFERENCE'!$A$2:$S$99,15,FALSE),"N/A")</f>
        <v>N/A</v>
      </c>
      <c r="F747" s="21" t="str">
        <f>IFERROR(VLOOKUP($G747,'02_REFERENCE'!$A$2:$S$99,17,FALSE),"N/A")</f>
        <v>N/A</v>
      </c>
      <c r="G747" s="21" t="inlineStr"/>
      <c r="H747" s="21" t="inlineStr">
        <is>
          <t>False Positive</t>
        </is>
      </c>
      <c r="I747" s="21" t="inlineStr">
        <is>
          <t>FP</t>
        </is>
      </c>
      <c r="J747" s="21" t="inlineStr">
        <is>
          <t>M</t>
        </is>
      </c>
      <c r="K747" s="21" t="inlineStr">
        <is>
          <t>N</t>
        </is>
      </c>
      <c r="L747" s="21" t="inlineStr">
        <is>
          <t>No</t>
        </is>
      </c>
      <c r="M747" s="21" t="inlineStr"/>
      <c r="N747" s="22" t="inlineStr">
        <is>
          <t>Process-identity spoofing / memory-integrity template; no reference mechanism (authentication bypass RT-004 is logic-based, not process-spoofing).</t>
        </is>
      </c>
      <c r="O747" s="5" t="inlineStr"/>
      <c r="P747" s="16" t="inlineStr">
        <is>
          <t>Elevation Using Impersonation</t>
        </is>
      </c>
      <c r="Q747" s="16" t="inlineStr">
        <is>
          <t>Diagram 1</t>
        </is>
      </c>
      <c r="R747" s="16" t="inlineStr">
        <is>
          <t>api response</t>
        </is>
      </c>
      <c r="S747" s="5" t="inlineStr">
        <is>
          <t>Confirmed</t>
        </is>
      </c>
    </row>
    <row r="748" ht="16" customHeight="1">
      <c r="A748" s="5" t="inlineStr">
        <is>
          <t>TMT-S3-F029</t>
        </is>
      </c>
      <c r="B748" s="5" t="inlineStr">
        <is>
          <t>TMT</t>
        </is>
      </c>
      <c r="C748" s="5" t="inlineStr">
        <is>
          <t>S3</t>
        </is>
      </c>
      <c r="D748" s="21" t="str">
        <f>IFERROR(VLOOKUP($G748,'02_REFERENCE'!$A$2:$S$99,4,FALSE),"N/A")</f>
        <v>N/A</v>
      </c>
      <c r="E748" s="21" t="str">
        <f>IFERROR(VLOOKUP($G748,'02_REFERENCE'!$A$2:$S$99,15,FALSE),"N/A")</f>
        <v>N/A</v>
      </c>
      <c r="F748" s="21" t="str">
        <f>IFERROR(VLOOKUP($G748,'02_REFERENCE'!$A$2:$S$99,17,FALSE),"N/A")</f>
        <v>N/A</v>
      </c>
      <c r="G748" s="21" t="inlineStr"/>
      <c r="H748" s="21" t="inlineStr">
        <is>
          <t>False Positive</t>
        </is>
      </c>
      <c r="I748" s="21" t="inlineStr">
        <is>
          <t>FP</t>
        </is>
      </c>
      <c r="J748" s="21" t="inlineStr">
        <is>
          <t>M</t>
        </is>
      </c>
      <c r="K748" s="21" t="inlineStr">
        <is>
          <t>N</t>
        </is>
      </c>
      <c r="L748" s="21" t="inlineStr">
        <is>
          <t>No</t>
        </is>
      </c>
      <c r="M748" s="21" t="inlineStr"/>
      <c r="N748" s="22" t="inlineStr">
        <is>
          <t>Process-identity spoofing / memory-integrity template; no reference mechanism (authentication bypass RT-004 is logic-based, not process-spoofing).</t>
        </is>
      </c>
      <c r="O748" s="5" t="inlineStr"/>
      <c r="P748" s="16" t="inlineStr">
        <is>
          <t>P1 Web Frontend Interface Process Memory Tampered</t>
        </is>
      </c>
      <c r="Q748" s="16" t="inlineStr">
        <is>
          <t>Diagram 1</t>
        </is>
      </c>
      <c r="R748" s="16" t="inlineStr">
        <is>
          <t>Api response</t>
        </is>
      </c>
      <c r="S748" s="5" t="inlineStr">
        <is>
          <t>Confirmed</t>
        </is>
      </c>
    </row>
    <row r="749" ht="16" customHeight="1">
      <c r="A749" s="5" t="inlineStr">
        <is>
          <t>TMT-S3-F030</t>
        </is>
      </c>
      <c r="B749" s="5" t="inlineStr">
        <is>
          <t>TMT</t>
        </is>
      </c>
      <c r="C749" s="5" t="inlineStr">
        <is>
          <t>S3</t>
        </is>
      </c>
      <c r="D749" s="21" t="str">
        <f>IFERROR(VLOOKUP($G749,'02_REFERENCE'!$A$2:$S$99,4,FALSE),"N/A")</f>
        <v>N/A</v>
      </c>
      <c r="E749" s="21" t="str">
        <f>IFERROR(VLOOKUP($G749,'02_REFERENCE'!$A$2:$S$99,15,FALSE),"N/A")</f>
        <v>N/A</v>
      </c>
      <c r="F749" s="21" t="str">
        <f>IFERROR(VLOOKUP($G749,'02_REFERENCE'!$A$2:$S$99,17,FALSE),"N/A")</f>
        <v>N/A</v>
      </c>
      <c r="G749" s="21" t="inlineStr"/>
      <c r="H749" s="21" t="inlineStr">
        <is>
          <t>False Positive</t>
        </is>
      </c>
      <c r="I749" s="21" t="inlineStr">
        <is>
          <t>FP</t>
        </is>
      </c>
      <c r="J749" s="21" t="inlineStr">
        <is>
          <t>M</t>
        </is>
      </c>
      <c r="K749" s="21" t="inlineStr">
        <is>
          <t>N</t>
        </is>
      </c>
      <c r="L749" s="21" t="inlineStr">
        <is>
          <t>No</t>
        </is>
      </c>
      <c r="M749" s="21" t="inlineStr"/>
      <c r="N749" s="22" t="inlineStr">
        <is>
          <t>Process-identity spoofing / memory-integrity template; no reference mechanism (authentication bypass RT-004 is logic-based, not process-spoofing).</t>
        </is>
      </c>
      <c r="O749" s="5" t="inlineStr"/>
      <c r="P749" s="16" t="inlineStr">
        <is>
          <t>Elevation Using Impersonation</t>
        </is>
      </c>
      <c r="Q749" s="16" t="inlineStr">
        <is>
          <t>Diagram 1</t>
        </is>
      </c>
      <c r="R749" s="16" t="inlineStr">
        <is>
          <t>Api response</t>
        </is>
      </c>
      <c r="S749" s="5" t="inlineStr">
        <is>
          <t>Confirmed</t>
        </is>
      </c>
    </row>
    <row r="750" ht="16" customHeight="1">
      <c r="A750" s="5" t="inlineStr">
        <is>
          <t>TMT-S3-F031</t>
        </is>
      </c>
      <c r="B750" s="5" t="inlineStr">
        <is>
          <t>TMT</t>
        </is>
      </c>
      <c r="C750" s="5" t="inlineStr">
        <is>
          <t>S3</t>
        </is>
      </c>
      <c r="D750" s="21" t="str">
        <f>IFERROR(VLOOKUP($G750,'02_REFERENCE'!$A$2:$S$99,4,FALSE),"N/A")</f>
        <v>N/A</v>
      </c>
      <c r="E750" s="21" t="str">
        <f>IFERROR(VLOOKUP($G750,'02_REFERENCE'!$A$2:$S$99,15,FALSE),"N/A")</f>
        <v>N/A</v>
      </c>
      <c r="F750" s="21" t="str">
        <f>IFERROR(VLOOKUP($G750,'02_REFERENCE'!$A$2:$S$99,17,FALSE),"N/A")</f>
        <v>N/A</v>
      </c>
      <c r="G750" s="21" t="inlineStr"/>
      <c r="H750" s="21" t="inlineStr">
        <is>
          <t>False Positive</t>
        </is>
      </c>
      <c r="I750" s="21" t="inlineStr">
        <is>
          <t>FP</t>
        </is>
      </c>
      <c r="J750" s="21" t="inlineStr">
        <is>
          <t>M</t>
        </is>
      </c>
      <c r="K750" s="21" t="inlineStr">
        <is>
          <t>N</t>
        </is>
      </c>
      <c r="L750" s="21" t="inlineStr">
        <is>
          <t>No</t>
        </is>
      </c>
      <c r="M750" s="21" t="inlineStr"/>
      <c r="N750" s="22" t="inlineStr">
        <is>
          <t>Process-identity spoofing / memory-integrity template; no reference mechanism (authentication bypass RT-004 is logic-based, not process-spoofing).</t>
        </is>
      </c>
      <c r="O750" s="5" t="inlineStr"/>
      <c r="P750" s="16" t="inlineStr">
        <is>
          <t>Elevation Using Impersonation</t>
        </is>
      </c>
      <c r="Q750" s="16" t="inlineStr">
        <is>
          <t>Diagram 1</t>
        </is>
      </c>
      <c r="R750" s="16" t="inlineStr">
        <is>
          <t>Sanitized Prompt + Approved Context</t>
        </is>
      </c>
      <c r="S750" s="5" t="inlineStr">
        <is>
          <t>Confirmed</t>
        </is>
      </c>
    </row>
    <row r="751" ht="16" customHeight="1">
      <c r="A751" s="5" t="inlineStr">
        <is>
          <t>TMT-S3-F032</t>
        </is>
      </c>
      <c r="B751" s="5" t="inlineStr">
        <is>
          <t>TMT</t>
        </is>
      </c>
      <c r="C751" s="5" t="inlineStr">
        <is>
          <t>S3</t>
        </is>
      </c>
      <c r="D751" s="21" t="str">
        <f>IFERROR(VLOOKUP($G751,'02_REFERENCE'!$A$2:$S$99,4,FALSE),"N/A")</f>
        <v>N/A</v>
      </c>
      <c r="E751" s="21" t="str">
        <f>IFERROR(VLOOKUP($G751,'02_REFERENCE'!$A$2:$S$99,15,FALSE),"N/A")</f>
        <v>N/A</v>
      </c>
      <c r="F751" s="21" t="str">
        <f>IFERROR(VLOOKUP($G751,'02_REFERENCE'!$A$2:$S$99,17,FALSE),"N/A")</f>
        <v>N/A</v>
      </c>
      <c r="G751" s="21" t="inlineStr"/>
      <c r="H751" s="21" t="inlineStr">
        <is>
          <t>False Positive</t>
        </is>
      </c>
      <c r="I751" s="21" t="inlineStr">
        <is>
          <t>FP</t>
        </is>
      </c>
      <c r="J751" s="21" t="inlineStr">
        <is>
          <t>M</t>
        </is>
      </c>
      <c r="K751" s="21" t="inlineStr">
        <is>
          <t>N</t>
        </is>
      </c>
      <c r="L751" s="21" t="inlineStr">
        <is>
          <t>No</t>
        </is>
      </c>
      <c r="M751" s="21" t="inlineStr"/>
      <c r="N751" s="22" t="inlineStr">
        <is>
          <t>Process-identity spoofing / memory-integrity template; no reference mechanism (authentication bypass RT-004 is logic-based, not process-spoofing).</t>
        </is>
      </c>
      <c r="O751" s="5" t="inlineStr"/>
      <c r="P751" s="16" t="inlineStr">
        <is>
          <t>P5 AI Account Support Assistant Process Memory Tampered</t>
        </is>
      </c>
      <c r="Q751" s="16" t="inlineStr">
        <is>
          <t>Diagram 1</t>
        </is>
      </c>
      <c r="R751" s="16" t="inlineStr">
        <is>
          <t>Sanitized Prompt + Approved Context</t>
        </is>
      </c>
      <c r="S751" s="5" t="inlineStr">
        <is>
          <t>Confirmed</t>
        </is>
      </c>
    </row>
    <row r="752" ht="16" customHeight="1">
      <c r="A752" s="5" t="inlineStr">
        <is>
          <t>TMT-S3-F033</t>
        </is>
      </c>
      <c r="B752" s="5" t="inlineStr">
        <is>
          <t>TMT</t>
        </is>
      </c>
      <c r="C752" s="5" t="inlineStr">
        <is>
          <t>S3</t>
        </is>
      </c>
      <c r="D752" s="21" t="str">
        <f>IFERROR(VLOOKUP($G752,'02_REFERENCE'!$A$2:$S$99,4,FALSE),"N/A")</f>
        <v>N/A</v>
      </c>
      <c r="E752" s="21" t="str">
        <f>IFERROR(VLOOKUP($G752,'02_REFERENCE'!$A$2:$S$99,15,FALSE),"N/A")</f>
        <v>N/A</v>
      </c>
      <c r="F752" s="21" t="str">
        <f>IFERROR(VLOOKUP($G752,'02_REFERENCE'!$A$2:$S$99,17,FALSE),"N/A")</f>
        <v>N/A</v>
      </c>
      <c r="G752" s="21" t="inlineStr"/>
      <c r="H752" s="21" t="inlineStr">
        <is>
          <t>False Positive</t>
        </is>
      </c>
      <c r="I752" s="21" t="inlineStr">
        <is>
          <t>FP</t>
        </is>
      </c>
      <c r="J752" s="21" t="inlineStr">
        <is>
          <t>M</t>
        </is>
      </c>
      <c r="K752" s="21" t="inlineStr">
        <is>
          <t>N</t>
        </is>
      </c>
      <c r="L752" s="21" t="inlineStr">
        <is>
          <t>No</t>
        </is>
      </c>
      <c r="M752" s="21" t="inlineStr"/>
      <c r="N752" s="22" t="inlineStr">
        <is>
          <t>Process-identity spoofing / memory-integrity template; no reference mechanism (authentication bypass RT-004 is logic-based, not process-spoofing).</t>
        </is>
      </c>
      <c r="O752" s="5" t="inlineStr"/>
      <c r="P752" s="16" t="inlineStr">
        <is>
          <t>Elevation Using Impersonation</t>
        </is>
      </c>
      <c r="Q752" s="16" t="inlineStr">
        <is>
          <t>Diagram 1</t>
        </is>
      </c>
      <c r="R752" s="16" t="inlineStr">
        <is>
          <t>Generated LLM Response</t>
        </is>
      </c>
      <c r="S752" s="5" t="inlineStr">
        <is>
          <t>Confirmed</t>
        </is>
      </c>
    </row>
    <row r="753" ht="16" customHeight="1">
      <c r="A753" s="5" t="inlineStr">
        <is>
          <t>TMT-S3-F034</t>
        </is>
      </c>
      <c r="B753" s="5" t="inlineStr">
        <is>
          <t>TMT</t>
        </is>
      </c>
      <c r="C753" s="5" t="inlineStr">
        <is>
          <t>S3</t>
        </is>
      </c>
      <c r="D753" s="21" t="str">
        <f>IFERROR(VLOOKUP($G753,'02_REFERENCE'!$A$2:$S$99,4,FALSE),"N/A")</f>
        <v>Spoofing</v>
      </c>
      <c r="E753" s="21" t="str">
        <f>IFERROR(VLOOKUP($G753,'02_REFERENCE'!$A$2:$S$99,15,FALSE),"N/A")</f>
        <v>High</v>
      </c>
      <c r="F753" s="21" t="str">
        <f>IFERROR(VLOOKUP($G753,'02_REFERENCE'!$A$2:$S$99,17,FALSE),"N/A")</f>
        <v>Yes</v>
      </c>
      <c r="G753" s="21" t="inlineStr">
        <is>
          <t>S3-RT-029</t>
        </is>
      </c>
      <c r="H753" s="21" t="inlineStr">
        <is>
          <t>Primary TP</t>
        </is>
      </c>
      <c r="I753" s="21" t="inlineStr">
        <is>
          <t>TP</t>
        </is>
      </c>
      <c r="J753" s="21" t="inlineStr">
        <is>
          <t>M</t>
        </is>
      </c>
      <c r="K753" s="21" t="inlineStr">
        <is>
          <t>Y</t>
        </is>
      </c>
      <c r="L753" s="21" t="inlineStr">
        <is>
          <t>No</t>
        </is>
      </c>
      <c r="M753" s="21" t="inlineStr"/>
      <c r="N753" s="22" t="inlineStr">
        <is>
          <t>Spoofing/impersonation of the external LLM provider -&gt; reference S3-RT-029 (compromise or substitution of the external model service).</t>
        </is>
      </c>
      <c r="O753" s="5" t="inlineStr">
        <is>
          <t>model_substitution</t>
        </is>
      </c>
      <c r="P753" s="16" t="inlineStr">
        <is>
          <t>Spoofing the EE2 External LLM Provider External Entity</t>
        </is>
      </c>
      <c r="Q753" s="16" t="inlineStr">
        <is>
          <t>Diagram 1</t>
        </is>
      </c>
      <c r="R753" s="16" t="inlineStr">
        <is>
          <t>Generated LLM Response</t>
        </is>
      </c>
      <c r="S753" s="5" t="inlineStr">
        <is>
          <t>Confirmed</t>
        </is>
      </c>
    </row>
    <row r="754" ht="16" customHeight="1">
      <c r="A754" s="5" t="inlineStr">
        <is>
          <t>TMT-S3-F035</t>
        </is>
      </c>
      <c r="B754" s="5" t="inlineStr">
        <is>
          <t>TMT</t>
        </is>
      </c>
      <c r="C754" s="5" t="inlineStr">
        <is>
          <t>S3</t>
        </is>
      </c>
      <c r="D754" s="21" t="str">
        <f>IFERROR(VLOOKUP($G754,'02_REFERENCE'!$A$2:$S$99,4,FALSE),"N/A")</f>
        <v>N/A</v>
      </c>
      <c r="E754" s="21" t="str">
        <f>IFERROR(VLOOKUP($G754,'02_REFERENCE'!$A$2:$S$99,15,FALSE),"N/A")</f>
        <v>N/A</v>
      </c>
      <c r="F754" s="21" t="str">
        <f>IFERROR(VLOOKUP($G754,'02_REFERENCE'!$A$2:$S$99,17,FALSE),"N/A")</f>
        <v>N/A</v>
      </c>
      <c r="G754" s="21" t="inlineStr"/>
      <c r="H754" s="21" t="inlineStr">
        <is>
          <t>False Positive</t>
        </is>
      </c>
      <c r="I754" s="21" t="inlineStr">
        <is>
          <t>FP</t>
        </is>
      </c>
      <c r="J754" s="21" t="inlineStr">
        <is>
          <t>M</t>
        </is>
      </c>
      <c r="K754" s="21" t="inlineStr">
        <is>
          <t>N</t>
        </is>
      </c>
      <c r="L754" s="21" t="inlineStr">
        <is>
          <t>No</t>
        </is>
      </c>
      <c r="M754" s="21" t="inlineStr"/>
      <c r="N754" s="22" t="inlineStr">
        <is>
          <t>Process-identity spoofing / memory-integrity template; no reference mechanism (authentication bypass RT-004 is logic-based, not process-spoofing).</t>
        </is>
      </c>
      <c r="O754" s="5" t="inlineStr"/>
      <c r="P754" s="16" t="inlineStr">
        <is>
          <t>Elevation Using Impersonation</t>
        </is>
      </c>
      <c r="Q754" s="16" t="inlineStr">
        <is>
          <t>Diagram 1</t>
        </is>
      </c>
      <c r="R754" s="16" t="inlineStr">
        <is>
          <t>Processed AI Response</t>
        </is>
      </c>
      <c r="S754" s="5" t="inlineStr">
        <is>
          <t>Confirmed</t>
        </is>
      </c>
    </row>
    <row r="755" ht="16" customHeight="1">
      <c r="A755" s="5" t="inlineStr">
        <is>
          <t>TMT-S3-F036</t>
        </is>
      </c>
      <c r="B755" s="5" t="inlineStr">
        <is>
          <t>TMT</t>
        </is>
      </c>
      <c r="C755" s="5" t="inlineStr">
        <is>
          <t>S3</t>
        </is>
      </c>
      <c r="D755" s="21" t="str">
        <f>IFERROR(VLOOKUP($G755,'02_REFERENCE'!$A$2:$S$99,4,FALSE),"N/A")</f>
        <v>N/A</v>
      </c>
      <c r="E755" s="21" t="str">
        <f>IFERROR(VLOOKUP($G755,'02_REFERENCE'!$A$2:$S$99,15,FALSE),"N/A")</f>
        <v>N/A</v>
      </c>
      <c r="F755" s="21" t="str">
        <f>IFERROR(VLOOKUP($G755,'02_REFERENCE'!$A$2:$S$99,17,FALSE),"N/A")</f>
        <v>N/A</v>
      </c>
      <c r="G755" s="21" t="inlineStr"/>
      <c r="H755" s="21" t="inlineStr">
        <is>
          <t>False Positive</t>
        </is>
      </c>
      <c r="I755" s="21" t="inlineStr">
        <is>
          <t>FP</t>
        </is>
      </c>
      <c r="J755" s="21" t="inlineStr">
        <is>
          <t>M</t>
        </is>
      </c>
      <c r="K755" s="21" t="inlineStr">
        <is>
          <t>N</t>
        </is>
      </c>
      <c r="L755" s="21" t="inlineStr">
        <is>
          <t>No</t>
        </is>
      </c>
      <c r="M755" s="21" t="inlineStr"/>
      <c r="N755" s="22" t="inlineStr">
        <is>
          <t>Process-identity spoofing / memory-integrity template; no reference mechanism (authentication bypass RT-004 is logic-based, not process-spoofing).</t>
        </is>
      </c>
      <c r="O755" s="5" t="inlineStr"/>
      <c r="P755" s="16" t="inlineStr">
        <is>
          <t>P6 LLM Integration Service Process Memory Tampered</t>
        </is>
      </c>
      <c r="Q755" s="16" t="inlineStr">
        <is>
          <t>Diagram 1</t>
        </is>
      </c>
      <c r="R755" s="16" t="inlineStr">
        <is>
          <t>Processed AI Response</t>
        </is>
      </c>
      <c r="S755" s="5" t="inlineStr">
        <is>
          <t>Confirmed</t>
        </is>
      </c>
    </row>
    <row r="756" ht="16" customHeight="1">
      <c r="A756" s="5" t="inlineStr">
        <is>
          <t>TMT-S3-F037</t>
        </is>
      </c>
      <c r="B756" s="5" t="inlineStr">
        <is>
          <t>TMT</t>
        </is>
      </c>
      <c r="C756" s="5" t="inlineStr">
        <is>
          <t>S3</t>
        </is>
      </c>
      <c r="D756" s="21" t="str">
        <f>IFERROR(VLOOKUP($G756,'02_REFERENCE'!$A$2:$S$99,4,FALSE),"N/A")</f>
        <v>N/A</v>
      </c>
      <c r="E756" s="21" t="str">
        <f>IFERROR(VLOOKUP($G756,'02_REFERENCE'!$A$2:$S$99,15,FALSE),"N/A")</f>
        <v>N/A</v>
      </c>
      <c r="F756" s="21" t="str">
        <f>IFERROR(VLOOKUP($G756,'02_REFERENCE'!$A$2:$S$99,17,FALSE),"N/A")</f>
        <v>N/A</v>
      </c>
      <c r="G756" s="21" t="inlineStr"/>
      <c r="H756" s="21" t="inlineStr">
        <is>
          <t>False Positive</t>
        </is>
      </c>
      <c r="I756" s="21" t="inlineStr">
        <is>
          <t>FP</t>
        </is>
      </c>
      <c r="J756" s="21" t="inlineStr">
        <is>
          <t>M</t>
        </is>
      </c>
      <c r="K756" s="21" t="inlineStr">
        <is>
          <t>N</t>
        </is>
      </c>
      <c r="L756" s="21" t="inlineStr">
        <is>
          <t>No</t>
        </is>
      </c>
      <c r="M756" s="21" t="inlineStr"/>
      <c r="N756" s="22" t="inlineStr">
        <is>
          <t>Process-identity spoofing / memory-integrity template; no reference mechanism (authentication bypass RT-004 is logic-based, not process-spoofing).</t>
        </is>
      </c>
      <c r="O756" s="5" t="inlineStr"/>
      <c r="P756" s="16" t="inlineStr">
        <is>
          <t>P1 Web Frontend Interface May be Subject to Elevation of Privilege Using Remote Code Execution</t>
        </is>
      </c>
      <c r="Q756" s="16" t="inlineStr">
        <is>
          <t>Diagram 1</t>
        </is>
      </c>
      <c r="R756" s="16" t="inlineStr">
        <is>
          <t>Password reset request</t>
        </is>
      </c>
      <c r="S756" s="5" t="inlineStr">
        <is>
          <t>Confirmed</t>
        </is>
      </c>
    </row>
    <row r="757" ht="16" customHeight="1">
      <c r="A757" s="5" t="inlineStr">
        <is>
          <t>TMT-S3-F038</t>
        </is>
      </c>
      <c r="B757" s="5" t="inlineStr">
        <is>
          <t>TMT</t>
        </is>
      </c>
      <c r="C757" s="5" t="inlineStr">
        <is>
          <t>S3</t>
        </is>
      </c>
      <c r="D757" s="21" t="str">
        <f>IFERROR(VLOOKUP($G757,'02_REFERENCE'!$A$2:$S$99,4,FALSE),"N/A")</f>
        <v>Denial of Service</v>
      </c>
      <c r="E757" s="21" t="str">
        <f>IFERROR(VLOOKUP($G757,'02_REFERENCE'!$A$2:$S$99,15,FALSE),"N/A")</f>
        <v>High</v>
      </c>
      <c r="F757" s="21" t="str">
        <f>IFERROR(VLOOKUP($G757,'02_REFERENCE'!$A$2:$S$99,17,FALSE),"N/A")</f>
        <v>No</v>
      </c>
      <c r="G757" s="21" t="inlineStr">
        <is>
          <t>S3-RT-030</t>
        </is>
      </c>
      <c r="H757" s="21" t="inlineStr">
        <is>
          <t>Duplicate</t>
        </is>
      </c>
      <c r="I757" s="21" t="inlineStr">
        <is>
          <t>TP</t>
        </is>
      </c>
      <c r="J757" s="21" t="inlineStr">
        <is>
          <t>M</t>
        </is>
      </c>
      <c r="K757" s="21" t="inlineStr">
        <is>
          <t>N</t>
        </is>
      </c>
      <c r="L757" s="21" t="inlineStr">
        <is>
          <t>Yes</t>
        </is>
      </c>
      <c r="M757" s="21" t="inlineStr">
        <is>
          <t>TMT-S3-F007</t>
        </is>
      </c>
      <c r="N757" s="22" t="inlineStr">
        <is>
          <t>Interruption of a primary-service flow -&gt; availability loss of the service path -&gt; reference S3-RT-030. [Equivalence: restates TMT-S3-F007 — one-to-one rule applied.]</t>
        </is>
      </c>
      <c r="O757" s="5" t="inlineStr">
        <is>
          <t>dos_service</t>
        </is>
      </c>
      <c r="P757" s="16" t="inlineStr">
        <is>
          <t>Data Flow Password reset request Is Potentially Interrupted</t>
        </is>
      </c>
      <c r="Q757" s="16" t="inlineStr">
        <is>
          <t>Diagram 1</t>
        </is>
      </c>
      <c r="R757" s="16" t="inlineStr">
        <is>
          <t>Password reset request</t>
        </is>
      </c>
      <c r="S757" s="5" t="inlineStr">
        <is>
          <t>Confirmed</t>
        </is>
      </c>
    </row>
    <row r="758" ht="16" customHeight="1">
      <c r="A758" s="5" t="inlineStr">
        <is>
          <t>TMT-S3-F039</t>
        </is>
      </c>
      <c r="B758" s="5" t="inlineStr">
        <is>
          <t>TMT</t>
        </is>
      </c>
      <c r="C758" s="5" t="inlineStr">
        <is>
          <t>S3</t>
        </is>
      </c>
      <c r="D758" s="21" t="str">
        <f>IFERROR(VLOOKUP($G758,'02_REFERENCE'!$A$2:$S$99,4,FALSE),"N/A")</f>
        <v>N/A</v>
      </c>
      <c r="E758" s="21" t="str">
        <f>IFERROR(VLOOKUP($G758,'02_REFERENCE'!$A$2:$S$99,15,FALSE),"N/A")</f>
        <v>N/A</v>
      </c>
      <c r="F758" s="21" t="str">
        <f>IFERROR(VLOOKUP($G758,'02_REFERENCE'!$A$2:$S$99,17,FALSE),"N/A")</f>
        <v>N/A</v>
      </c>
      <c r="G758" s="21" t="inlineStr"/>
      <c r="H758" s="21" t="inlineStr">
        <is>
          <t>False Positive</t>
        </is>
      </c>
      <c r="I758" s="21" t="inlineStr">
        <is>
          <t>FP</t>
        </is>
      </c>
      <c r="J758" s="21" t="inlineStr">
        <is>
          <t>M</t>
        </is>
      </c>
      <c r="K758" s="21" t="inlineStr">
        <is>
          <t>N</t>
        </is>
      </c>
      <c r="L758" s="21" t="inlineStr">
        <is>
          <t>No</t>
        </is>
      </c>
      <c r="M758" s="21" t="inlineStr"/>
      <c r="N758" s="22" t="inlineStr">
        <is>
          <t>Process-crash template (internal availability); no reference mechanism (provider-unavailability refs concern the external service; DoS refs concern attacker-driven flooding).</t>
        </is>
      </c>
      <c r="O758" s="5" t="inlineStr"/>
      <c r="P758" s="16" t="inlineStr">
        <is>
          <t>Potential Process Crash or Stop for P1 Web Frontend Interface</t>
        </is>
      </c>
      <c r="Q758" s="16" t="inlineStr">
        <is>
          <t>Diagram 1</t>
        </is>
      </c>
      <c r="R758" s="16" t="inlineStr">
        <is>
          <t>Password reset request</t>
        </is>
      </c>
      <c r="S758" s="5" t="inlineStr">
        <is>
          <t>Confirmed</t>
        </is>
      </c>
    </row>
    <row r="759" ht="16" customHeight="1">
      <c r="A759" s="5" t="inlineStr">
        <is>
          <t>TMT-S3-F040</t>
        </is>
      </c>
      <c r="B759" s="5" t="inlineStr">
        <is>
          <t>TMT</t>
        </is>
      </c>
      <c r="C759" s="5" t="inlineStr">
        <is>
          <t>S3</t>
        </is>
      </c>
      <c r="D759" s="21" t="str">
        <f>IFERROR(VLOOKUP($G759,'02_REFERENCE'!$A$2:$S$99,4,FALSE),"N/A")</f>
        <v>Repudiation</v>
      </c>
      <c r="E759" s="21" t="str">
        <f>IFERROR(VLOOKUP($G759,'02_REFERENCE'!$A$2:$S$99,15,FALSE),"N/A")</f>
        <v>Medium</v>
      </c>
      <c r="F759" s="21" t="str">
        <f>IFERROR(VLOOKUP($G759,'02_REFERENCE'!$A$2:$S$99,17,FALSE),"N/A")</f>
        <v>No</v>
      </c>
      <c r="G759" s="21" t="inlineStr">
        <is>
          <t>S3-RT-018</t>
        </is>
      </c>
      <c r="H759" s="21" t="inlineStr">
        <is>
          <t>Primary TP</t>
        </is>
      </c>
      <c r="I759" s="21" t="inlineStr">
        <is>
          <t>TP</t>
        </is>
      </c>
      <c r="J759" s="21" t="inlineStr">
        <is>
          <t>M</t>
        </is>
      </c>
      <c r="K759" s="21" t="inlineStr">
        <is>
          <t>Y</t>
        </is>
      </c>
      <c r="L759" s="21" t="inlineStr">
        <is>
          <t>No</t>
        </is>
      </c>
      <c r="M759" s="21" t="inlineStr"/>
      <c r="N759" s="22" t="inlineStr">
        <is>
          <t>Attribution template -&gt; reference S3-RT-018 (unspecified attribution of security-relevant actions).</t>
        </is>
      </c>
      <c r="O759" s="5" t="inlineStr">
        <is>
          <t>repudiation</t>
        </is>
      </c>
      <c r="P759" s="16" t="inlineStr">
        <is>
          <t>Potential Data Repudiation by P1 Web Frontend Interface</t>
        </is>
      </c>
      <c r="Q759" s="16" t="inlineStr">
        <is>
          <t>Diagram 1</t>
        </is>
      </c>
      <c r="R759" s="16" t="inlineStr">
        <is>
          <t>Password reset request</t>
        </is>
      </c>
      <c r="S759" s="5" t="inlineStr">
        <is>
          <t>Confirmed</t>
        </is>
      </c>
    </row>
    <row r="760" ht="16" customHeight="1">
      <c r="A760" s="5" t="inlineStr">
        <is>
          <t>TMT-S3-F041</t>
        </is>
      </c>
      <c r="B760" s="5" t="inlineStr">
        <is>
          <t>TMT</t>
        </is>
      </c>
      <c r="C760" s="5" t="inlineStr">
        <is>
          <t>S3</t>
        </is>
      </c>
      <c r="D760" s="21" t="str">
        <f>IFERROR(VLOOKUP($G760,'02_REFERENCE'!$A$2:$S$99,4,FALSE),"N/A")</f>
        <v>N/A</v>
      </c>
      <c r="E760" s="21" t="str">
        <f>IFERROR(VLOOKUP($G760,'02_REFERENCE'!$A$2:$S$99,15,FALSE),"N/A")</f>
        <v>N/A</v>
      </c>
      <c r="F760" s="21" t="str">
        <f>IFERROR(VLOOKUP($G760,'02_REFERENCE'!$A$2:$S$99,17,FALSE),"N/A")</f>
        <v>N/A</v>
      </c>
      <c r="G760" s="21" t="inlineStr"/>
      <c r="H760" s="21" t="inlineStr">
        <is>
          <t>False Positive</t>
        </is>
      </c>
      <c r="I760" s="21" t="inlineStr">
        <is>
          <t>FP</t>
        </is>
      </c>
      <c r="J760" s="21" t="inlineStr">
        <is>
          <t>M</t>
        </is>
      </c>
      <c r="K760" s="21" t="inlineStr">
        <is>
          <t>N</t>
        </is>
      </c>
      <c r="L760" s="21" t="inlineStr">
        <is>
          <t>No</t>
        </is>
      </c>
      <c r="M760" s="21" t="inlineStr"/>
      <c r="N760" s="22" t="inlineStr">
        <is>
          <t>Process-identity spoofing / memory-integrity template; no reference mechanism (authentication bypass RT-004 is logic-based, not process-spoofing).</t>
        </is>
      </c>
      <c r="O760" s="5" t="inlineStr"/>
      <c r="P760" s="16" t="inlineStr">
        <is>
          <t>Elevation by Changing the Execution Flow in P1 Web Frontend Interface</t>
        </is>
      </c>
      <c r="Q760" s="16" t="inlineStr">
        <is>
          <t>Diagram 1</t>
        </is>
      </c>
      <c r="R760" s="16" t="inlineStr">
        <is>
          <t>reset token and new password</t>
        </is>
      </c>
      <c r="S760" s="5" t="inlineStr">
        <is>
          <t>Confirmed</t>
        </is>
      </c>
    </row>
    <row r="761" ht="16" customHeight="1">
      <c r="A761" s="5" t="inlineStr">
        <is>
          <t>TMT-S3-F042</t>
        </is>
      </c>
      <c r="B761" s="5" t="inlineStr">
        <is>
          <t>TMT</t>
        </is>
      </c>
      <c r="C761" s="5" t="inlineStr">
        <is>
          <t>S3</t>
        </is>
      </c>
      <c r="D761" s="21" t="str">
        <f>IFERROR(VLOOKUP($G761,'02_REFERENCE'!$A$2:$S$99,4,FALSE),"N/A")</f>
        <v>N/A</v>
      </c>
      <c r="E761" s="21" t="str">
        <f>IFERROR(VLOOKUP($G761,'02_REFERENCE'!$A$2:$S$99,15,FALSE),"N/A")</f>
        <v>N/A</v>
      </c>
      <c r="F761" s="21" t="str">
        <f>IFERROR(VLOOKUP($G761,'02_REFERENCE'!$A$2:$S$99,17,FALSE),"N/A")</f>
        <v>N/A</v>
      </c>
      <c r="G761" s="21" t="inlineStr"/>
      <c r="H761" s="21" t="inlineStr">
        <is>
          <t>False Positive</t>
        </is>
      </c>
      <c r="I761" s="21" t="inlineStr">
        <is>
          <t>FP</t>
        </is>
      </c>
      <c r="J761" s="21" t="inlineStr">
        <is>
          <t>M</t>
        </is>
      </c>
      <c r="K761" s="21" t="inlineStr">
        <is>
          <t>N</t>
        </is>
      </c>
      <c r="L761" s="21" t="inlineStr">
        <is>
          <t>No</t>
        </is>
      </c>
      <c r="M761" s="21" t="inlineStr"/>
      <c r="N761" s="22" t="inlineStr">
        <is>
          <t>Process-identity spoofing / memory-integrity template; no reference mechanism (authentication bypass RT-004 is logic-based, not process-spoofing).</t>
        </is>
      </c>
      <c r="O761" s="5" t="inlineStr"/>
      <c r="P761" s="16" t="inlineStr">
        <is>
          <t>P1 Web Frontend Interface May be Subject to Elevation of Privilege Using Remote Code Execution</t>
        </is>
      </c>
      <c r="Q761" s="16" t="inlineStr">
        <is>
          <t>Diagram 1</t>
        </is>
      </c>
      <c r="R761" s="16" t="inlineStr">
        <is>
          <t>reset token and new password</t>
        </is>
      </c>
      <c r="S761" s="5" t="inlineStr">
        <is>
          <t>Confirmed</t>
        </is>
      </c>
    </row>
    <row r="762" ht="16" customHeight="1">
      <c r="A762" s="5" t="inlineStr">
        <is>
          <t>TMT-S3-F043</t>
        </is>
      </c>
      <c r="B762" s="5" t="inlineStr">
        <is>
          <t>TMT</t>
        </is>
      </c>
      <c r="C762" s="5" t="inlineStr">
        <is>
          <t>S3</t>
        </is>
      </c>
      <c r="D762" s="21" t="str">
        <f>IFERROR(VLOOKUP($G762,'02_REFERENCE'!$A$2:$S$99,4,FALSE),"N/A")</f>
        <v>Denial of Service</v>
      </c>
      <c r="E762" s="21" t="str">
        <f>IFERROR(VLOOKUP($G762,'02_REFERENCE'!$A$2:$S$99,15,FALSE),"N/A")</f>
        <v>High</v>
      </c>
      <c r="F762" s="21" t="str">
        <f>IFERROR(VLOOKUP($G762,'02_REFERENCE'!$A$2:$S$99,17,FALSE),"N/A")</f>
        <v>No</v>
      </c>
      <c r="G762" s="21" t="inlineStr">
        <is>
          <t>S3-RT-030</t>
        </is>
      </c>
      <c r="H762" s="21" t="inlineStr">
        <is>
          <t>Duplicate</t>
        </is>
      </c>
      <c r="I762" s="21" t="inlineStr">
        <is>
          <t>TP</t>
        </is>
      </c>
      <c r="J762" s="21" t="inlineStr">
        <is>
          <t>M</t>
        </is>
      </c>
      <c r="K762" s="21" t="inlineStr">
        <is>
          <t>N</t>
        </is>
      </c>
      <c r="L762" s="21" t="inlineStr">
        <is>
          <t>Yes</t>
        </is>
      </c>
      <c r="M762" s="21" t="inlineStr">
        <is>
          <t>TMT-S3-F007</t>
        </is>
      </c>
      <c r="N762" s="22" t="inlineStr">
        <is>
          <t>Interruption of a primary-service flow -&gt; availability loss of the service path -&gt; reference S3-RT-030. [Equivalence: restates TMT-S3-F007 — one-to-one rule applied.]</t>
        </is>
      </c>
      <c r="O762" s="5" t="inlineStr">
        <is>
          <t>dos_service</t>
        </is>
      </c>
      <c r="P762" s="16" t="inlineStr">
        <is>
          <t>Data Flow reset token and new password Is Potentially Interrupted</t>
        </is>
      </c>
      <c r="Q762" s="16" t="inlineStr">
        <is>
          <t>Diagram 1</t>
        </is>
      </c>
      <c r="R762" s="16" t="inlineStr">
        <is>
          <t>reset token and new password</t>
        </is>
      </c>
      <c r="S762" s="5" t="inlineStr">
        <is>
          <t>Confirmed</t>
        </is>
      </c>
    </row>
    <row r="763" ht="16" customHeight="1">
      <c r="A763" s="5" t="inlineStr">
        <is>
          <t>TMT-S3-F044</t>
        </is>
      </c>
      <c r="B763" s="5" t="inlineStr">
        <is>
          <t>TMT</t>
        </is>
      </c>
      <c r="C763" s="5" t="inlineStr">
        <is>
          <t>S3</t>
        </is>
      </c>
      <c r="D763" s="21" t="str">
        <f>IFERROR(VLOOKUP($G763,'02_REFERENCE'!$A$2:$S$99,4,FALSE),"N/A")</f>
        <v>N/A</v>
      </c>
      <c r="E763" s="21" t="str">
        <f>IFERROR(VLOOKUP($G763,'02_REFERENCE'!$A$2:$S$99,15,FALSE),"N/A")</f>
        <v>N/A</v>
      </c>
      <c r="F763" s="21" t="str">
        <f>IFERROR(VLOOKUP($G763,'02_REFERENCE'!$A$2:$S$99,17,FALSE),"N/A")</f>
        <v>N/A</v>
      </c>
      <c r="G763" s="21" t="inlineStr"/>
      <c r="H763" s="21" t="inlineStr">
        <is>
          <t>False Positive</t>
        </is>
      </c>
      <c r="I763" s="21" t="inlineStr">
        <is>
          <t>FP</t>
        </is>
      </c>
      <c r="J763" s="21" t="inlineStr">
        <is>
          <t>M</t>
        </is>
      </c>
      <c r="K763" s="21" t="inlineStr">
        <is>
          <t>N</t>
        </is>
      </c>
      <c r="L763" s="21" t="inlineStr">
        <is>
          <t>No</t>
        </is>
      </c>
      <c r="M763" s="21" t="inlineStr"/>
      <c r="N763" s="22" t="inlineStr">
        <is>
          <t>Process-crash template (internal availability); no reference mechanism (provider-unavailability refs concern the external service; DoS refs concern attacker-driven flooding).</t>
        </is>
      </c>
      <c r="O763" s="5" t="inlineStr"/>
      <c r="P763" s="16" t="inlineStr">
        <is>
          <t>Potential Process Crash or Stop for P1 Web Frontend Interface</t>
        </is>
      </c>
      <c r="Q763" s="16" t="inlineStr">
        <is>
          <t>Diagram 1</t>
        </is>
      </c>
      <c r="R763" s="16" t="inlineStr">
        <is>
          <t>reset token and new password</t>
        </is>
      </c>
      <c r="S763" s="5" t="inlineStr">
        <is>
          <t>Confirmed</t>
        </is>
      </c>
    </row>
    <row r="764" ht="16" customHeight="1">
      <c r="A764" s="5" t="inlineStr">
        <is>
          <t>TMT-S3-F045</t>
        </is>
      </c>
      <c r="B764" s="5" t="inlineStr">
        <is>
          <t>TMT</t>
        </is>
      </c>
      <c r="C764" s="5" t="inlineStr">
        <is>
          <t>S3</t>
        </is>
      </c>
      <c r="D764" s="21" t="str">
        <f>IFERROR(VLOOKUP($G764,'02_REFERENCE'!$A$2:$S$99,4,FALSE),"N/A")</f>
        <v>Repudiation</v>
      </c>
      <c r="E764" s="21" t="str">
        <f>IFERROR(VLOOKUP($G764,'02_REFERENCE'!$A$2:$S$99,15,FALSE),"N/A")</f>
        <v>Medium</v>
      </c>
      <c r="F764" s="21" t="str">
        <f>IFERROR(VLOOKUP($G764,'02_REFERENCE'!$A$2:$S$99,17,FALSE),"N/A")</f>
        <v>No</v>
      </c>
      <c r="G764" s="21" t="inlineStr">
        <is>
          <t>S3-RT-018</t>
        </is>
      </c>
      <c r="H764" s="21" t="inlineStr">
        <is>
          <t>Duplicate</t>
        </is>
      </c>
      <c r="I764" s="21" t="inlineStr">
        <is>
          <t>TP</t>
        </is>
      </c>
      <c r="J764" s="21" t="inlineStr">
        <is>
          <t>M</t>
        </is>
      </c>
      <c r="K764" s="21" t="inlineStr">
        <is>
          <t>N</t>
        </is>
      </c>
      <c r="L764" s="21" t="inlineStr">
        <is>
          <t>Yes</t>
        </is>
      </c>
      <c r="M764" s="21" t="inlineStr">
        <is>
          <t>TMT-S3-F040</t>
        </is>
      </c>
      <c r="N764" s="22" t="inlineStr">
        <is>
          <t>Attribution template -&gt; reference S3-RT-018 (unspecified attribution of security-relevant actions). [Equivalence: restates TMT-S3-F040 — one-to-one rule applied.]</t>
        </is>
      </c>
      <c r="O764" s="5" t="inlineStr">
        <is>
          <t>repudiation</t>
        </is>
      </c>
      <c r="P764" s="16" t="inlineStr">
        <is>
          <t>Potential Data Repudiation by P1 Web Frontend Interface</t>
        </is>
      </c>
      <c r="Q764" s="16" t="inlineStr">
        <is>
          <t>Diagram 1</t>
        </is>
      </c>
      <c r="R764" s="16" t="inlineStr">
        <is>
          <t>reset token and new password</t>
        </is>
      </c>
      <c r="S764" s="5" t="inlineStr">
        <is>
          <t>Confirmed</t>
        </is>
      </c>
    </row>
    <row r="765" ht="16" customHeight="1">
      <c r="A765" s="5" t="inlineStr">
        <is>
          <t>TMT-S3-F046</t>
        </is>
      </c>
      <c r="B765" s="5" t="inlineStr">
        <is>
          <t>TMT</t>
        </is>
      </c>
      <c r="C765" s="5" t="inlineStr">
        <is>
          <t>S3</t>
        </is>
      </c>
      <c r="D765" s="21" t="str">
        <f>IFERROR(VLOOKUP($G765,'02_REFERENCE'!$A$2:$S$99,4,FALSE),"N/A")</f>
        <v>N/A</v>
      </c>
      <c r="E765" s="21" t="str">
        <f>IFERROR(VLOOKUP($G765,'02_REFERENCE'!$A$2:$S$99,15,FALSE),"N/A")</f>
        <v>N/A</v>
      </c>
      <c r="F765" s="21" t="str">
        <f>IFERROR(VLOOKUP($G765,'02_REFERENCE'!$A$2:$S$99,17,FALSE),"N/A")</f>
        <v>N/A</v>
      </c>
      <c r="G765" s="21" t="inlineStr"/>
      <c r="H765" s="21" t="inlineStr">
        <is>
          <t>False Positive</t>
        </is>
      </c>
      <c r="I765" s="21" t="inlineStr">
        <is>
          <t>FP</t>
        </is>
      </c>
      <c r="J765" s="21" t="inlineStr">
        <is>
          <t>M</t>
        </is>
      </c>
      <c r="K765" s="21" t="inlineStr">
        <is>
          <t>N</t>
        </is>
      </c>
      <c r="L765" s="21" t="inlineStr">
        <is>
          <t>No</t>
        </is>
      </c>
      <c r="M765" s="21" t="inlineStr"/>
      <c r="N765" s="22" t="inlineStr">
        <is>
          <t>CSRF template; the reference baseline contains no CSRF mechanism (session threats are fixation/theft/replay/prediction/storage).</t>
        </is>
      </c>
      <c r="O765" s="5" t="inlineStr"/>
      <c r="P765" s="16" t="inlineStr">
        <is>
          <t>Cross Site Request Forgery</t>
        </is>
      </c>
      <c r="Q765" s="16" t="inlineStr">
        <is>
          <t>Diagram 1</t>
        </is>
      </c>
      <c r="R765" s="16" t="inlineStr">
        <is>
          <t>Password reset request</t>
        </is>
      </c>
      <c r="S765" s="5" t="inlineStr">
        <is>
          <t>Confirmed</t>
        </is>
      </c>
    </row>
    <row r="766" ht="16" customHeight="1">
      <c r="A766" s="5" t="inlineStr">
        <is>
          <t>TMT-S3-F047</t>
        </is>
      </c>
      <c r="B766" s="5" t="inlineStr">
        <is>
          <t>TMT</t>
        </is>
      </c>
      <c r="C766" s="5" t="inlineStr">
        <is>
          <t>S3</t>
        </is>
      </c>
      <c r="D766" s="21" t="str">
        <f>IFERROR(VLOOKUP($G766,'02_REFERENCE'!$A$2:$S$99,4,FALSE),"N/A")</f>
        <v>N/A</v>
      </c>
      <c r="E766" s="21" t="str">
        <f>IFERROR(VLOOKUP($G766,'02_REFERENCE'!$A$2:$S$99,15,FALSE),"N/A")</f>
        <v>N/A</v>
      </c>
      <c r="F766" s="21" t="str">
        <f>IFERROR(VLOOKUP($G766,'02_REFERENCE'!$A$2:$S$99,17,FALSE),"N/A")</f>
        <v>N/A</v>
      </c>
      <c r="G766" s="21" t="inlineStr"/>
      <c r="H766" s="21" t="inlineStr">
        <is>
          <t>False Positive</t>
        </is>
      </c>
      <c r="I766" s="21" t="inlineStr">
        <is>
          <t>FP</t>
        </is>
      </c>
      <c r="J766" s="21" t="inlineStr">
        <is>
          <t>M</t>
        </is>
      </c>
      <c r="K766" s="21" t="inlineStr">
        <is>
          <t>N</t>
        </is>
      </c>
      <c r="L766" s="21" t="inlineStr">
        <is>
          <t>No</t>
        </is>
      </c>
      <c r="M766" s="21" t="inlineStr"/>
      <c r="N766" s="22" t="inlineStr">
        <is>
          <t>Process-identity spoofing / memory-integrity template; no reference mechanism (authentication bypass RT-004 is logic-based, not process-spoofing).</t>
        </is>
      </c>
      <c r="O766" s="5" t="inlineStr"/>
      <c r="P766" s="16" t="inlineStr">
        <is>
          <t>Elevation by Changing the Execution Flow in P1 Web Frontend Interface</t>
        </is>
      </c>
      <c r="Q766" s="16" t="inlineStr">
        <is>
          <t>Diagram 1</t>
        </is>
      </c>
      <c r="R766" s="16" t="inlineStr">
        <is>
          <t>Password reset request</t>
        </is>
      </c>
      <c r="S766" s="5" t="inlineStr">
        <is>
          <t>Confirmed</t>
        </is>
      </c>
    </row>
    <row r="767" ht="16" customHeight="1">
      <c r="A767" s="5" t="inlineStr">
        <is>
          <t>TMT-S3-F048</t>
        </is>
      </c>
      <c r="B767" s="5" t="inlineStr">
        <is>
          <t>TMT</t>
        </is>
      </c>
      <c r="C767" s="5" t="inlineStr">
        <is>
          <t>S3</t>
        </is>
      </c>
      <c r="D767" s="21" t="str">
        <f>IFERROR(VLOOKUP($G767,'02_REFERENCE'!$A$2:$S$99,4,FALSE),"N/A")</f>
        <v>N/A</v>
      </c>
      <c r="E767" s="21" t="str">
        <f>IFERROR(VLOOKUP($G767,'02_REFERENCE'!$A$2:$S$99,15,FALSE),"N/A")</f>
        <v>N/A</v>
      </c>
      <c r="F767" s="21" t="str">
        <f>IFERROR(VLOOKUP($G767,'02_REFERENCE'!$A$2:$S$99,17,FALSE),"N/A")</f>
        <v>N/A</v>
      </c>
      <c r="G767" s="21" t="inlineStr"/>
      <c r="H767" s="21" t="inlineStr">
        <is>
          <t>False Positive</t>
        </is>
      </c>
      <c r="I767" s="21" t="inlineStr">
        <is>
          <t>FP</t>
        </is>
      </c>
      <c r="J767" s="21" t="inlineStr">
        <is>
          <t>M</t>
        </is>
      </c>
      <c r="K767" s="21" t="inlineStr">
        <is>
          <t>N</t>
        </is>
      </c>
      <c r="L767" s="21" t="inlineStr">
        <is>
          <t>No</t>
        </is>
      </c>
      <c r="M767" s="21" t="inlineStr"/>
      <c r="N767" s="22" t="inlineStr">
        <is>
          <t>CSRF template; the reference baseline contains no CSRF mechanism (session threats are fixation/theft/replay/prediction/storage).</t>
        </is>
      </c>
      <c r="O767" s="5" t="inlineStr"/>
      <c r="P767" s="16" t="inlineStr">
        <is>
          <t>Cross Site Request Forgery</t>
        </is>
      </c>
      <c r="Q767" s="16" t="inlineStr">
        <is>
          <t>Diagram 1</t>
        </is>
      </c>
      <c r="R767" s="16" t="inlineStr">
        <is>
          <t>reset token and new password</t>
        </is>
      </c>
      <c r="S767" s="5" t="inlineStr">
        <is>
          <t>Confirmed</t>
        </is>
      </c>
    </row>
    <row r="768" ht="16" customHeight="1">
      <c r="A768" s="5" t="inlineStr">
        <is>
          <t>TMT-S3-F049</t>
        </is>
      </c>
      <c r="B768" s="5" t="inlineStr">
        <is>
          <t>TMT</t>
        </is>
      </c>
      <c r="C768" s="5" t="inlineStr">
        <is>
          <t>S3</t>
        </is>
      </c>
      <c r="D768" s="21" t="str">
        <f>IFERROR(VLOOKUP($G768,'02_REFERENCE'!$A$2:$S$99,4,FALSE),"N/A")</f>
        <v>N/A</v>
      </c>
      <c r="E768" s="21" t="str">
        <f>IFERROR(VLOOKUP($G768,'02_REFERENCE'!$A$2:$S$99,15,FALSE),"N/A")</f>
        <v>N/A</v>
      </c>
      <c r="F768" s="21" t="str">
        <f>IFERROR(VLOOKUP($G768,'02_REFERENCE'!$A$2:$S$99,17,FALSE),"N/A")</f>
        <v>N/A</v>
      </c>
      <c r="G768" s="21" t="inlineStr"/>
      <c r="H768" s="21" t="inlineStr">
        <is>
          <t>False Positive</t>
        </is>
      </c>
      <c r="I768" s="21" t="inlineStr">
        <is>
          <t>FP</t>
        </is>
      </c>
      <c r="J768" s="21" t="inlineStr">
        <is>
          <t>M</t>
        </is>
      </c>
      <c r="K768" s="21" t="inlineStr">
        <is>
          <t>N</t>
        </is>
      </c>
      <c r="L768" s="21" t="inlineStr">
        <is>
          <t>No</t>
        </is>
      </c>
      <c r="M768" s="21" t="inlineStr"/>
      <c r="N768" s="22" t="inlineStr">
        <is>
          <t>Process-identity spoofing / memory-integrity template; no reference mechanism (authentication bypass RT-004 is logic-based, not process-spoofing).</t>
        </is>
      </c>
      <c r="O768" s="5" t="inlineStr"/>
      <c r="P768" s="16" t="inlineStr">
        <is>
          <t>Spoofing the EE1 Registered User (Browser) Process</t>
        </is>
      </c>
      <c r="Q768" s="16" t="inlineStr">
        <is>
          <t>Diagram 1</t>
        </is>
      </c>
      <c r="R768" s="16" t="inlineStr">
        <is>
          <t>password reset token</t>
        </is>
      </c>
      <c r="S768" s="5" t="inlineStr">
        <is>
          <t>Confirmed</t>
        </is>
      </c>
    </row>
    <row r="769" ht="16" customHeight="1">
      <c r="A769" s="5" t="inlineStr">
        <is>
          <t>TMT-S3-F050</t>
        </is>
      </c>
      <c r="B769" s="5" t="inlineStr">
        <is>
          <t>TMT</t>
        </is>
      </c>
      <c r="C769" s="5" t="inlineStr">
        <is>
          <t>S3</t>
        </is>
      </c>
      <c r="D769" s="21" t="str">
        <f>IFERROR(VLOOKUP($G769,'02_REFERENCE'!$A$2:$S$99,4,FALSE),"N/A")</f>
        <v>N/A</v>
      </c>
      <c r="E769" s="21" t="str">
        <f>IFERROR(VLOOKUP($G769,'02_REFERENCE'!$A$2:$S$99,15,FALSE),"N/A")</f>
        <v>N/A</v>
      </c>
      <c r="F769" s="21" t="str">
        <f>IFERROR(VLOOKUP($G769,'02_REFERENCE'!$A$2:$S$99,17,FALSE),"N/A")</f>
        <v>N/A</v>
      </c>
      <c r="G769" s="21" t="inlineStr"/>
      <c r="H769" s="21" t="inlineStr">
        <is>
          <t>False Positive</t>
        </is>
      </c>
      <c r="I769" s="21" t="inlineStr">
        <is>
          <t>FP</t>
        </is>
      </c>
      <c r="J769" s="21" t="inlineStr">
        <is>
          <t>M</t>
        </is>
      </c>
      <c r="K769" s="21" t="inlineStr">
        <is>
          <t>N</t>
        </is>
      </c>
      <c r="L769" s="21" t="inlineStr">
        <is>
          <t>No</t>
        </is>
      </c>
      <c r="M769" s="21" t="inlineStr"/>
      <c r="N769" s="22" t="inlineStr">
        <is>
          <t>Generic input-validation template; flow-specific reference mapping not supported (no matching mechanism).</t>
        </is>
      </c>
      <c r="O769" s="5" t="inlineStr"/>
      <c r="P769" s="16" t="inlineStr">
        <is>
          <t>Potential Lack of Input Validation for EE1 Registered User (Browser)</t>
        </is>
      </c>
      <c r="Q769" s="16" t="inlineStr">
        <is>
          <t>Diagram 1</t>
        </is>
      </c>
      <c r="R769" s="16" t="inlineStr">
        <is>
          <t>password reset token</t>
        </is>
      </c>
      <c r="S769" s="5" t="inlineStr">
        <is>
          <t>Confirmed</t>
        </is>
      </c>
    </row>
    <row r="770" ht="16" customHeight="1">
      <c r="A770" s="5" t="inlineStr">
        <is>
          <t>TMT-S3-F051</t>
        </is>
      </c>
      <c r="B770" s="5" t="inlineStr">
        <is>
          <t>TMT</t>
        </is>
      </c>
      <c r="C770" s="5" t="inlineStr">
        <is>
          <t>S3</t>
        </is>
      </c>
      <c r="D770" s="21" t="str">
        <f>IFERROR(VLOOKUP($G770,'02_REFERENCE'!$A$2:$S$99,4,FALSE),"N/A")</f>
        <v>Repudiation</v>
      </c>
      <c r="E770" s="21" t="str">
        <f>IFERROR(VLOOKUP($G770,'02_REFERENCE'!$A$2:$S$99,15,FALSE),"N/A")</f>
        <v>Medium</v>
      </c>
      <c r="F770" s="21" t="str">
        <f>IFERROR(VLOOKUP($G770,'02_REFERENCE'!$A$2:$S$99,17,FALSE),"N/A")</f>
        <v>No</v>
      </c>
      <c r="G770" s="21" t="inlineStr">
        <is>
          <t>S3-RT-018</t>
        </is>
      </c>
      <c r="H770" s="21" t="inlineStr">
        <is>
          <t>Duplicate</t>
        </is>
      </c>
      <c r="I770" s="21" t="inlineStr">
        <is>
          <t>TP</t>
        </is>
      </c>
      <c r="J770" s="21" t="inlineStr">
        <is>
          <t>M</t>
        </is>
      </c>
      <c r="K770" s="21" t="inlineStr">
        <is>
          <t>N</t>
        </is>
      </c>
      <c r="L770" s="21" t="inlineStr">
        <is>
          <t>Yes</t>
        </is>
      </c>
      <c r="M770" s="21" t="inlineStr">
        <is>
          <t>TMT-S3-F040</t>
        </is>
      </c>
      <c r="N770" s="22" t="inlineStr">
        <is>
          <t>Attribution template -&gt; reference S3-RT-018 (unspecified attribution of security-relevant actions). [Equivalence: restates TMT-S3-F040 — one-to-one rule applied.]</t>
        </is>
      </c>
      <c r="O770" s="5" t="inlineStr">
        <is>
          <t>repudiation</t>
        </is>
      </c>
      <c r="P770" s="16" t="inlineStr">
        <is>
          <t>Potential Data Repudiation by EE1 Registered User (Browser)</t>
        </is>
      </c>
      <c r="Q770" s="16" t="inlineStr">
        <is>
          <t>Diagram 1</t>
        </is>
      </c>
      <c r="R770" s="16" t="inlineStr">
        <is>
          <t>password reset token</t>
        </is>
      </c>
      <c r="S770" s="5" t="inlineStr">
        <is>
          <t>Confirmed</t>
        </is>
      </c>
    </row>
    <row r="771" ht="16" customHeight="1">
      <c r="A771" s="5" t="inlineStr">
        <is>
          <t>TMT-S3-F052</t>
        </is>
      </c>
      <c r="B771" s="5" t="inlineStr">
        <is>
          <t>TMT</t>
        </is>
      </c>
      <c r="C771" s="5" t="inlineStr">
        <is>
          <t>S3</t>
        </is>
      </c>
      <c r="D771" s="21" t="str">
        <f>IFERROR(VLOOKUP($G771,'02_REFERENCE'!$A$2:$S$99,4,FALSE),"N/A")</f>
        <v>Spoofing</v>
      </c>
      <c r="E771" s="21" t="str">
        <f>IFERROR(VLOOKUP($G771,'02_REFERENCE'!$A$2:$S$99,15,FALSE),"N/A")</f>
        <v>High</v>
      </c>
      <c r="F771" s="21" t="str">
        <f>IFERROR(VLOOKUP($G771,'02_REFERENCE'!$A$2:$S$99,17,FALSE),"N/A")</f>
        <v>No</v>
      </c>
      <c r="G771" s="21" t="inlineStr">
        <is>
          <t>S3-RT-003</t>
        </is>
      </c>
      <c r="H771" s="21" t="inlineStr">
        <is>
          <t>Duplicate</t>
        </is>
      </c>
      <c r="I771" s="21" t="inlineStr">
        <is>
          <t>TP</t>
        </is>
      </c>
      <c r="J771" s="21" t="inlineStr">
        <is>
          <t>M</t>
        </is>
      </c>
      <c r="K771" s="21" t="inlineStr">
        <is>
          <t>N</t>
        </is>
      </c>
      <c r="L771" s="21" t="inlineStr">
        <is>
          <t>Yes</t>
        </is>
      </c>
      <c r="M771" s="21" t="inlineStr">
        <is>
          <t>TMT-S3-F010</t>
        </is>
      </c>
      <c r="N771" s="22" t="inlineStr">
        <is>
          <t>Flow sniffing of session/token material -&gt; token exposure at delivery crossing -&gt; reference S3-RT-003. [Equivalence: restates TMT-S3-F010 — one-to-one rule applied.]</t>
        </is>
      </c>
      <c r="O771" s="5" t="inlineStr">
        <is>
          <t>transit_token</t>
        </is>
      </c>
      <c r="P771" s="16" t="inlineStr">
        <is>
          <t>Data Flow Sniffing</t>
        </is>
      </c>
      <c r="Q771" s="16" t="inlineStr">
        <is>
          <t>Diagram 1</t>
        </is>
      </c>
      <c r="R771" s="16" t="inlineStr">
        <is>
          <t>password reset token</t>
        </is>
      </c>
      <c r="S771" s="5" t="inlineStr">
        <is>
          <t>Confirmed</t>
        </is>
      </c>
    </row>
    <row r="772" ht="16" customHeight="1">
      <c r="A772" s="5" t="inlineStr">
        <is>
          <t>TMT-S3-F053</t>
        </is>
      </c>
      <c r="B772" s="5" t="inlineStr">
        <is>
          <t>TMT</t>
        </is>
      </c>
      <c r="C772" s="5" t="inlineStr">
        <is>
          <t>S3</t>
        </is>
      </c>
      <c r="D772" s="21" t="str">
        <f>IFERROR(VLOOKUP($G772,'02_REFERENCE'!$A$2:$S$99,4,FALSE),"N/A")</f>
        <v>N/A</v>
      </c>
      <c r="E772" s="21" t="str">
        <f>IFERROR(VLOOKUP($G772,'02_REFERENCE'!$A$2:$S$99,15,FALSE),"N/A")</f>
        <v>N/A</v>
      </c>
      <c r="F772" s="21" t="str">
        <f>IFERROR(VLOOKUP($G772,'02_REFERENCE'!$A$2:$S$99,17,FALSE),"N/A")</f>
        <v>N/A</v>
      </c>
      <c r="G772" s="21" t="inlineStr"/>
      <c r="H772" s="21" t="inlineStr">
        <is>
          <t>False Positive</t>
        </is>
      </c>
      <c r="I772" s="21" t="inlineStr">
        <is>
          <t>FP</t>
        </is>
      </c>
      <c r="J772" s="21" t="inlineStr">
        <is>
          <t>M</t>
        </is>
      </c>
      <c r="K772" s="21" t="inlineStr">
        <is>
          <t>N</t>
        </is>
      </c>
      <c r="L772" s="21" t="inlineStr">
        <is>
          <t>No</t>
        </is>
      </c>
      <c r="M772" s="21" t="inlineStr"/>
      <c r="N772" s="22" t="inlineStr">
        <is>
          <t>Process-crash template (internal availability); no reference mechanism (provider-unavailability refs concern the external service; DoS refs concern attacker-driven flooding).</t>
        </is>
      </c>
      <c r="O772" s="5" t="inlineStr"/>
      <c r="P772" s="16" t="inlineStr">
        <is>
          <t>Potential Process Crash or Stop for EE1 Registered User (Browser)</t>
        </is>
      </c>
      <c r="Q772" s="16" t="inlineStr">
        <is>
          <t>Diagram 1</t>
        </is>
      </c>
      <c r="R772" s="16" t="inlineStr">
        <is>
          <t>password reset token</t>
        </is>
      </c>
      <c r="S772" s="5" t="inlineStr">
        <is>
          <t>Confirmed</t>
        </is>
      </c>
    </row>
    <row r="773" ht="16" customHeight="1">
      <c r="A773" s="5" t="inlineStr">
        <is>
          <t>TMT-S3-F054</t>
        </is>
      </c>
      <c r="B773" s="5" t="inlineStr">
        <is>
          <t>TMT</t>
        </is>
      </c>
      <c r="C773" s="5" t="inlineStr">
        <is>
          <t>S3</t>
        </is>
      </c>
      <c r="D773" s="21" t="str">
        <f>IFERROR(VLOOKUP($G773,'02_REFERENCE'!$A$2:$S$99,4,FALSE),"N/A")</f>
        <v>Denial of Service</v>
      </c>
      <c r="E773" s="21" t="str">
        <f>IFERROR(VLOOKUP($G773,'02_REFERENCE'!$A$2:$S$99,15,FALSE),"N/A")</f>
        <v>High</v>
      </c>
      <c r="F773" s="21" t="str">
        <f>IFERROR(VLOOKUP($G773,'02_REFERENCE'!$A$2:$S$99,17,FALSE),"N/A")</f>
        <v>No</v>
      </c>
      <c r="G773" s="21" t="inlineStr">
        <is>
          <t>S3-RT-030</t>
        </is>
      </c>
      <c r="H773" s="21" t="inlineStr">
        <is>
          <t>Duplicate</t>
        </is>
      </c>
      <c r="I773" s="21" t="inlineStr">
        <is>
          <t>TP</t>
        </is>
      </c>
      <c r="J773" s="21" t="inlineStr">
        <is>
          <t>M</t>
        </is>
      </c>
      <c r="K773" s="21" t="inlineStr">
        <is>
          <t>N</t>
        </is>
      </c>
      <c r="L773" s="21" t="inlineStr">
        <is>
          <t>Yes</t>
        </is>
      </c>
      <c r="M773" s="21" t="inlineStr">
        <is>
          <t>TMT-S3-F007</t>
        </is>
      </c>
      <c r="N773" s="22" t="inlineStr">
        <is>
          <t>Interruption of a primary-service flow -&gt; availability loss of the service path -&gt; reference S3-RT-030. [Equivalence: restates TMT-S3-F007 — one-to-one rule applied.]</t>
        </is>
      </c>
      <c r="O773" s="5" t="inlineStr">
        <is>
          <t>dos_service</t>
        </is>
      </c>
      <c r="P773" s="16" t="inlineStr">
        <is>
          <t>Data Flow password reset token Is Potentially Interrupted</t>
        </is>
      </c>
      <c r="Q773" s="16" t="inlineStr">
        <is>
          <t>Diagram 1</t>
        </is>
      </c>
      <c r="R773" s="16" t="inlineStr">
        <is>
          <t>password reset token</t>
        </is>
      </c>
      <c r="S773" s="5" t="inlineStr">
        <is>
          <t>Confirmed</t>
        </is>
      </c>
    </row>
    <row r="774" ht="16" customHeight="1">
      <c r="A774" s="5" t="inlineStr">
        <is>
          <t>TMT-S3-F055</t>
        </is>
      </c>
      <c r="B774" s="5" t="inlineStr">
        <is>
          <t>TMT</t>
        </is>
      </c>
      <c r="C774" s="5" t="inlineStr">
        <is>
          <t>S3</t>
        </is>
      </c>
      <c r="D774" s="21" t="str">
        <f>IFERROR(VLOOKUP($G774,'02_REFERENCE'!$A$2:$S$99,4,FALSE),"N/A")</f>
        <v>N/A</v>
      </c>
      <c r="E774" s="21" t="str">
        <f>IFERROR(VLOOKUP($G774,'02_REFERENCE'!$A$2:$S$99,15,FALSE),"N/A")</f>
        <v>N/A</v>
      </c>
      <c r="F774" s="21" t="str">
        <f>IFERROR(VLOOKUP($G774,'02_REFERENCE'!$A$2:$S$99,17,FALSE),"N/A")</f>
        <v>N/A</v>
      </c>
      <c r="G774" s="21" t="inlineStr"/>
      <c r="H774" s="21" t="inlineStr">
        <is>
          <t>False Positive</t>
        </is>
      </c>
      <c r="I774" s="21" t="inlineStr">
        <is>
          <t>FP</t>
        </is>
      </c>
      <c r="J774" s="21" t="inlineStr">
        <is>
          <t>M</t>
        </is>
      </c>
      <c r="K774" s="21" t="inlineStr">
        <is>
          <t>N</t>
        </is>
      </c>
      <c r="L774" s="21" t="inlineStr">
        <is>
          <t>No</t>
        </is>
      </c>
      <c r="M774" s="21" t="inlineStr"/>
      <c r="N774" s="22" t="inlineStr">
        <is>
          <t>Process-identity spoofing / memory-integrity template; no reference mechanism (authentication bypass RT-004 is logic-based, not process-spoofing).</t>
        </is>
      </c>
      <c r="O774" s="5" t="inlineStr"/>
      <c r="P774" s="16" t="inlineStr">
        <is>
          <t>EE1 Registered User (Browser) May be Subject to Elevation of Privilege Using Remote Code Execution</t>
        </is>
      </c>
      <c r="Q774" s="16" t="inlineStr">
        <is>
          <t>Diagram 1</t>
        </is>
      </c>
      <c r="R774" s="16" t="inlineStr">
        <is>
          <t>password reset token</t>
        </is>
      </c>
      <c r="S774" s="5" t="inlineStr">
        <is>
          <t>Confirmed</t>
        </is>
      </c>
    </row>
    <row r="775" ht="16" customHeight="1">
      <c r="A775" s="5" t="inlineStr">
        <is>
          <t>TMT-S3-F056</t>
        </is>
      </c>
      <c r="B775" s="5" t="inlineStr">
        <is>
          <t>TMT</t>
        </is>
      </c>
      <c r="C775" s="5" t="inlineStr">
        <is>
          <t>S3</t>
        </is>
      </c>
      <c r="D775" s="21" t="str">
        <f>IFERROR(VLOOKUP($G775,'02_REFERENCE'!$A$2:$S$99,4,FALSE),"N/A")</f>
        <v>N/A</v>
      </c>
      <c r="E775" s="21" t="str">
        <f>IFERROR(VLOOKUP($G775,'02_REFERENCE'!$A$2:$S$99,15,FALSE),"N/A")</f>
        <v>N/A</v>
      </c>
      <c r="F775" s="21" t="str">
        <f>IFERROR(VLOOKUP($G775,'02_REFERENCE'!$A$2:$S$99,17,FALSE),"N/A")</f>
        <v>N/A</v>
      </c>
      <c r="G775" s="21" t="inlineStr"/>
      <c r="H775" s="21" t="inlineStr">
        <is>
          <t>False Positive</t>
        </is>
      </c>
      <c r="I775" s="21" t="inlineStr">
        <is>
          <t>FP</t>
        </is>
      </c>
      <c r="J775" s="21" t="inlineStr">
        <is>
          <t>M</t>
        </is>
      </c>
      <c r="K775" s="21" t="inlineStr">
        <is>
          <t>N</t>
        </is>
      </c>
      <c r="L775" s="21" t="inlineStr">
        <is>
          <t>No</t>
        </is>
      </c>
      <c r="M775" s="21" t="inlineStr"/>
      <c r="N775" s="22" t="inlineStr">
        <is>
          <t>Process-identity spoofing / memory-integrity template; no reference mechanism (authentication bypass RT-004 is logic-based, not process-spoofing).</t>
        </is>
      </c>
      <c r="O775" s="5" t="inlineStr"/>
      <c r="P775" s="16" t="inlineStr">
        <is>
          <t>Elevation by Changing the Execution Flow in EE1 Registered User (Browser)</t>
        </is>
      </c>
      <c r="Q775" s="16" t="inlineStr">
        <is>
          <t>Diagram 1</t>
        </is>
      </c>
      <c r="R775" s="16" t="inlineStr">
        <is>
          <t>password reset token</t>
        </is>
      </c>
      <c r="S775" s="5" t="inlineStr">
        <is>
          <t>Confirmed</t>
        </is>
      </c>
    </row>
    <row r="776" ht="16" customHeight="1">
      <c r="A776" s="5" t="inlineStr">
        <is>
          <t>TMT-S3-F057</t>
        </is>
      </c>
      <c r="B776" s="5" t="inlineStr">
        <is>
          <t>TMT</t>
        </is>
      </c>
      <c r="C776" s="5" t="inlineStr">
        <is>
          <t>S3</t>
        </is>
      </c>
      <c r="D776" s="21" t="str">
        <f>IFERROR(VLOOKUP($G776,'02_REFERENCE'!$A$2:$S$99,4,FALSE),"N/A")</f>
        <v>N/A</v>
      </c>
      <c r="E776" s="21" t="str">
        <f>IFERROR(VLOOKUP($G776,'02_REFERENCE'!$A$2:$S$99,15,FALSE),"N/A")</f>
        <v>N/A</v>
      </c>
      <c r="F776" s="21" t="str">
        <f>IFERROR(VLOOKUP($G776,'02_REFERENCE'!$A$2:$S$99,17,FALSE),"N/A")</f>
        <v>N/A</v>
      </c>
      <c r="G776" s="21" t="inlineStr"/>
      <c r="H776" s="21" t="inlineStr">
        <is>
          <t>False Positive</t>
        </is>
      </c>
      <c r="I776" s="21" t="inlineStr">
        <is>
          <t>FP</t>
        </is>
      </c>
      <c r="J776" s="21" t="inlineStr">
        <is>
          <t>M</t>
        </is>
      </c>
      <c r="K776" s="21" t="inlineStr">
        <is>
          <t>N</t>
        </is>
      </c>
      <c r="L776" s="21" t="inlineStr">
        <is>
          <t>No</t>
        </is>
      </c>
      <c r="M776" s="21" t="inlineStr"/>
      <c r="N776" s="22" t="inlineStr">
        <is>
          <t>Process-identity spoofing / memory-integrity template; no reference mechanism (authentication bypass RT-004 is logic-based, not process-spoofing).</t>
        </is>
      </c>
      <c r="O776" s="5" t="inlineStr"/>
      <c r="P776" s="16" t="inlineStr">
        <is>
          <t>Elevation by Changing the Execution Flow in EE1 Registered User (Browser)</t>
        </is>
      </c>
      <c r="Q776" s="16" t="inlineStr">
        <is>
          <t>Diagram 1</t>
        </is>
      </c>
      <c r="R776" s="16" t="inlineStr">
        <is>
          <t>Api response</t>
        </is>
      </c>
      <c r="S776" s="5" t="inlineStr">
        <is>
          <t>Confirmed</t>
        </is>
      </c>
    </row>
    <row r="777" ht="16" customHeight="1">
      <c r="A777" s="5" t="inlineStr">
        <is>
          <t>TMT-S3-F058</t>
        </is>
      </c>
      <c r="B777" s="5" t="inlineStr">
        <is>
          <t>TMT</t>
        </is>
      </c>
      <c r="C777" s="5" t="inlineStr">
        <is>
          <t>S3</t>
        </is>
      </c>
      <c r="D777" s="21" t="str">
        <f>IFERROR(VLOOKUP($G777,'02_REFERENCE'!$A$2:$S$99,4,FALSE),"N/A")</f>
        <v>N/A</v>
      </c>
      <c r="E777" s="21" t="str">
        <f>IFERROR(VLOOKUP($G777,'02_REFERENCE'!$A$2:$S$99,15,FALSE),"N/A")</f>
        <v>N/A</v>
      </c>
      <c r="F777" s="21" t="str">
        <f>IFERROR(VLOOKUP($G777,'02_REFERENCE'!$A$2:$S$99,17,FALSE),"N/A")</f>
        <v>N/A</v>
      </c>
      <c r="G777" s="21" t="inlineStr"/>
      <c r="H777" s="21" t="inlineStr">
        <is>
          <t>False Positive</t>
        </is>
      </c>
      <c r="I777" s="21" t="inlineStr">
        <is>
          <t>FP</t>
        </is>
      </c>
      <c r="J777" s="21" t="inlineStr">
        <is>
          <t>M</t>
        </is>
      </c>
      <c r="K777" s="21" t="inlineStr">
        <is>
          <t>N</t>
        </is>
      </c>
      <c r="L777" s="21" t="inlineStr">
        <is>
          <t>No</t>
        </is>
      </c>
      <c r="M777" s="21" t="inlineStr"/>
      <c r="N777" s="22" t="inlineStr">
        <is>
          <t>Process-identity spoofing / memory-integrity template; no reference mechanism (authentication bypass RT-004 is logic-based, not process-spoofing).</t>
        </is>
      </c>
      <c r="O777" s="5" t="inlineStr"/>
      <c r="P777" s="16" t="inlineStr">
        <is>
          <t>EE1 Registered User (Browser) May be Subject to Elevation of Privilege Using Remote Code Execution</t>
        </is>
      </c>
      <c r="Q777" s="16" t="inlineStr">
        <is>
          <t>Diagram 1</t>
        </is>
      </c>
      <c r="R777" s="16" t="inlineStr">
        <is>
          <t>Api response</t>
        </is>
      </c>
      <c r="S777" s="5" t="inlineStr">
        <is>
          <t>Confirmed</t>
        </is>
      </c>
    </row>
    <row r="778" ht="16" customHeight="1">
      <c r="A778" s="5" t="inlineStr">
        <is>
          <t>TMT-S3-F059</t>
        </is>
      </c>
      <c r="B778" s="5" t="inlineStr">
        <is>
          <t>TMT</t>
        </is>
      </c>
      <c r="C778" s="5" t="inlineStr">
        <is>
          <t>S3</t>
        </is>
      </c>
      <c r="D778" s="21" t="str">
        <f>IFERROR(VLOOKUP($G778,'02_REFERENCE'!$A$2:$S$99,4,FALSE),"N/A")</f>
        <v>Denial of Service</v>
      </c>
      <c r="E778" s="21" t="str">
        <f>IFERROR(VLOOKUP($G778,'02_REFERENCE'!$A$2:$S$99,15,FALSE),"N/A")</f>
        <v>High</v>
      </c>
      <c r="F778" s="21" t="str">
        <f>IFERROR(VLOOKUP($G778,'02_REFERENCE'!$A$2:$S$99,17,FALSE),"N/A")</f>
        <v>No</v>
      </c>
      <c r="G778" s="21" t="inlineStr">
        <is>
          <t>S3-RT-030</t>
        </is>
      </c>
      <c r="H778" s="21" t="inlineStr">
        <is>
          <t>Duplicate</t>
        </is>
      </c>
      <c r="I778" s="21" t="inlineStr">
        <is>
          <t>TP</t>
        </is>
      </c>
      <c r="J778" s="21" t="inlineStr">
        <is>
          <t>M</t>
        </is>
      </c>
      <c r="K778" s="21" t="inlineStr">
        <is>
          <t>N</t>
        </is>
      </c>
      <c r="L778" s="21" t="inlineStr">
        <is>
          <t>Yes</t>
        </is>
      </c>
      <c r="M778" s="21" t="inlineStr">
        <is>
          <t>TMT-S3-F007</t>
        </is>
      </c>
      <c r="N778" s="22" t="inlineStr">
        <is>
          <t>Interruption of a primary-service flow -&gt; availability loss of the service path -&gt; reference S3-RT-030. [Equivalence: restates TMT-S3-F007 — one-to-one rule applied.]</t>
        </is>
      </c>
      <c r="O778" s="5" t="inlineStr">
        <is>
          <t>dos_service</t>
        </is>
      </c>
      <c r="P778" s="16" t="inlineStr">
        <is>
          <t>Data Flow Api response Is Potentially Interrupted</t>
        </is>
      </c>
      <c r="Q778" s="16" t="inlineStr">
        <is>
          <t>Diagram 1</t>
        </is>
      </c>
      <c r="R778" s="16" t="inlineStr">
        <is>
          <t>Api response</t>
        </is>
      </c>
      <c r="S778" s="5" t="inlineStr">
        <is>
          <t>Confirmed</t>
        </is>
      </c>
    </row>
    <row r="779" ht="16" customHeight="1">
      <c r="A779" s="5" t="inlineStr">
        <is>
          <t>TMT-S3-F060</t>
        </is>
      </c>
      <c r="B779" s="5" t="inlineStr">
        <is>
          <t>TMT</t>
        </is>
      </c>
      <c r="C779" s="5" t="inlineStr">
        <is>
          <t>S3</t>
        </is>
      </c>
      <c r="D779" s="21" t="str">
        <f>IFERROR(VLOOKUP($G779,'02_REFERENCE'!$A$2:$S$99,4,FALSE),"N/A")</f>
        <v>N/A</v>
      </c>
      <c r="E779" s="21" t="str">
        <f>IFERROR(VLOOKUP($G779,'02_REFERENCE'!$A$2:$S$99,15,FALSE),"N/A")</f>
        <v>N/A</v>
      </c>
      <c r="F779" s="21" t="str">
        <f>IFERROR(VLOOKUP($G779,'02_REFERENCE'!$A$2:$S$99,17,FALSE),"N/A")</f>
        <v>N/A</v>
      </c>
      <c r="G779" s="21" t="inlineStr"/>
      <c r="H779" s="21" t="inlineStr">
        <is>
          <t>False Positive</t>
        </is>
      </c>
      <c r="I779" s="21" t="inlineStr">
        <is>
          <t>FP</t>
        </is>
      </c>
      <c r="J779" s="21" t="inlineStr">
        <is>
          <t>M</t>
        </is>
      </c>
      <c r="K779" s="21" t="inlineStr">
        <is>
          <t>N</t>
        </is>
      </c>
      <c r="L779" s="21" t="inlineStr">
        <is>
          <t>No</t>
        </is>
      </c>
      <c r="M779" s="21" t="inlineStr"/>
      <c r="N779" s="22" t="inlineStr">
        <is>
          <t>Process-crash template (internal availability); no reference mechanism (provider-unavailability refs concern the external service; DoS refs concern attacker-driven flooding).</t>
        </is>
      </c>
      <c r="O779" s="5" t="inlineStr"/>
      <c r="P779" s="16" t="inlineStr">
        <is>
          <t>Potential Process Crash or Stop for EE1 Registered User (Browser)</t>
        </is>
      </c>
      <c r="Q779" s="16" t="inlineStr">
        <is>
          <t>Diagram 1</t>
        </is>
      </c>
      <c r="R779" s="16" t="inlineStr">
        <is>
          <t>Api response</t>
        </is>
      </c>
      <c r="S779" s="5" t="inlineStr">
        <is>
          <t>Confirmed</t>
        </is>
      </c>
    </row>
    <row r="780" ht="16" customHeight="1">
      <c r="A780" s="5" t="inlineStr">
        <is>
          <t>TMT-S3-F061</t>
        </is>
      </c>
      <c r="B780" s="5" t="inlineStr">
        <is>
          <t>TMT</t>
        </is>
      </c>
      <c r="C780" s="5" t="inlineStr">
        <is>
          <t>S3</t>
        </is>
      </c>
      <c r="D780" s="21" t="str">
        <f>IFERROR(VLOOKUP($G780,'02_REFERENCE'!$A$2:$S$99,4,FALSE),"N/A")</f>
        <v>Repudiation</v>
      </c>
      <c r="E780" s="21" t="str">
        <f>IFERROR(VLOOKUP($G780,'02_REFERENCE'!$A$2:$S$99,15,FALSE),"N/A")</f>
        <v>Medium</v>
      </c>
      <c r="F780" s="21" t="str">
        <f>IFERROR(VLOOKUP($G780,'02_REFERENCE'!$A$2:$S$99,17,FALSE),"N/A")</f>
        <v>No</v>
      </c>
      <c r="G780" s="21" t="inlineStr">
        <is>
          <t>S3-RT-018</t>
        </is>
      </c>
      <c r="H780" s="21" t="inlineStr">
        <is>
          <t>Duplicate</t>
        </is>
      </c>
      <c r="I780" s="21" t="inlineStr">
        <is>
          <t>TP</t>
        </is>
      </c>
      <c r="J780" s="21" t="inlineStr">
        <is>
          <t>M</t>
        </is>
      </c>
      <c r="K780" s="21" t="inlineStr">
        <is>
          <t>N</t>
        </is>
      </c>
      <c r="L780" s="21" t="inlineStr">
        <is>
          <t>Yes</t>
        </is>
      </c>
      <c r="M780" s="21" t="inlineStr">
        <is>
          <t>TMT-S3-F040</t>
        </is>
      </c>
      <c r="N780" s="22" t="inlineStr">
        <is>
          <t>Attribution template -&gt; reference S3-RT-018 (unspecified attribution of security-relevant actions). [Equivalence: restates TMT-S3-F040 — one-to-one rule applied.]</t>
        </is>
      </c>
      <c r="O780" s="5" t="inlineStr">
        <is>
          <t>repudiation</t>
        </is>
      </c>
      <c r="P780" s="16" t="inlineStr">
        <is>
          <t>Potential Data Repudiation by EE1 Registered User (Browser)</t>
        </is>
      </c>
      <c r="Q780" s="16" t="inlineStr">
        <is>
          <t>Diagram 1</t>
        </is>
      </c>
      <c r="R780" s="16" t="inlineStr">
        <is>
          <t>Api response</t>
        </is>
      </c>
      <c r="S780" s="5" t="inlineStr">
        <is>
          <t>Confirmed</t>
        </is>
      </c>
    </row>
    <row r="781" ht="16" customHeight="1">
      <c r="A781" s="5" t="inlineStr">
        <is>
          <t>TMT-S3-F062</t>
        </is>
      </c>
      <c r="B781" s="5" t="inlineStr">
        <is>
          <t>TMT</t>
        </is>
      </c>
      <c r="C781" s="5" t="inlineStr">
        <is>
          <t>S3</t>
        </is>
      </c>
      <c r="D781" s="21" t="str">
        <f>IFERROR(VLOOKUP($G781,'02_REFERENCE'!$A$2:$S$99,4,FALSE),"N/A")</f>
        <v>N/A</v>
      </c>
      <c r="E781" s="21" t="str">
        <f>IFERROR(VLOOKUP($G781,'02_REFERENCE'!$A$2:$S$99,15,FALSE),"N/A")</f>
        <v>N/A</v>
      </c>
      <c r="F781" s="21" t="str">
        <f>IFERROR(VLOOKUP($G781,'02_REFERENCE'!$A$2:$S$99,17,FALSE),"N/A")</f>
        <v>N/A</v>
      </c>
      <c r="G781" s="21" t="inlineStr"/>
      <c r="H781" s="21" t="inlineStr">
        <is>
          <t>False Positive</t>
        </is>
      </c>
      <c r="I781" s="21" t="inlineStr">
        <is>
          <t>FP</t>
        </is>
      </c>
      <c r="J781" s="21" t="inlineStr">
        <is>
          <t>M</t>
        </is>
      </c>
      <c r="K781" s="21" t="inlineStr">
        <is>
          <t>N</t>
        </is>
      </c>
      <c r="L781" s="21" t="inlineStr">
        <is>
          <t>No</t>
        </is>
      </c>
      <c r="M781" s="21" t="inlineStr"/>
      <c r="N781" s="22" t="inlineStr">
        <is>
          <t>CSRF template; the reference baseline contains no CSRF mechanism (session threats are fixation/theft/replay/prediction/storage).</t>
        </is>
      </c>
      <c r="O781" s="5" t="inlineStr"/>
      <c r="P781" s="16" t="inlineStr">
        <is>
          <t>Cross Site Request Forgery</t>
        </is>
      </c>
      <c r="Q781" s="16" t="inlineStr">
        <is>
          <t>Diagram 1</t>
        </is>
      </c>
      <c r="R781" s="16" t="inlineStr">
        <is>
          <t>authenticated api request</t>
        </is>
      </c>
      <c r="S781" s="5" t="inlineStr">
        <is>
          <t>Confirmed</t>
        </is>
      </c>
    </row>
    <row r="782" ht="16" customHeight="1">
      <c r="A782" s="5" t="inlineStr">
        <is>
          <t>TMT-S3-F063</t>
        </is>
      </c>
      <c r="B782" s="5" t="inlineStr">
        <is>
          <t>TMT</t>
        </is>
      </c>
      <c r="C782" s="5" t="inlineStr">
        <is>
          <t>S3</t>
        </is>
      </c>
      <c r="D782" s="21" t="str">
        <f>IFERROR(VLOOKUP($G782,'02_REFERENCE'!$A$2:$S$99,4,FALSE),"N/A")</f>
        <v>N/A</v>
      </c>
      <c r="E782" s="21" t="str">
        <f>IFERROR(VLOOKUP($G782,'02_REFERENCE'!$A$2:$S$99,15,FALSE),"N/A")</f>
        <v>N/A</v>
      </c>
      <c r="F782" s="21" t="str">
        <f>IFERROR(VLOOKUP($G782,'02_REFERENCE'!$A$2:$S$99,17,FALSE),"N/A")</f>
        <v>N/A</v>
      </c>
      <c r="G782" s="21" t="inlineStr"/>
      <c r="H782" s="21" t="inlineStr">
        <is>
          <t>False Positive</t>
        </is>
      </c>
      <c r="I782" s="21" t="inlineStr">
        <is>
          <t>FP</t>
        </is>
      </c>
      <c r="J782" s="21" t="inlineStr">
        <is>
          <t>M</t>
        </is>
      </c>
      <c r="K782" s="21" t="inlineStr">
        <is>
          <t>N</t>
        </is>
      </c>
      <c r="L782" s="21" t="inlineStr">
        <is>
          <t>No</t>
        </is>
      </c>
      <c r="M782" s="21" t="inlineStr"/>
      <c r="N782" s="22" t="inlineStr">
        <is>
          <t>Process-identity spoofing / memory-integrity template; no reference mechanism (authentication bypass RT-004 is logic-based, not process-spoofing).</t>
        </is>
      </c>
      <c r="O782" s="5" t="inlineStr"/>
      <c r="P782" s="16" t="inlineStr">
        <is>
          <t>Elevation by Changing the Execution Flow in P1 Web Frontend Interface</t>
        </is>
      </c>
      <c r="Q782" s="16" t="inlineStr">
        <is>
          <t>Diagram 1</t>
        </is>
      </c>
      <c r="R782" s="16" t="inlineStr">
        <is>
          <t>authenticated api request</t>
        </is>
      </c>
      <c r="S782" s="5" t="inlineStr">
        <is>
          <t>Confirmed</t>
        </is>
      </c>
    </row>
    <row r="783" ht="16" customHeight="1">
      <c r="A783" s="5" t="inlineStr">
        <is>
          <t>TMT-S3-F064</t>
        </is>
      </c>
      <c r="B783" s="5" t="inlineStr">
        <is>
          <t>TMT</t>
        </is>
      </c>
      <c r="C783" s="5" t="inlineStr">
        <is>
          <t>S3</t>
        </is>
      </c>
      <c r="D783" s="21" t="str">
        <f>IFERROR(VLOOKUP($G783,'02_REFERENCE'!$A$2:$S$99,4,FALSE),"N/A")</f>
        <v>N/A</v>
      </c>
      <c r="E783" s="21" t="str">
        <f>IFERROR(VLOOKUP($G783,'02_REFERENCE'!$A$2:$S$99,15,FALSE),"N/A")</f>
        <v>N/A</v>
      </c>
      <c r="F783" s="21" t="str">
        <f>IFERROR(VLOOKUP($G783,'02_REFERENCE'!$A$2:$S$99,17,FALSE),"N/A")</f>
        <v>N/A</v>
      </c>
      <c r="G783" s="21" t="inlineStr"/>
      <c r="H783" s="21" t="inlineStr">
        <is>
          <t>False Positive</t>
        </is>
      </c>
      <c r="I783" s="21" t="inlineStr">
        <is>
          <t>FP</t>
        </is>
      </c>
      <c r="J783" s="21" t="inlineStr">
        <is>
          <t>M</t>
        </is>
      </c>
      <c r="K783" s="21" t="inlineStr">
        <is>
          <t>N</t>
        </is>
      </c>
      <c r="L783" s="21" t="inlineStr">
        <is>
          <t>No</t>
        </is>
      </c>
      <c r="M783" s="21" t="inlineStr"/>
      <c r="N783" s="22" t="inlineStr">
        <is>
          <t>Process-identity spoofing / memory-integrity template; no reference mechanism (authentication bypass RT-004 is logic-based, not process-spoofing).</t>
        </is>
      </c>
      <c r="O783" s="5" t="inlineStr"/>
      <c r="P783" s="16" t="inlineStr">
        <is>
          <t>P1 Web Frontend Interface May be Subject to Elevation of Privilege Using Remote Code Execution</t>
        </is>
      </c>
      <c r="Q783" s="16" t="inlineStr">
        <is>
          <t>Diagram 1</t>
        </is>
      </c>
      <c r="R783" s="16" t="inlineStr">
        <is>
          <t>authenticated api request</t>
        </is>
      </c>
      <c r="S783" s="5" t="inlineStr">
        <is>
          <t>Confirmed</t>
        </is>
      </c>
    </row>
    <row r="784" ht="16" customHeight="1">
      <c r="A784" s="5" t="inlineStr">
        <is>
          <t>TMT-S3-F065</t>
        </is>
      </c>
      <c r="B784" s="5" t="inlineStr">
        <is>
          <t>TMT</t>
        </is>
      </c>
      <c r="C784" s="5" t="inlineStr">
        <is>
          <t>S3</t>
        </is>
      </c>
      <c r="D784" s="21" t="str">
        <f>IFERROR(VLOOKUP($G784,'02_REFERENCE'!$A$2:$S$99,4,FALSE),"N/A")</f>
        <v>Denial of Service</v>
      </c>
      <c r="E784" s="21" t="str">
        <f>IFERROR(VLOOKUP($G784,'02_REFERENCE'!$A$2:$S$99,15,FALSE),"N/A")</f>
        <v>High</v>
      </c>
      <c r="F784" s="21" t="str">
        <f>IFERROR(VLOOKUP($G784,'02_REFERENCE'!$A$2:$S$99,17,FALSE),"N/A")</f>
        <v>No</v>
      </c>
      <c r="G784" s="21" t="inlineStr">
        <is>
          <t>S3-RT-030</t>
        </is>
      </c>
      <c r="H784" s="21" t="inlineStr">
        <is>
          <t>Duplicate</t>
        </is>
      </c>
      <c r="I784" s="21" t="inlineStr">
        <is>
          <t>TP</t>
        </is>
      </c>
      <c r="J784" s="21" t="inlineStr">
        <is>
          <t>M</t>
        </is>
      </c>
      <c r="K784" s="21" t="inlineStr">
        <is>
          <t>N</t>
        </is>
      </c>
      <c r="L784" s="21" t="inlineStr">
        <is>
          <t>Yes</t>
        </is>
      </c>
      <c r="M784" s="21" t="inlineStr">
        <is>
          <t>TMT-S3-F007</t>
        </is>
      </c>
      <c r="N784" s="22" t="inlineStr">
        <is>
          <t>Interruption of a primary-service flow -&gt; availability loss of the service path -&gt; reference S3-RT-030. [Equivalence: restates TMT-S3-F007 — one-to-one rule applied.]</t>
        </is>
      </c>
      <c r="O784" s="5" t="inlineStr">
        <is>
          <t>dos_service</t>
        </is>
      </c>
      <c r="P784" s="16" t="inlineStr">
        <is>
          <t>Data Flow authenticated api request Is Potentially Interrupted</t>
        </is>
      </c>
      <c r="Q784" s="16" t="inlineStr">
        <is>
          <t>Diagram 1</t>
        </is>
      </c>
      <c r="R784" s="16" t="inlineStr">
        <is>
          <t>authenticated api request</t>
        </is>
      </c>
      <c r="S784" s="5" t="inlineStr">
        <is>
          <t>Confirmed</t>
        </is>
      </c>
    </row>
    <row r="785" ht="16" customHeight="1">
      <c r="A785" s="5" t="inlineStr">
        <is>
          <t>TMT-S3-F066</t>
        </is>
      </c>
      <c r="B785" s="5" t="inlineStr">
        <is>
          <t>TMT</t>
        </is>
      </c>
      <c r="C785" s="5" t="inlineStr">
        <is>
          <t>S3</t>
        </is>
      </c>
      <c r="D785" s="21" t="str">
        <f>IFERROR(VLOOKUP($G785,'02_REFERENCE'!$A$2:$S$99,4,FALSE),"N/A")</f>
        <v>N/A</v>
      </c>
      <c r="E785" s="21" t="str">
        <f>IFERROR(VLOOKUP($G785,'02_REFERENCE'!$A$2:$S$99,15,FALSE),"N/A")</f>
        <v>N/A</v>
      </c>
      <c r="F785" s="21" t="str">
        <f>IFERROR(VLOOKUP($G785,'02_REFERENCE'!$A$2:$S$99,17,FALSE),"N/A")</f>
        <v>N/A</v>
      </c>
      <c r="G785" s="21" t="inlineStr"/>
      <c r="H785" s="21" t="inlineStr">
        <is>
          <t>False Positive</t>
        </is>
      </c>
      <c r="I785" s="21" t="inlineStr">
        <is>
          <t>FP</t>
        </is>
      </c>
      <c r="J785" s="21" t="inlineStr">
        <is>
          <t>M</t>
        </is>
      </c>
      <c r="K785" s="21" t="inlineStr">
        <is>
          <t>N</t>
        </is>
      </c>
      <c r="L785" s="21" t="inlineStr">
        <is>
          <t>No</t>
        </is>
      </c>
      <c r="M785" s="21" t="inlineStr"/>
      <c r="N785" s="22" t="inlineStr">
        <is>
          <t>Process-crash template (internal availability); no reference mechanism (provider-unavailability refs concern the external service; DoS refs concern attacker-driven flooding).</t>
        </is>
      </c>
      <c r="O785" s="5" t="inlineStr"/>
      <c r="P785" s="16" t="inlineStr">
        <is>
          <t>Potential Process Crash or Stop for P1 Web Frontend Interface</t>
        </is>
      </c>
      <c r="Q785" s="16" t="inlineStr">
        <is>
          <t>Diagram 1</t>
        </is>
      </c>
      <c r="R785" s="16" t="inlineStr">
        <is>
          <t>authenticated api request</t>
        </is>
      </c>
      <c r="S785" s="5" t="inlineStr">
        <is>
          <t>Confirmed</t>
        </is>
      </c>
    </row>
    <row r="786" ht="16" customHeight="1">
      <c r="A786" s="5" t="inlineStr">
        <is>
          <t>TMT-S3-F067</t>
        </is>
      </c>
      <c r="B786" s="5" t="inlineStr">
        <is>
          <t>TMT</t>
        </is>
      </c>
      <c r="C786" s="5" t="inlineStr">
        <is>
          <t>S3</t>
        </is>
      </c>
      <c r="D786" s="21" t="str">
        <f>IFERROR(VLOOKUP($G786,'02_REFERENCE'!$A$2:$S$99,4,FALSE),"N/A")</f>
        <v>Repudiation</v>
      </c>
      <c r="E786" s="21" t="str">
        <f>IFERROR(VLOOKUP($G786,'02_REFERENCE'!$A$2:$S$99,15,FALSE),"N/A")</f>
        <v>Medium</v>
      </c>
      <c r="F786" s="21" t="str">
        <f>IFERROR(VLOOKUP($G786,'02_REFERENCE'!$A$2:$S$99,17,FALSE),"N/A")</f>
        <v>No</v>
      </c>
      <c r="G786" s="21" t="inlineStr">
        <is>
          <t>S3-RT-018</t>
        </is>
      </c>
      <c r="H786" s="21" t="inlineStr">
        <is>
          <t>Duplicate</t>
        </is>
      </c>
      <c r="I786" s="21" t="inlineStr">
        <is>
          <t>TP</t>
        </is>
      </c>
      <c r="J786" s="21" t="inlineStr">
        <is>
          <t>M</t>
        </is>
      </c>
      <c r="K786" s="21" t="inlineStr">
        <is>
          <t>N</t>
        </is>
      </c>
      <c r="L786" s="21" t="inlineStr">
        <is>
          <t>Yes</t>
        </is>
      </c>
      <c r="M786" s="21" t="inlineStr">
        <is>
          <t>TMT-S3-F040</t>
        </is>
      </c>
      <c r="N786" s="22" t="inlineStr">
        <is>
          <t>Attribution template -&gt; reference S3-RT-018 (unspecified attribution of security-relevant actions). [Equivalence: restates TMT-S3-F040 — one-to-one rule applied.]</t>
        </is>
      </c>
      <c r="O786" s="5" t="inlineStr">
        <is>
          <t>repudiation</t>
        </is>
      </c>
      <c r="P786" s="16" t="inlineStr">
        <is>
          <t>Potential Data Repudiation by P1 Web Frontend Interface</t>
        </is>
      </c>
      <c r="Q786" s="16" t="inlineStr">
        <is>
          <t>Diagram 1</t>
        </is>
      </c>
      <c r="R786" s="16" t="inlineStr">
        <is>
          <t>authenticated api request</t>
        </is>
      </c>
      <c r="S786" s="5" t="inlineStr">
        <is>
          <t>Confirmed</t>
        </is>
      </c>
    </row>
    <row r="787" ht="16" customHeight="1">
      <c r="A787" s="5" t="inlineStr">
        <is>
          <t>TMT-S3-F068</t>
        </is>
      </c>
      <c r="B787" s="5" t="inlineStr">
        <is>
          <t>TMT</t>
        </is>
      </c>
      <c r="C787" s="5" t="inlineStr">
        <is>
          <t>S3</t>
        </is>
      </c>
      <c r="D787" s="21" t="str">
        <f>IFERROR(VLOOKUP($G787,'02_REFERENCE'!$A$2:$S$99,4,FALSE),"N/A")</f>
        <v>N/A</v>
      </c>
      <c r="E787" s="21" t="str">
        <f>IFERROR(VLOOKUP($G787,'02_REFERENCE'!$A$2:$S$99,15,FALSE),"N/A")</f>
        <v>N/A</v>
      </c>
      <c r="F787" s="21" t="str">
        <f>IFERROR(VLOOKUP($G787,'02_REFERENCE'!$A$2:$S$99,17,FALSE),"N/A")</f>
        <v>N/A</v>
      </c>
      <c r="G787" s="21" t="inlineStr"/>
      <c r="H787" s="21" t="inlineStr">
        <is>
          <t>False Positive</t>
        </is>
      </c>
      <c r="I787" s="21" t="inlineStr">
        <is>
          <t>FP</t>
        </is>
      </c>
      <c r="J787" s="21" t="inlineStr">
        <is>
          <t>M</t>
        </is>
      </c>
      <c r="K787" s="21" t="inlineStr">
        <is>
          <t>N</t>
        </is>
      </c>
      <c r="L787" s="21" t="inlineStr">
        <is>
          <t>No</t>
        </is>
      </c>
      <c r="M787" s="21" t="inlineStr"/>
      <c r="N787" s="22" t="inlineStr">
        <is>
          <t>CSRF template; the reference baseline contains no CSRF mechanism (session threats are fixation/theft/replay/prediction/storage).</t>
        </is>
      </c>
      <c r="O787" s="5" t="inlineStr"/>
      <c r="P787" s="16" t="inlineStr">
        <is>
          <t>Cross Site Request Forgery</t>
        </is>
      </c>
      <c r="Q787" s="16" t="inlineStr">
        <is>
          <t>Diagram 1</t>
        </is>
      </c>
      <c r="R787" s="16" t="inlineStr">
        <is>
          <t>Generated LLM Response</t>
        </is>
      </c>
      <c r="S787" s="5" t="inlineStr">
        <is>
          <t>Confirmed</t>
        </is>
      </c>
    </row>
    <row r="788" ht="16" customHeight="1">
      <c r="A788" s="5" t="inlineStr">
        <is>
          <t>TMT-S3-F069</t>
        </is>
      </c>
      <c r="B788" s="5" t="inlineStr">
        <is>
          <t>TMT</t>
        </is>
      </c>
      <c r="C788" s="5" t="inlineStr">
        <is>
          <t>S3</t>
        </is>
      </c>
      <c r="D788" s="21" t="str">
        <f>IFERROR(VLOOKUP($G788,'02_REFERENCE'!$A$2:$S$99,4,FALSE),"N/A")</f>
        <v>N/A</v>
      </c>
      <c r="E788" s="21" t="str">
        <f>IFERROR(VLOOKUP($G788,'02_REFERENCE'!$A$2:$S$99,15,FALSE),"N/A")</f>
        <v>N/A</v>
      </c>
      <c r="F788" s="21" t="str">
        <f>IFERROR(VLOOKUP($G788,'02_REFERENCE'!$A$2:$S$99,17,FALSE),"N/A")</f>
        <v>N/A</v>
      </c>
      <c r="G788" s="21" t="inlineStr"/>
      <c r="H788" s="21" t="inlineStr">
        <is>
          <t>False Positive</t>
        </is>
      </c>
      <c r="I788" s="21" t="inlineStr">
        <is>
          <t>FP</t>
        </is>
      </c>
      <c r="J788" s="21" t="inlineStr">
        <is>
          <t>M</t>
        </is>
      </c>
      <c r="K788" s="21" t="inlineStr">
        <is>
          <t>N</t>
        </is>
      </c>
      <c r="L788" s="21" t="inlineStr">
        <is>
          <t>No</t>
        </is>
      </c>
      <c r="M788" s="21" t="inlineStr"/>
      <c r="N788" s="22" t="inlineStr">
        <is>
          <t>Process-identity spoofing / memory-integrity template; no reference mechanism (authentication bypass RT-004 is logic-based, not process-spoofing).</t>
        </is>
      </c>
      <c r="O788" s="5" t="inlineStr"/>
      <c r="P788" s="16" t="inlineStr">
        <is>
          <t>Elevation by Changing the Execution Flow in P6 LLM Integration Service</t>
        </is>
      </c>
      <c r="Q788" s="16" t="inlineStr">
        <is>
          <t>Diagram 1</t>
        </is>
      </c>
      <c r="R788" s="16" t="inlineStr">
        <is>
          <t>Generated LLM Response</t>
        </is>
      </c>
      <c r="S788" s="5" t="inlineStr">
        <is>
          <t>Confirmed</t>
        </is>
      </c>
    </row>
    <row r="789" ht="16" customHeight="1">
      <c r="A789" s="5" t="inlineStr">
        <is>
          <t>TMT-S3-F070</t>
        </is>
      </c>
      <c r="B789" s="5" t="inlineStr">
        <is>
          <t>TMT</t>
        </is>
      </c>
      <c r="C789" s="5" t="inlineStr">
        <is>
          <t>S3</t>
        </is>
      </c>
      <c r="D789" s="21" t="str">
        <f>IFERROR(VLOOKUP($G789,'02_REFERENCE'!$A$2:$S$99,4,FALSE),"N/A")</f>
        <v>N/A</v>
      </c>
      <c r="E789" s="21" t="str">
        <f>IFERROR(VLOOKUP($G789,'02_REFERENCE'!$A$2:$S$99,15,FALSE),"N/A")</f>
        <v>N/A</v>
      </c>
      <c r="F789" s="21" t="str">
        <f>IFERROR(VLOOKUP($G789,'02_REFERENCE'!$A$2:$S$99,17,FALSE),"N/A")</f>
        <v>N/A</v>
      </c>
      <c r="G789" s="21" t="inlineStr"/>
      <c r="H789" s="21" t="inlineStr">
        <is>
          <t>False Positive</t>
        </is>
      </c>
      <c r="I789" s="21" t="inlineStr">
        <is>
          <t>FP</t>
        </is>
      </c>
      <c r="J789" s="21" t="inlineStr">
        <is>
          <t>M</t>
        </is>
      </c>
      <c r="K789" s="21" t="inlineStr">
        <is>
          <t>N</t>
        </is>
      </c>
      <c r="L789" s="21" t="inlineStr">
        <is>
          <t>No</t>
        </is>
      </c>
      <c r="M789" s="21" t="inlineStr"/>
      <c r="N789" s="22" t="inlineStr">
        <is>
          <t>Process-identity spoofing / memory-integrity template; no reference mechanism (authentication bypass RT-004 is logic-based, not process-spoofing).</t>
        </is>
      </c>
      <c r="O789" s="5" t="inlineStr"/>
      <c r="P789" s="16" t="inlineStr">
        <is>
          <t>P6 LLM Integration Service May be Subject to Elevation of Privilege Using Remote Code Execution</t>
        </is>
      </c>
      <c r="Q789" s="16" t="inlineStr">
        <is>
          <t>Diagram 1</t>
        </is>
      </c>
      <c r="R789" s="16" t="inlineStr">
        <is>
          <t>Generated LLM Response</t>
        </is>
      </c>
      <c r="S789" s="5" t="inlineStr">
        <is>
          <t>Confirmed</t>
        </is>
      </c>
    </row>
    <row r="790" ht="16" customHeight="1">
      <c r="A790" s="5" t="inlineStr">
        <is>
          <t>TMT-S3-F071</t>
        </is>
      </c>
      <c r="B790" s="5" t="inlineStr">
        <is>
          <t>TMT</t>
        </is>
      </c>
      <c r="C790" s="5" t="inlineStr">
        <is>
          <t>S3</t>
        </is>
      </c>
      <c r="D790" s="21" t="str">
        <f>IFERROR(VLOOKUP($G790,'02_REFERENCE'!$A$2:$S$99,4,FALSE),"N/A")</f>
        <v>Denial of Service</v>
      </c>
      <c r="E790" s="21" t="str">
        <f>IFERROR(VLOOKUP($G790,'02_REFERENCE'!$A$2:$S$99,15,FALSE),"N/A")</f>
        <v>Medium</v>
      </c>
      <c r="F790" s="21" t="str">
        <f>IFERROR(VLOOKUP($G790,'02_REFERENCE'!$A$2:$S$99,17,FALSE),"N/A")</f>
        <v>Yes</v>
      </c>
      <c r="G790" s="21" t="inlineStr">
        <is>
          <t>S3-RT-032</t>
        </is>
      </c>
      <c r="H790" s="21" t="inlineStr">
        <is>
          <t>Primary TP</t>
        </is>
      </c>
      <c r="I790" s="21" t="inlineStr">
        <is>
          <t>TP</t>
        </is>
      </c>
      <c r="J790" s="21" t="inlineStr">
        <is>
          <t>M</t>
        </is>
      </c>
      <c r="K790" s="21" t="inlineStr">
        <is>
          <t>Y</t>
        </is>
      </c>
      <c r="L790" s="21" t="inlineStr">
        <is>
          <t>No</t>
        </is>
      </c>
      <c r="M790" s="21" t="inlineStr"/>
      <c r="N790" s="22" t="inlineStr">
        <is>
          <t>Interruption of the provider exchange -&gt; reference S3-RT-032 (provider unavailability).</t>
        </is>
      </c>
      <c r="O790" s="5" t="inlineStr">
        <is>
          <t>llm_unavailable</t>
        </is>
      </c>
      <c r="P790" s="16" t="inlineStr">
        <is>
          <t>Data Flow Generated LLM Response Is Potentially Interrupted</t>
        </is>
      </c>
      <c r="Q790" s="16" t="inlineStr">
        <is>
          <t>Diagram 1</t>
        </is>
      </c>
      <c r="R790" s="16" t="inlineStr">
        <is>
          <t>Generated LLM Response</t>
        </is>
      </c>
      <c r="S790" s="5" t="inlineStr">
        <is>
          <t>Confirmed</t>
        </is>
      </c>
    </row>
    <row r="791" ht="16" customHeight="1">
      <c r="A791" s="5" t="inlineStr">
        <is>
          <t>TMT-S3-F072</t>
        </is>
      </c>
      <c r="B791" s="5" t="inlineStr">
        <is>
          <t>TMT</t>
        </is>
      </c>
      <c r="C791" s="5" t="inlineStr">
        <is>
          <t>S3</t>
        </is>
      </c>
      <c r="D791" s="21" t="str">
        <f>IFERROR(VLOOKUP($G791,'02_REFERENCE'!$A$2:$S$99,4,FALSE),"N/A")</f>
        <v>N/A</v>
      </c>
      <c r="E791" s="21" t="str">
        <f>IFERROR(VLOOKUP($G791,'02_REFERENCE'!$A$2:$S$99,15,FALSE),"N/A")</f>
        <v>N/A</v>
      </c>
      <c r="F791" s="21" t="str">
        <f>IFERROR(VLOOKUP($G791,'02_REFERENCE'!$A$2:$S$99,17,FALSE),"N/A")</f>
        <v>N/A</v>
      </c>
      <c r="G791" s="21" t="inlineStr"/>
      <c r="H791" s="21" t="inlineStr">
        <is>
          <t>False Positive</t>
        </is>
      </c>
      <c r="I791" s="21" t="inlineStr">
        <is>
          <t>FP</t>
        </is>
      </c>
      <c r="J791" s="21" t="inlineStr">
        <is>
          <t>M</t>
        </is>
      </c>
      <c r="K791" s="21" t="inlineStr">
        <is>
          <t>N</t>
        </is>
      </c>
      <c r="L791" s="21" t="inlineStr">
        <is>
          <t>No</t>
        </is>
      </c>
      <c r="M791" s="21" t="inlineStr"/>
      <c r="N791" s="22" t="inlineStr">
        <is>
          <t>Process-crash template (internal availability); no reference mechanism (provider-unavailability refs concern the external service; DoS refs concern attacker-driven flooding).</t>
        </is>
      </c>
      <c r="O791" s="5" t="inlineStr"/>
      <c r="P791" s="16" t="inlineStr">
        <is>
          <t>Potential Process Crash or Stop for P6 LLM Integration Service</t>
        </is>
      </c>
      <c r="Q791" s="16" t="inlineStr">
        <is>
          <t>Diagram 1</t>
        </is>
      </c>
      <c r="R791" s="16" t="inlineStr">
        <is>
          <t>Generated LLM Response</t>
        </is>
      </c>
      <c r="S791" s="5" t="inlineStr">
        <is>
          <t>Confirmed</t>
        </is>
      </c>
    </row>
    <row r="792" ht="16" customHeight="1">
      <c r="A792" s="5" t="inlineStr">
        <is>
          <t>TMT-S3-F073</t>
        </is>
      </c>
      <c r="B792" s="5" t="inlineStr">
        <is>
          <t>TMT</t>
        </is>
      </c>
      <c r="C792" s="5" t="inlineStr">
        <is>
          <t>S3</t>
        </is>
      </c>
      <c r="D792" s="21" t="str">
        <f>IFERROR(VLOOKUP($G792,'02_REFERENCE'!$A$2:$S$99,4,FALSE),"N/A")</f>
        <v>N/A</v>
      </c>
      <c r="E792" s="21" t="str">
        <f>IFERROR(VLOOKUP($G792,'02_REFERENCE'!$A$2:$S$99,15,FALSE),"N/A")</f>
        <v>N/A</v>
      </c>
      <c r="F792" s="21" t="str">
        <f>IFERROR(VLOOKUP($G792,'02_REFERENCE'!$A$2:$S$99,17,FALSE),"N/A")</f>
        <v>N/A</v>
      </c>
      <c r="G792" s="21" t="inlineStr"/>
      <c r="H792" s="21" t="inlineStr">
        <is>
          <t>False Positive</t>
        </is>
      </c>
      <c r="I792" s="21" t="inlineStr">
        <is>
          <t>FP</t>
        </is>
      </c>
      <c r="J792" s="21" t="inlineStr">
        <is>
          <t>M</t>
        </is>
      </c>
      <c r="K792" s="21" t="inlineStr">
        <is>
          <t>N</t>
        </is>
      </c>
      <c r="L792" s="21" t="inlineStr">
        <is>
          <t>No</t>
        </is>
      </c>
      <c r="M792" s="21" t="inlineStr"/>
      <c r="N792" s="22" t="inlineStr">
        <is>
          <t>Sniffing of prompt/provider traffic: the baseline contains no reference for interception of prompt traffic (credential-token sniffing and file-interception refs are asset-specific; RT-024 covers application-side over-inclusion, not interception).</t>
        </is>
      </c>
      <c r="O792" s="5" t="inlineStr"/>
      <c r="P792" s="16" t="inlineStr">
        <is>
          <t>Data Flow Sniffing</t>
        </is>
      </c>
      <c r="Q792" s="16" t="inlineStr">
        <is>
          <t>Diagram 1</t>
        </is>
      </c>
      <c r="R792" s="16" t="inlineStr">
        <is>
          <t>Generated LLM Response</t>
        </is>
      </c>
      <c r="S792" s="5" t="inlineStr">
        <is>
          <t>Confirmed</t>
        </is>
      </c>
    </row>
    <row r="793" ht="16" customHeight="1">
      <c r="A793" s="5" t="inlineStr">
        <is>
          <t>TMT-S3-F074</t>
        </is>
      </c>
      <c r="B793" s="5" t="inlineStr">
        <is>
          <t>TMT</t>
        </is>
      </c>
      <c r="C793" s="5" t="inlineStr">
        <is>
          <t>S3</t>
        </is>
      </c>
      <c r="D793" s="21" t="str">
        <f>IFERROR(VLOOKUP($G793,'02_REFERENCE'!$A$2:$S$99,4,FALSE),"N/A")</f>
        <v>Repudiation</v>
      </c>
      <c r="E793" s="21" t="str">
        <f>IFERROR(VLOOKUP($G793,'02_REFERENCE'!$A$2:$S$99,15,FALSE),"N/A")</f>
        <v>Medium</v>
      </c>
      <c r="F793" s="21" t="str">
        <f>IFERROR(VLOOKUP($G793,'02_REFERENCE'!$A$2:$S$99,17,FALSE),"N/A")</f>
        <v>No</v>
      </c>
      <c r="G793" s="21" t="inlineStr">
        <is>
          <t>S3-RT-018</t>
        </is>
      </c>
      <c r="H793" s="21" t="inlineStr">
        <is>
          <t>Duplicate</t>
        </is>
      </c>
      <c r="I793" s="21" t="inlineStr">
        <is>
          <t>TP</t>
        </is>
      </c>
      <c r="J793" s="21" t="inlineStr">
        <is>
          <t>M</t>
        </is>
      </c>
      <c r="K793" s="21" t="inlineStr">
        <is>
          <t>N</t>
        </is>
      </c>
      <c r="L793" s="21" t="inlineStr">
        <is>
          <t>Yes</t>
        </is>
      </c>
      <c r="M793" s="21" t="inlineStr">
        <is>
          <t>TMT-S3-F040</t>
        </is>
      </c>
      <c r="N793" s="22" t="inlineStr">
        <is>
          <t>Attribution template -&gt; reference S3-RT-018 (unspecified attribution of security-relevant actions). [Equivalence: restates TMT-S3-F040 — one-to-one rule applied.]</t>
        </is>
      </c>
      <c r="O793" s="5" t="inlineStr">
        <is>
          <t>repudiation</t>
        </is>
      </c>
      <c r="P793" s="16" t="inlineStr">
        <is>
          <t>Potential Data Repudiation by P6 LLM Integration Service</t>
        </is>
      </c>
      <c r="Q793" s="16" t="inlineStr">
        <is>
          <t>Diagram 1</t>
        </is>
      </c>
      <c r="R793" s="16" t="inlineStr">
        <is>
          <t>Generated LLM Response</t>
        </is>
      </c>
      <c r="S793" s="5" t="inlineStr">
        <is>
          <t>Confirmed</t>
        </is>
      </c>
    </row>
    <row r="794" ht="16" customHeight="1">
      <c r="A794" s="5" t="inlineStr">
        <is>
          <t>TMT-S3-F075</t>
        </is>
      </c>
      <c r="B794" s="5" t="inlineStr">
        <is>
          <t>TMT</t>
        </is>
      </c>
      <c r="C794" s="5" t="inlineStr">
        <is>
          <t>S3</t>
        </is>
      </c>
      <c r="D794" s="21" t="str">
        <f>IFERROR(VLOOKUP($G794,'02_REFERENCE'!$A$2:$S$99,4,FALSE),"N/A")</f>
        <v>Tampering</v>
      </c>
      <c r="E794" s="21" t="str">
        <f>IFERROR(VLOOKUP($G794,'02_REFERENCE'!$A$2:$S$99,15,FALSE),"N/A")</f>
        <v>Critical</v>
      </c>
      <c r="F794" s="21" t="str">
        <f>IFERROR(VLOOKUP($G794,'02_REFERENCE'!$A$2:$S$99,17,FALSE),"N/A")</f>
        <v>Yes</v>
      </c>
      <c r="G794" s="21" t="inlineStr">
        <is>
          <t>S3-RT-027</t>
        </is>
      </c>
      <c r="H794" s="21" t="inlineStr">
        <is>
          <t>Primary TP</t>
        </is>
      </c>
      <c r="I794" s="21" t="inlineStr">
        <is>
          <t>TP</t>
        </is>
      </c>
      <c r="J794" s="21" t="inlineStr">
        <is>
          <t>M</t>
        </is>
      </c>
      <c r="K794" s="21" t="inlineStr">
        <is>
          <t>Y</t>
        </is>
      </c>
      <c r="L794" s="21" t="inlineStr">
        <is>
          <t>No</t>
        </is>
      </c>
      <c r="M794" s="21" t="inlineStr"/>
      <c r="N794" s="22" t="inlineStr">
        <is>
          <t>Unvalidated input on the generated-response path -&gt; insecure handling of generated output -&gt; reference S3-RT-027.</t>
        </is>
      </c>
      <c r="O794" s="5" t="inlineStr">
        <is>
          <t>unsafe_output</t>
        </is>
      </c>
      <c r="P794" s="16" t="inlineStr">
        <is>
          <t>Potential Lack of Input Validation for P6 LLM Integration Service</t>
        </is>
      </c>
      <c r="Q794" s="16" t="inlineStr">
        <is>
          <t>Diagram 1</t>
        </is>
      </c>
      <c r="R794" s="16" t="inlineStr">
        <is>
          <t>Generated LLM Response</t>
        </is>
      </c>
      <c r="S794" s="5" t="inlineStr">
        <is>
          <t>Confirmed</t>
        </is>
      </c>
    </row>
    <row r="795" ht="16" customHeight="1">
      <c r="A795" s="5" t="inlineStr">
        <is>
          <t>TMT-S3-F076</t>
        </is>
      </c>
      <c r="B795" s="5" t="inlineStr">
        <is>
          <t>TMT</t>
        </is>
      </c>
      <c r="C795" s="5" t="inlineStr">
        <is>
          <t>S3</t>
        </is>
      </c>
      <c r="D795" s="21" t="str">
        <f>IFERROR(VLOOKUP($G795,'02_REFERENCE'!$A$2:$S$99,4,FALSE),"N/A")</f>
        <v>N/A</v>
      </c>
      <c r="E795" s="21" t="str">
        <f>IFERROR(VLOOKUP($G795,'02_REFERENCE'!$A$2:$S$99,15,FALSE),"N/A")</f>
        <v>N/A</v>
      </c>
      <c r="F795" s="21" t="str">
        <f>IFERROR(VLOOKUP($G795,'02_REFERENCE'!$A$2:$S$99,17,FALSE),"N/A")</f>
        <v>N/A</v>
      </c>
      <c r="G795" s="21" t="inlineStr"/>
      <c r="H795" s="21" t="inlineStr">
        <is>
          <t>False Positive</t>
        </is>
      </c>
      <c r="I795" s="21" t="inlineStr">
        <is>
          <t>FP</t>
        </is>
      </c>
      <c r="J795" s="21" t="inlineStr">
        <is>
          <t>M</t>
        </is>
      </c>
      <c r="K795" s="21" t="inlineStr">
        <is>
          <t>N</t>
        </is>
      </c>
      <c r="L795" s="21" t="inlineStr">
        <is>
          <t>No</t>
        </is>
      </c>
      <c r="M795" s="21" t="inlineStr"/>
      <c r="N795" s="22" t="inlineStr">
        <is>
          <t>Process-identity spoofing / memory-integrity template; no reference mechanism (authentication bypass RT-004 is logic-based, not process-spoofing).</t>
        </is>
      </c>
      <c r="O795" s="5" t="inlineStr"/>
      <c r="P795" s="16" t="inlineStr">
        <is>
          <t>Spoofing the P6 LLM Integration Service Process</t>
        </is>
      </c>
      <c r="Q795" s="16" t="inlineStr">
        <is>
          <t>Diagram 1</t>
        </is>
      </c>
      <c r="R795" s="16" t="inlineStr">
        <is>
          <t>Generated LLM Response</t>
        </is>
      </c>
      <c r="S795" s="5" t="inlineStr">
        <is>
          <t>Confirmed</t>
        </is>
      </c>
    </row>
    <row r="796" ht="16" customHeight="1">
      <c r="A796" s="5" t="inlineStr">
        <is>
          <t>TMT-S3-F077</t>
        </is>
      </c>
      <c r="B796" s="5" t="inlineStr">
        <is>
          <t>TMT</t>
        </is>
      </c>
      <c r="C796" s="5" t="inlineStr">
        <is>
          <t>S3</t>
        </is>
      </c>
      <c r="D796" s="21" t="str">
        <f>IFERROR(VLOOKUP($G796,'02_REFERENCE'!$A$2:$S$99,4,FALSE),"N/A")</f>
        <v>Denial of Service</v>
      </c>
      <c r="E796" s="21" t="str">
        <f>IFERROR(VLOOKUP($G796,'02_REFERENCE'!$A$2:$S$99,15,FALSE),"N/A")</f>
        <v>Medium</v>
      </c>
      <c r="F796" s="21" t="str">
        <f>IFERROR(VLOOKUP($G796,'02_REFERENCE'!$A$2:$S$99,17,FALSE),"N/A")</f>
        <v>Yes</v>
      </c>
      <c r="G796" s="21" t="inlineStr">
        <is>
          <t>S3-RT-032</t>
        </is>
      </c>
      <c r="H796" s="21" t="inlineStr">
        <is>
          <t>Duplicate</t>
        </is>
      </c>
      <c r="I796" s="21" t="inlineStr">
        <is>
          <t>TP</t>
        </is>
      </c>
      <c r="J796" s="21" t="inlineStr">
        <is>
          <t>M</t>
        </is>
      </c>
      <c r="K796" s="21" t="inlineStr">
        <is>
          <t>N</t>
        </is>
      </c>
      <c r="L796" s="21" t="inlineStr">
        <is>
          <t>Yes</t>
        </is>
      </c>
      <c r="M796" s="21" t="inlineStr">
        <is>
          <t>TMT-S3-F071</t>
        </is>
      </c>
      <c r="N796" s="22" t="inlineStr">
        <is>
          <t>Interruption of the provider exchange -&gt; reference S3-RT-032 (provider unavailability). [Equivalence: restates TMT-S3-F071 — one-to-one rule applied.]</t>
        </is>
      </c>
      <c r="O796" s="5" t="inlineStr">
        <is>
          <t>llm_unavailable</t>
        </is>
      </c>
      <c r="P796" s="16" t="inlineStr">
        <is>
          <t>Data Flow LLM Prompt Request Is Potentially Interrupted</t>
        </is>
      </c>
      <c r="Q796" s="16" t="inlineStr">
        <is>
          <t>Diagram 1</t>
        </is>
      </c>
      <c r="R796" s="16" t="inlineStr">
        <is>
          <t>LLM Prompt Request</t>
        </is>
      </c>
      <c r="S796" s="5" t="inlineStr">
        <is>
          <t>Confirmed</t>
        </is>
      </c>
    </row>
    <row r="797" ht="16" customHeight="1">
      <c r="A797" s="5" t="inlineStr">
        <is>
          <t>TMT-S3-F078</t>
        </is>
      </c>
      <c r="B797" s="5" t="inlineStr">
        <is>
          <t>TMT</t>
        </is>
      </c>
      <c r="C797" s="5" t="inlineStr">
        <is>
          <t>S3</t>
        </is>
      </c>
      <c r="D797" s="21" t="str">
        <f>IFERROR(VLOOKUP($G797,'02_REFERENCE'!$A$2:$S$99,4,FALSE),"N/A")</f>
        <v>N/A</v>
      </c>
      <c r="E797" s="21" t="str">
        <f>IFERROR(VLOOKUP($G797,'02_REFERENCE'!$A$2:$S$99,15,FALSE),"N/A")</f>
        <v>N/A</v>
      </c>
      <c r="F797" s="21" t="str">
        <f>IFERROR(VLOOKUP($G797,'02_REFERENCE'!$A$2:$S$99,17,FALSE),"N/A")</f>
        <v>N/A</v>
      </c>
      <c r="G797" s="21" t="inlineStr"/>
      <c r="H797" s="21" t="inlineStr">
        <is>
          <t>False Positive</t>
        </is>
      </c>
      <c r="I797" s="21" t="inlineStr">
        <is>
          <t>FP</t>
        </is>
      </c>
      <c r="J797" s="21" t="inlineStr">
        <is>
          <t>M</t>
        </is>
      </c>
      <c r="K797" s="21" t="inlineStr">
        <is>
          <t>N</t>
        </is>
      </c>
      <c r="L797" s="21" t="inlineStr">
        <is>
          <t>No</t>
        </is>
      </c>
      <c r="M797" s="21" t="inlineStr"/>
      <c r="N797" s="22" t="inlineStr">
        <is>
          <t>No reference threat corresponds to this finding's mechanism (scoring found no class with sufficient evidence).</t>
        </is>
      </c>
      <c r="O797" s="5" t="inlineStr"/>
      <c r="P797" s="16" t="inlineStr">
        <is>
          <t>External Entity EE2 External LLM Provider Potentially Denies Receiving Data</t>
        </is>
      </c>
      <c r="Q797" s="16" t="inlineStr">
        <is>
          <t>Diagram 1</t>
        </is>
      </c>
      <c r="R797" s="16" t="inlineStr">
        <is>
          <t>LLM Prompt Request</t>
        </is>
      </c>
      <c r="S797" s="5" t="inlineStr">
        <is>
          <t>Confirmed</t>
        </is>
      </c>
    </row>
    <row r="798" ht="16" customHeight="1">
      <c r="A798" s="5" t="inlineStr">
        <is>
          <t>TMT-S3-F079</t>
        </is>
      </c>
      <c r="B798" s="5" t="inlineStr">
        <is>
          <t>TMT</t>
        </is>
      </c>
      <c r="C798" s="5" t="inlineStr">
        <is>
          <t>S3</t>
        </is>
      </c>
      <c r="D798" s="21" t="str">
        <f>IFERROR(VLOOKUP($G798,'02_REFERENCE'!$A$2:$S$99,4,FALSE),"N/A")</f>
        <v>Spoofing</v>
      </c>
      <c r="E798" s="21" t="str">
        <f>IFERROR(VLOOKUP($G798,'02_REFERENCE'!$A$2:$S$99,15,FALSE),"N/A")</f>
        <v>High</v>
      </c>
      <c r="F798" s="21" t="str">
        <f>IFERROR(VLOOKUP($G798,'02_REFERENCE'!$A$2:$S$99,17,FALSE),"N/A")</f>
        <v>Yes</v>
      </c>
      <c r="G798" s="21" t="inlineStr">
        <is>
          <t>S3-RT-029</t>
        </is>
      </c>
      <c r="H798" s="21" t="inlineStr">
        <is>
          <t>Duplicate</t>
        </is>
      </c>
      <c r="I798" s="21" t="inlineStr">
        <is>
          <t>TP</t>
        </is>
      </c>
      <c r="J798" s="21" t="inlineStr">
        <is>
          <t>M</t>
        </is>
      </c>
      <c r="K798" s="21" t="inlineStr">
        <is>
          <t>N</t>
        </is>
      </c>
      <c r="L798" s="21" t="inlineStr">
        <is>
          <t>Yes</t>
        </is>
      </c>
      <c r="M798" s="21" t="inlineStr">
        <is>
          <t>TMT-S3-F034</t>
        </is>
      </c>
      <c r="N798" s="22" t="inlineStr">
        <is>
          <t>Spoofing/impersonation of the external LLM provider -&gt; reference S3-RT-029 (compromise or substitution of the external model service). [Equivalence: restates TMT-S3-F034 — one-to-one rule applied.]</t>
        </is>
      </c>
      <c r="O798" s="5" t="inlineStr">
        <is>
          <t>model_substitution</t>
        </is>
      </c>
      <c r="P798" s="16" t="inlineStr">
        <is>
          <t>Spoofing of the EE2 External LLM Provider External Destination Entity</t>
        </is>
      </c>
      <c r="Q798" s="16" t="inlineStr">
        <is>
          <t>Diagram 1</t>
        </is>
      </c>
      <c r="R798" s="16" t="inlineStr">
        <is>
          <t>LLM Prompt Request</t>
        </is>
      </c>
      <c r="S798" s="5" t="inlineStr">
        <is>
          <t>Confirmed</t>
        </is>
      </c>
    </row>
    <row r="799" ht="16" customHeight="1">
      <c r="A799" s="5" t="inlineStr">
        <is>
          <t>TMT-S3-F080</t>
        </is>
      </c>
      <c r="B799" s="5" t="inlineStr">
        <is>
          <t>TMT</t>
        </is>
      </c>
      <c r="C799" s="5" t="inlineStr">
        <is>
          <t>S3</t>
        </is>
      </c>
      <c r="D799" s="21" t="str">
        <f>IFERROR(VLOOKUP($G799,'02_REFERENCE'!$A$2:$S$99,4,FALSE),"N/A")</f>
        <v>Denial of Service</v>
      </c>
      <c r="E799" s="21" t="str">
        <f>IFERROR(VLOOKUP($G799,'02_REFERENCE'!$A$2:$S$99,15,FALSE),"N/A")</f>
        <v>High</v>
      </c>
      <c r="F799" s="21" t="str">
        <f>IFERROR(VLOOKUP($G799,'02_REFERENCE'!$A$2:$S$99,17,FALSE),"N/A")</f>
        <v>No</v>
      </c>
      <c r="G799" s="21" t="inlineStr">
        <is>
          <t>S3-RT-030</t>
        </is>
      </c>
      <c r="H799" s="21" t="inlineStr">
        <is>
          <t>Duplicate</t>
        </is>
      </c>
      <c r="I799" s="21" t="inlineStr">
        <is>
          <t>TP</t>
        </is>
      </c>
      <c r="J799" s="21" t="inlineStr">
        <is>
          <t>M</t>
        </is>
      </c>
      <c r="K799" s="21" t="inlineStr">
        <is>
          <t>N</t>
        </is>
      </c>
      <c r="L799" s="21" t="inlineStr">
        <is>
          <t>Yes</t>
        </is>
      </c>
      <c r="M799" s="21" t="inlineStr">
        <is>
          <t>TMT-S3-F007</t>
        </is>
      </c>
      <c r="N799" s="22" t="inlineStr">
        <is>
          <t>Interruption of a primary-service flow -&gt; availability loss of the service path -&gt; reference S3-RT-030. [Equivalence: restates TMT-S3-F007 — one-to-one rule applied.]</t>
        </is>
      </c>
      <c r="O799" s="5" t="inlineStr">
        <is>
          <t>dos_service</t>
        </is>
      </c>
      <c r="P799" s="16" t="inlineStr">
        <is>
          <t>Data Flow password reset token Is Potentially Interrupted</t>
        </is>
      </c>
      <c r="Q799" s="16" t="inlineStr">
        <is>
          <t>Diagram 1</t>
        </is>
      </c>
      <c r="R799" s="16" t="inlineStr">
        <is>
          <t>password reset token</t>
        </is>
      </c>
      <c r="S799" s="5" t="inlineStr">
        <is>
          <t>Confirmed</t>
        </is>
      </c>
    </row>
    <row r="800" ht="16" customHeight="1">
      <c r="A800" s="5" t="inlineStr">
        <is>
          <t>TMT-S3-F081</t>
        </is>
      </c>
      <c r="B800" s="5" t="inlineStr">
        <is>
          <t>TMT</t>
        </is>
      </c>
      <c r="C800" s="5" t="inlineStr">
        <is>
          <t>S3</t>
        </is>
      </c>
      <c r="D800" s="21" t="str">
        <f>IFERROR(VLOOKUP($G800,'02_REFERENCE'!$A$2:$S$99,4,FALSE),"N/A")</f>
        <v>N/A</v>
      </c>
      <c r="E800" s="21" t="str">
        <f>IFERROR(VLOOKUP($G800,'02_REFERENCE'!$A$2:$S$99,15,FALSE),"N/A")</f>
        <v>N/A</v>
      </c>
      <c r="F800" s="21" t="str">
        <f>IFERROR(VLOOKUP($G800,'02_REFERENCE'!$A$2:$S$99,17,FALSE),"N/A")</f>
        <v>N/A</v>
      </c>
      <c r="G800" s="21" t="inlineStr"/>
      <c r="H800" s="21" t="inlineStr">
        <is>
          <t>False Positive</t>
        </is>
      </c>
      <c r="I800" s="21" t="inlineStr">
        <is>
          <t>FP</t>
        </is>
      </c>
      <c r="J800" s="21" t="inlineStr">
        <is>
          <t>M</t>
        </is>
      </c>
      <c r="K800" s="21" t="inlineStr">
        <is>
          <t>N</t>
        </is>
      </c>
      <c r="L800" s="21" t="inlineStr">
        <is>
          <t>No</t>
        </is>
      </c>
      <c r="M800" s="21" t="inlineStr"/>
      <c r="N800" s="22" t="inlineStr">
        <is>
          <t>No reference threat corresponds to this finding's mechanism (scoring found no class with sufficient evidence).</t>
        </is>
      </c>
      <c r="O800" s="5" t="inlineStr"/>
      <c r="P800" s="16" t="inlineStr">
        <is>
          <t>External Entity External communication channel Potentially Denies Receiving Data</t>
        </is>
      </c>
      <c r="Q800" s="16" t="inlineStr">
        <is>
          <t>Diagram 1</t>
        </is>
      </c>
      <c r="R800" s="16" t="inlineStr">
        <is>
          <t>password reset token</t>
        </is>
      </c>
      <c r="S800" s="5" t="inlineStr">
        <is>
          <t>Confirmed</t>
        </is>
      </c>
    </row>
    <row r="801" ht="16" customHeight="1">
      <c r="A801" s="5" t="inlineStr">
        <is>
          <t>TMT-S3-F082</t>
        </is>
      </c>
      <c r="B801" s="5" t="inlineStr">
        <is>
          <t>TMT</t>
        </is>
      </c>
      <c r="C801" s="5" t="inlineStr">
        <is>
          <t>S3</t>
        </is>
      </c>
      <c r="D801" s="21" t="str">
        <f>IFERROR(VLOOKUP($G801,'02_REFERENCE'!$A$2:$S$99,4,FALSE),"N/A")</f>
        <v>Spoofing</v>
      </c>
      <c r="E801" s="21" t="str">
        <f>IFERROR(VLOOKUP($G801,'02_REFERENCE'!$A$2:$S$99,15,FALSE),"N/A")</f>
        <v>High</v>
      </c>
      <c r="F801" s="21" t="str">
        <f>IFERROR(VLOOKUP($G801,'02_REFERENCE'!$A$2:$S$99,17,FALSE),"N/A")</f>
        <v>No</v>
      </c>
      <c r="G801" s="21" t="inlineStr">
        <is>
          <t>S3-RT-003</t>
        </is>
      </c>
      <c r="H801" s="21" t="inlineStr">
        <is>
          <t>Duplicate</t>
        </is>
      </c>
      <c r="I801" s="21" t="inlineStr">
        <is>
          <t>TP</t>
        </is>
      </c>
      <c r="J801" s="21" t="inlineStr">
        <is>
          <t>M</t>
        </is>
      </c>
      <c r="K801" s="21" t="inlineStr">
        <is>
          <t>N</t>
        </is>
      </c>
      <c r="L801" s="21" t="inlineStr">
        <is>
          <t>Yes</t>
        </is>
      </c>
      <c r="M801" s="21" t="inlineStr">
        <is>
          <t>TMT-S3-F010</t>
        </is>
      </c>
      <c r="N801" s="22" t="inlineStr">
        <is>
          <t>Spoofing of the external communication channel on the recovery-token flow -&gt; token delivered to the attacker instead of the user -&gt; reference S3-RT-003 (recovery token theft at the user boundary). [Equivalence: restates TMT-S3-F010 — one-to-one rule applied.]</t>
        </is>
      </c>
      <c r="O801" s="5" t="inlineStr">
        <is>
          <t>transit_token</t>
        </is>
      </c>
      <c r="P801" s="16" t="inlineStr">
        <is>
          <t>Spoofing of the External communication channel External Destination Entity</t>
        </is>
      </c>
      <c r="Q801" s="16" t="inlineStr">
        <is>
          <t>Diagram 1</t>
        </is>
      </c>
      <c r="R801" s="16" t="inlineStr">
        <is>
          <t>password reset token</t>
        </is>
      </c>
      <c r="S801" s="5" t="inlineStr">
        <is>
          <t>Confirmed</t>
        </is>
      </c>
    </row>
    <row r="802" ht="16" customHeight="1">
      <c r="A802" s="5" t="inlineStr">
        <is>
          <t>TMT-S3-F083</t>
        </is>
      </c>
      <c r="B802" s="5" t="inlineStr">
        <is>
          <t>TMT</t>
        </is>
      </c>
      <c r="C802" s="5" t="inlineStr">
        <is>
          <t>S3</t>
        </is>
      </c>
      <c r="D802" s="21" t="str">
        <f>IFERROR(VLOOKUP($G802,'02_REFERENCE'!$A$2:$S$99,4,FALSE),"N/A")</f>
        <v>N/A</v>
      </c>
      <c r="E802" s="21" t="str">
        <f>IFERROR(VLOOKUP($G802,'02_REFERENCE'!$A$2:$S$99,15,FALSE),"N/A")</f>
        <v>N/A</v>
      </c>
      <c r="F802" s="21" t="str">
        <f>IFERROR(VLOOKUP($G802,'02_REFERENCE'!$A$2:$S$99,17,FALSE),"N/A")</f>
        <v>N/A</v>
      </c>
      <c r="G802" s="21" t="inlineStr"/>
      <c r="H802" s="21" t="inlineStr">
        <is>
          <t>False Positive</t>
        </is>
      </c>
      <c r="I802" s="21" t="inlineStr">
        <is>
          <t>FP</t>
        </is>
      </c>
      <c r="J802" s="21" t="inlineStr">
        <is>
          <t>M</t>
        </is>
      </c>
      <c r="K802" s="21" t="inlineStr">
        <is>
          <t>N</t>
        </is>
      </c>
      <c r="L802" s="21" t="inlineStr">
        <is>
          <t>No</t>
        </is>
      </c>
      <c r="M802" s="21" t="inlineStr"/>
      <c r="N802" s="22" t="inlineStr">
        <is>
          <t>Process-identity spoofing / memory-integrity template; no reference mechanism (authentication bypass RT-004 is logic-based, not process-spoofing).</t>
        </is>
      </c>
      <c r="O802" s="5" t="inlineStr"/>
      <c r="P802" s="16" t="inlineStr">
        <is>
          <t>Elevation Using Impersonation</t>
        </is>
      </c>
      <c r="Q802" s="16" t="inlineStr">
        <is>
          <t>Diagram 1</t>
        </is>
      </c>
      <c r="R802" s="16" t="inlineStr">
        <is>
          <t>Token Validation Request</t>
        </is>
      </c>
      <c r="S802" s="5" t="inlineStr">
        <is>
          <t>Confirmed</t>
        </is>
      </c>
    </row>
    <row r="803" ht="16" customHeight="1">
      <c r="A803" s="5" t="inlineStr">
        <is>
          <t>TMT-S3-F084</t>
        </is>
      </c>
      <c r="B803" s="5" t="inlineStr">
        <is>
          <t>TMT</t>
        </is>
      </c>
      <c r="C803" s="5" t="inlineStr">
        <is>
          <t>S3</t>
        </is>
      </c>
      <c r="D803" s="21" t="str">
        <f>IFERROR(VLOOKUP($G803,'02_REFERENCE'!$A$2:$S$99,4,FALSE),"N/A")</f>
        <v>N/A</v>
      </c>
      <c r="E803" s="21" t="str">
        <f>IFERROR(VLOOKUP($G803,'02_REFERENCE'!$A$2:$S$99,15,FALSE),"N/A")</f>
        <v>N/A</v>
      </c>
      <c r="F803" s="21" t="str">
        <f>IFERROR(VLOOKUP($G803,'02_REFERENCE'!$A$2:$S$99,17,FALSE),"N/A")</f>
        <v>N/A</v>
      </c>
      <c r="G803" s="21" t="inlineStr"/>
      <c r="H803" s="21" t="inlineStr">
        <is>
          <t>False Positive</t>
        </is>
      </c>
      <c r="I803" s="21" t="inlineStr">
        <is>
          <t>FP</t>
        </is>
      </c>
      <c r="J803" s="21" t="inlineStr">
        <is>
          <t>M</t>
        </is>
      </c>
      <c r="K803" s="21" t="inlineStr">
        <is>
          <t>N</t>
        </is>
      </c>
      <c r="L803" s="21" t="inlineStr">
        <is>
          <t>No</t>
        </is>
      </c>
      <c r="M803" s="21" t="inlineStr"/>
      <c r="N803" s="22" t="inlineStr">
        <is>
          <t>Process-identity spoofing / memory-integrity template; no reference mechanism (authentication bypass RT-004 is logic-based, not process-spoofing).</t>
        </is>
      </c>
      <c r="O803" s="5" t="inlineStr"/>
      <c r="P803" s="16" t="inlineStr">
        <is>
          <t>P2 Account Management Service Process Memory Tampered</t>
        </is>
      </c>
      <c r="Q803" s="16" t="inlineStr">
        <is>
          <t>Diagram 1</t>
        </is>
      </c>
      <c r="R803" s="16" t="inlineStr">
        <is>
          <t>Token Validation Request</t>
        </is>
      </c>
      <c r="S803" s="5" t="inlineStr">
        <is>
          <t>Confirmed</t>
        </is>
      </c>
    </row>
    <row r="804" ht="16" customHeight="1">
      <c r="A804" s="5" t="inlineStr">
        <is>
          <t>TMT-S3-F085</t>
        </is>
      </c>
      <c r="B804" s="5" t="inlineStr">
        <is>
          <t>TMT</t>
        </is>
      </c>
      <c r="C804" s="5" t="inlineStr">
        <is>
          <t>S3</t>
        </is>
      </c>
      <c r="D804" s="21" t="str">
        <f>IFERROR(VLOOKUP($G804,'02_REFERENCE'!$A$2:$S$99,4,FALSE),"N/A")</f>
        <v>N/A</v>
      </c>
      <c r="E804" s="21" t="str">
        <f>IFERROR(VLOOKUP($G804,'02_REFERENCE'!$A$2:$S$99,15,FALSE),"N/A")</f>
        <v>N/A</v>
      </c>
      <c r="F804" s="21" t="str">
        <f>IFERROR(VLOOKUP($G804,'02_REFERENCE'!$A$2:$S$99,17,FALSE),"N/A")</f>
        <v>N/A</v>
      </c>
      <c r="G804" s="21" t="inlineStr"/>
      <c r="H804" s="21" t="inlineStr">
        <is>
          <t>False Positive</t>
        </is>
      </c>
      <c r="I804" s="21" t="inlineStr">
        <is>
          <t>FP</t>
        </is>
      </c>
      <c r="J804" s="21" t="inlineStr">
        <is>
          <t>M</t>
        </is>
      </c>
      <c r="K804" s="21" t="inlineStr">
        <is>
          <t>N</t>
        </is>
      </c>
      <c r="L804" s="21" t="inlineStr">
        <is>
          <t>No</t>
        </is>
      </c>
      <c r="M804" s="21" t="inlineStr"/>
      <c r="N804" s="22" t="inlineStr">
        <is>
          <t>Process-identity spoofing / memory-integrity template; no reference mechanism (authentication bypass RT-004 is logic-based, not process-spoofing).</t>
        </is>
      </c>
      <c r="O804" s="5" t="inlineStr"/>
      <c r="P804" s="16" t="inlineStr">
        <is>
          <t>Elevation Using Impersonation</t>
        </is>
      </c>
      <c r="Q804" s="16" t="inlineStr">
        <is>
          <t>Diagram 1</t>
        </is>
      </c>
      <c r="R804" s="16" t="inlineStr">
        <is>
          <t>Token Validation Result</t>
        </is>
      </c>
      <c r="S804" s="5" t="inlineStr">
        <is>
          <t>Confirmed</t>
        </is>
      </c>
    </row>
    <row r="805" ht="16" customHeight="1">
      <c r="A805" s="5" t="inlineStr">
        <is>
          <t>TMT-S3-F086</t>
        </is>
      </c>
      <c r="B805" s="5" t="inlineStr">
        <is>
          <t>TMT</t>
        </is>
      </c>
      <c r="C805" s="5" t="inlineStr">
        <is>
          <t>S3</t>
        </is>
      </c>
      <c r="D805" s="21" t="str">
        <f>IFERROR(VLOOKUP($G805,'02_REFERENCE'!$A$2:$S$99,4,FALSE),"N/A")</f>
        <v>N/A</v>
      </c>
      <c r="E805" s="21" t="str">
        <f>IFERROR(VLOOKUP($G805,'02_REFERENCE'!$A$2:$S$99,15,FALSE),"N/A")</f>
        <v>N/A</v>
      </c>
      <c r="F805" s="21" t="str">
        <f>IFERROR(VLOOKUP($G805,'02_REFERENCE'!$A$2:$S$99,17,FALSE),"N/A")</f>
        <v>N/A</v>
      </c>
      <c r="G805" s="21" t="inlineStr"/>
      <c r="H805" s="21" t="inlineStr">
        <is>
          <t>False Positive</t>
        </is>
      </c>
      <c r="I805" s="21" t="inlineStr">
        <is>
          <t>FP</t>
        </is>
      </c>
      <c r="J805" s="21" t="inlineStr">
        <is>
          <t>M</t>
        </is>
      </c>
      <c r="K805" s="21" t="inlineStr">
        <is>
          <t>N</t>
        </is>
      </c>
      <c r="L805" s="21" t="inlineStr">
        <is>
          <t>No</t>
        </is>
      </c>
      <c r="M805" s="21" t="inlineStr"/>
      <c r="N805" s="22" t="inlineStr">
        <is>
          <t>Process-identity spoofing / memory-integrity template; no reference mechanism (authentication bypass RT-004 is logic-based, not process-spoofing).</t>
        </is>
      </c>
      <c r="O805" s="5" t="inlineStr"/>
      <c r="P805" s="16" t="inlineStr">
        <is>
          <t>P3 Password Reset Token Module Process Memory Tampered</t>
        </is>
      </c>
      <c r="Q805" s="16" t="inlineStr">
        <is>
          <t>Diagram 1</t>
        </is>
      </c>
      <c r="R805" s="16" t="inlineStr">
        <is>
          <t>Token Validation Result</t>
        </is>
      </c>
      <c r="S805" s="5" t="inlineStr">
        <is>
          <t>Confirmed</t>
        </is>
      </c>
    </row>
    <row r="806" ht="16" customHeight="1">
      <c r="A806" s="5" t="inlineStr">
        <is>
          <t>TMT-S3-F087</t>
        </is>
      </c>
      <c r="B806" s="5" t="inlineStr">
        <is>
          <t>TMT</t>
        </is>
      </c>
      <c r="C806" s="5" t="inlineStr">
        <is>
          <t>S3</t>
        </is>
      </c>
      <c r="D806" s="21" t="str">
        <f>IFERROR(VLOOKUP($G806,'02_REFERENCE'!$A$2:$S$99,4,FALSE),"N/A")</f>
        <v>Denial of Service</v>
      </c>
      <c r="E806" s="21" t="str">
        <f>IFERROR(VLOOKUP($G806,'02_REFERENCE'!$A$2:$S$99,15,FALSE),"N/A")</f>
        <v>High</v>
      </c>
      <c r="F806" s="21" t="str">
        <f>IFERROR(VLOOKUP($G806,'02_REFERENCE'!$A$2:$S$99,17,FALSE),"N/A")</f>
        <v>No</v>
      </c>
      <c r="G806" s="21" t="inlineStr">
        <is>
          <t>S3-RT-030</t>
        </is>
      </c>
      <c r="H806" s="21" t="inlineStr">
        <is>
          <t>Duplicate</t>
        </is>
      </c>
      <c r="I806" s="21" t="inlineStr">
        <is>
          <t>TP</t>
        </is>
      </c>
      <c r="J806" s="21" t="inlineStr">
        <is>
          <t>M</t>
        </is>
      </c>
      <c r="K806" s="21" t="inlineStr">
        <is>
          <t>N</t>
        </is>
      </c>
      <c r="L806" s="21" t="inlineStr">
        <is>
          <t>Yes</t>
        </is>
      </c>
      <c r="M806" s="21" t="inlineStr">
        <is>
          <t>TMT-S3-F007</t>
        </is>
      </c>
      <c r="N806" s="22" t="inlineStr">
        <is>
          <t>Excessive resource consumption of the primary service -&gt; reference S3-RT-030. [Equivalence: restates TMT-S3-F007 — one-to-one rule applied.]</t>
        </is>
      </c>
      <c r="O806" s="5" t="inlineStr">
        <is>
          <t>dos_service</t>
        </is>
      </c>
      <c r="P806" s="16" t="inlineStr">
        <is>
          <t>Potential Excessive Resource Consumption for P2 Account Management Service or DS1 Backend User Database</t>
        </is>
      </c>
      <c r="Q806" s="16" t="inlineStr">
        <is>
          <t>Diagram 1</t>
        </is>
      </c>
      <c r="R806" s="16" t="inlineStr">
        <is>
          <t>Password Update</t>
        </is>
      </c>
      <c r="S806" s="5" t="inlineStr">
        <is>
          <t>Confirmed</t>
        </is>
      </c>
    </row>
    <row r="807" ht="16" customHeight="1">
      <c r="A807" s="5" t="inlineStr">
        <is>
          <t>TMT-S3-F088</t>
        </is>
      </c>
      <c r="B807" s="5" t="inlineStr">
        <is>
          <t>TMT</t>
        </is>
      </c>
      <c r="C807" s="5" t="inlineStr">
        <is>
          <t>S3</t>
        </is>
      </c>
      <c r="D807" s="21" t="str">
        <f>IFERROR(VLOOKUP($G807,'02_REFERENCE'!$A$2:$S$99,4,FALSE),"N/A")</f>
        <v>N/A</v>
      </c>
      <c r="E807" s="21" t="str">
        <f>IFERROR(VLOOKUP($G807,'02_REFERENCE'!$A$2:$S$99,15,FALSE),"N/A")</f>
        <v>N/A</v>
      </c>
      <c r="F807" s="21" t="str">
        <f>IFERROR(VLOOKUP($G807,'02_REFERENCE'!$A$2:$S$99,17,FALSE),"N/A")</f>
        <v>N/A</v>
      </c>
      <c r="G807" s="21" t="inlineStr"/>
      <c r="H807" s="21" t="inlineStr">
        <is>
          <t>False Positive</t>
        </is>
      </c>
      <c r="I807" s="21" t="inlineStr">
        <is>
          <t>FP</t>
        </is>
      </c>
      <c r="J807" s="21" t="inlineStr">
        <is>
          <t>M</t>
        </is>
      </c>
      <c r="K807" s="21" t="inlineStr">
        <is>
          <t>N</t>
        </is>
      </c>
      <c r="L807" s="21" t="inlineStr">
        <is>
          <t>No</t>
        </is>
      </c>
      <c r="M807" s="21" t="inlineStr"/>
      <c r="N807" s="22" t="inlineStr">
        <is>
          <t>Process-identity spoofing / memory-integrity template; no reference mechanism (authentication bypass RT-004 is logic-based, not process-spoofing).</t>
        </is>
      </c>
      <c r="O807" s="5" t="inlineStr"/>
      <c r="P807" s="16" t="inlineStr">
        <is>
          <t>Spoofing of Destination Data Store DS1 Backend User Database</t>
        </is>
      </c>
      <c r="Q807" s="16" t="inlineStr">
        <is>
          <t>Diagram 1</t>
        </is>
      </c>
      <c r="R807" s="16" t="inlineStr">
        <is>
          <t>Password Update</t>
        </is>
      </c>
      <c r="S807" s="5" t="inlineStr">
        <is>
          <t>Confirmed</t>
        </is>
      </c>
    </row>
    <row r="808" ht="16" customHeight="1">
      <c r="A808" s="5" t="inlineStr">
        <is>
          <t>TMT-S3-F089</t>
        </is>
      </c>
      <c r="B808" s="5" t="inlineStr">
        <is>
          <t>TMT</t>
        </is>
      </c>
      <c r="C808" s="5" t="inlineStr">
        <is>
          <t>S3</t>
        </is>
      </c>
      <c r="D808" s="21" t="str">
        <f>IFERROR(VLOOKUP($G808,'02_REFERENCE'!$A$2:$S$99,4,FALSE),"N/A")</f>
        <v>N/A</v>
      </c>
      <c r="E808" s="21" t="str">
        <f>IFERROR(VLOOKUP($G808,'02_REFERENCE'!$A$2:$S$99,15,FALSE),"N/A")</f>
        <v>N/A</v>
      </c>
      <c r="F808" s="21" t="str">
        <f>IFERROR(VLOOKUP($G808,'02_REFERENCE'!$A$2:$S$99,17,FALSE),"N/A")</f>
        <v>N/A</v>
      </c>
      <c r="G808" s="21" t="inlineStr"/>
      <c r="H808" s="21" t="inlineStr">
        <is>
          <t>False Positive</t>
        </is>
      </c>
      <c r="I808" s="21" t="inlineStr">
        <is>
          <t>FP</t>
        </is>
      </c>
      <c r="J808" s="21" t="inlineStr">
        <is>
          <t>M</t>
        </is>
      </c>
      <c r="K808" s="21" t="inlineStr">
        <is>
          <t>N</t>
        </is>
      </c>
      <c r="L808" s="21" t="inlineStr">
        <is>
          <t>No</t>
        </is>
      </c>
      <c r="M808" s="21" t="inlineStr"/>
      <c r="N808" s="22" t="inlineStr">
        <is>
          <t>CSRF template; the reference baseline contains no CSRF mechanism (session threats are fixation/theft/replay/prediction/storage).</t>
        </is>
      </c>
      <c r="O808" s="5" t="inlineStr"/>
      <c r="P808" s="16" t="inlineStr">
        <is>
          <t>Cross Site Request Forgery</t>
        </is>
      </c>
      <c r="Q808" s="16" t="inlineStr">
        <is>
          <t>Diagram 1</t>
        </is>
      </c>
      <c r="R808" s="16" t="inlineStr">
        <is>
          <t>Account-Related AI Question</t>
        </is>
      </c>
      <c r="S808" s="5" t="inlineStr">
        <is>
          <t>Confirmed</t>
        </is>
      </c>
    </row>
    <row r="809" ht="16" customHeight="1">
      <c r="A809" s="5" t="inlineStr">
        <is>
          <t>TMT-S3-F090</t>
        </is>
      </c>
      <c r="B809" s="5" t="inlineStr">
        <is>
          <t>TMT</t>
        </is>
      </c>
      <c r="C809" s="5" t="inlineStr">
        <is>
          <t>S3</t>
        </is>
      </c>
      <c r="D809" s="21" t="str">
        <f>IFERROR(VLOOKUP($G809,'02_REFERENCE'!$A$2:$S$99,4,FALSE),"N/A")</f>
        <v>N/A</v>
      </c>
      <c r="E809" s="21" t="str">
        <f>IFERROR(VLOOKUP($G809,'02_REFERENCE'!$A$2:$S$99,15,FALSE),"N/A")</f>
        <v>N/A</v>
      </c>
      <c r="F809" s="21" t="str">
        <f>IFERROR(VLOOKUP($G809,'02_REFERENCE'!$A$2:$S$99,17,FALSE),"N/A")</f>
        <v>N/A</v>
      </c>
      <c r="G809" s="21" t="inlineStr"/>
      <c r="H809" s="21" t="inlineStr">
        <is>
          <t>False Positive</t>
        </is>
      </c>
      <c r="I809" s="21" t="inlineStr">
        <is>
          <t>FP</t>
        </is>
      </c>
      <c r="J809" s="21" t="inlineStr">
        <is>
          <t>M</t>
        </is>
      </c>
      <c r="K809" s="21" t="inlineStr">
        <is>
          <t>N</t>
        </is>
      </c>
      <c r="L809" s="21" t="inlineStr">
        <is>
          <t>No</t>
        </is>
      </c>
      <c r="M809" s="21" t="inlineStr"/>
      <c r="N809" s="22" t="inlineStr">
        <is>
          <t>Process-identity spoofing / memory-integrity template; no reference mechanism (authentication bypass RT-004 is logic-based, not process-spoofing).</t>
        </is>
      </c>
      <c r="O809" s="5" t="inlineStr"/>
      <c r="P809" s="16" t="inlineStr">
        <is>
          <t>Elevation by Changing the Execution Flow in P1 Web Frontend Interface</t>
        </is>
      </c>
      <c r="Q809" s="16" t="inlineStr">
        <is>
          <t>Diagram 1</t>
        </is>
      </c>
      <c r="R809" s="16" t="inlineStr">
        <is>
          <t>Account-Related AI Question</t>
        </is>
      </c>
      <c r="S809" s="5" t="inlineStr">
        <is>
          <t>Confirmed</t>
        </is>
      </c>
    </row>
    <row r="810" ht="16" customHeight="1">
      <c r="A810" s="5" t="inlineStr">
        <is>
          <t>TMT-S3-F091</t>
        </is>
      </c>
      <c r="B810" s="5" t="inlineStr">
        <is>
          <t>TMT</t>
        </is>
      </c>
      <c r="C810" s="5" t="inlineStr">
        <is>
          <t>S3</t>
        </is>
      </c>
      <c r="D810" s="21" t="str">
        <f>IFERROR(VLOOKUP($G810,'02_REFERENCE'!$A$2:$S$99,4,FALSE),"N/A")</f>
        <v>N/A</v>
      </c>
      <c r="E810" s="21" t="str">
        <f>IFERROR(VLOOKUP($G810,'02_REFERENCE'!$A$2:$S$99,15,FALSE),"N/A")</f>
        <v>N/A</v>
      </c>
      <c r="F810" s="21" t="str">
        <f>IFERROR(VLOOKUP($G810,'02_REFERENCE'!$A$2:$S$99,17,FALSE),"N/A")</f>
        <v>N/A</v>
      </c>
      <c r="G810" s="21" t="inlineStr"/>
      <c r="H810" s="21" t="inlineStr">
        <is>
          <t>False Positive</t>
        </is>
      </c>
      <c r="I810" s="21" t="inlineStr">
        <is>
          <t>FP</t>
        </is>
      </c>
      <c r="J810" s="21" t="inlineStr">
        <is>
          <t>M</t>
        </is>
      </c>
      <c r="K810" s="21" t="inlineStr">
        <is>
          <t>N</t>
        </is>
      </c>
      <c r="L810" s="21" t="inlineStr">
        <is>
          <t>No</t>
        </is>
      </c>
      <c r="M810" s="21" t="inlineStr"/>
      <c r="N810" s="22" t="inlineStr">
        <is>
          <t>Process-identity spoofing / memory-integrity template; no reference mechanism (authentication bypass RT-004 is logic-based, not process-spoofing).</t>
        </is>
      </c>
      <c r="O810" s="5" t="inlineStr"/>
      <c r="P810" s="16" t="inlineStr">
        <is>
          <t>P1 Web Frontend Interface May be Subject to Elevation of Privilege Using Remote Code Execution</t>
        </is>
      </c>
      <c r="Q810" s="16" t="inlineStr">
        <is>
          <t>Diagram 1</t>
        </is>
      </c>
      <c r="R810" s="16" t="inlineStr">
        <is>
          <t>Account-Related AI Question</t>
        </is>
      </c>
      <c r="S810" s="5" t="inlineStr">
        <is>
          <t>Confirmed</t>
        </is>
      </c>
    </row>
    <row r="811" ht="16" customHeight="1">
      <c r="A811" s="5" t="inlineStr">
        <is>
          <t>TMT-S3-F092</t>
        </is>
      </c>
      <c r="B811" s="5" t="inlineStr">
        <is>
          <t>TMT</t>
        </is>
      </c>
      <c r="C811" s="5" t="inlineStr">
        <is>
          <t>S3</t>
        </is>
      </c>
      <c r="D811" s="21" t="str">
        <f>IFERROR(VLOOKUP($G811,'02_REFERENCE'!$A$2:$S$99,4,FALSE),"N/A")</f>
        <v>N/A</v>
      </c>
      <c r="E811" s="21" t="str">
        <f>IFERROR(VLOOKUP($G811,'02_REFERENCE'!$A$2:$S$99,15,FALSE),"N/A")</f>
        <v>N/A</v>
      </c>
      <c r="F811" s="21" t="str">
        <f>IFERROR(VLOOKUP($G811,'02_REFERENCE'!$A$2:$S$99,17,FALSE),"N/A")</f>
        <v>N/A</v>
      </c>
      <c r="G811" s="21" t="inlineStr"/>
      <c r="H811" s="21" t="inlineStr">
        <is>
          <t>False Positive</t>
        </is>
      </c>
      <c r="I811" s="21" t="inlineStr">
        <is>
          <t>FP</t>
        </is>
      </c>
      <c r="J811" s="21" t="inlineStr">
        <is>
          <t>M</t>
        </is>
      </c>
      <c r="K811" s="21" t="inlineStr">
        <is>
          <t>N</t>
        </is>
      </c>
      <c r="L811" s="21" t="inlineStr">
        <is>
          <t>No</t>
        </is>
      </c>
      <c r="M811" s="21" t="inlineStr"/>
      <c r="N811" s="22" t="inlineStr">
        <is>
          <t>Process-identity spoofing / memory-integrity template; no reference mechanism (authentication bypass RT-004 is logic-based, not process-spoofing).</t>
        </is>
      </c>
      <c r="O811" s="5" t="inlineStr"/>
      <c r="P811" s="16" t="inlineStr">
        <is>
          <t>Elevation Using Impersonation</t>
        </is>
      </c>
      <c r="Q811" s="16" t="inlineStr">
        <is>
          <t>Diagram 1</t>
        </is>
      </c>
      <c r="R811" s="16" t="inlineStr">
        <is>
          <t>Account-Related AI Question</t>
        </is>
      </c>
      <c r="S811" s="5" t="inlineStr">
        <is>
          <t>Confirmed</t>
        </is>
      </c>
    </row>
    <row r="812" ht="16" customHeight="1">
      <c r="A812" s="5" t="inlineStr">
        <is>
          <t>TMT-S3-F093</t>
        </is>
      </c>
      <c r="B812" s="5" t="inlineStr">
        <is>
          <t>TMT</t>
        </is>
      </c>
      <c r="C812" s="5" t="inlineStr">
        <is>
          <t>S3</t>
        </is>
      </c>
      <c r="D812" s="21" t="str">
        <f>IFERROR(VLOOKUP($G812,'02_REFERENCE'!$A$2:$S$99,4,FALSE),"N/A")</f>
        <v>N/A</v>
      </c>
      <c r="E812" s="21" t="str">
        <f>IFERROR(VLOOKUP($G812,'02_REFERENCE'!$A$2:$S$99,15,FALSE),"N/A")</f>
        <v>N/A</v>
      </c>
      <c r="F812" s="21" t="str">
        <f>IFERROR(VLOOKUP($G812,'02_REFERENCE'!$A$2:$S$99,17,FALSE),"N/A")</f>
        <v>N/A</v>
      </c>
      <c r="G812" s="21" t="inlineStr"/>
      <c r="H812" s="21" t="inlineStr">
        <is>
          <t>False Positive</t>
        </is>
      </c>
      <c r="I812" s="21" t="inlineStr">
        <is>
          <t>FP</t>
        </is>
      </c>
      <c r="J812" s="21" t="inlineStr">
        <is>
          <t>M</t>
        </is>
      </c>
      <c r="K812" s="21" t="inlineStr">
        <is>
          <t>N</t>
        </is>
      </c>
      <c r="L812" s="21" t="inlineStr">
        <is>
          <t>No</t>
        </is>
      </c>
      <c r="M812" s="21" t="inlineStr"/>
      <c r="N812" s="22" t="inlineStr">
        <is>
          <t>Flow-interruption template on a flow without a matching availability reference.</t>
        </is>
      </c>
      <c r="O812" s="5" t="inlineStr"/>
      <c r="P812" s="16" t="inlineStr">
        <is>
          <t>Data Flow Account-Related AI Question Is Potentially Interrupted</t>
        </is>
      </c>
      <c r="Q812" s="16" t="inlineStr">
        <is>
          <t>Diagram 1</t>
        </is>
      </c>
      <c r="R812" s="16" t="inlineStr">
        <is>
          <t>Account-Related AI Question</t>
        </is>
      </c>
      <c r="S812" s="5" t="inlineStr">
        <is>
          <t>Confirmed</t>
        </is>
      </c>
    </row>
    <row r="813" ht="16" customHeight="1">
      <c r="A813" s="5" t="inlineStr">
        <is>
          <t>TMT-S3-F094</t>
        </is>
      </c>
      <c r="B813" s="5" t="inlineStr">
        <is>
          <t>TMT</t>
        </is>
      </c>
      <c r="C813" s="5" t="inlineStr">
        <is>
          <t>S3</t>
        </is>
      </c>
      <c r="D813" s="21" t="str">
        <f>IFERROR(VLOOKUP($G813,'02_REFERENCE'!$A$2:$S$99,4,FALSE),"N/A")</f>
        <v>N/A</v>
      </c>
      <c r="E813" s="21" t="str">
        <f>IFERROR(VLOOKUP($G813,'02_REFERENCE'!$A$2:$S$99,15,FALSE),"N/A")</f>
        <v>N/A</v>
      </c>
      <c r="F813" s="21" t="str">
        <f>IFERROR(VLOOKUP($G813,'02_REFERENCE'!$A$2:$S$99,17,FALSE),"N/A")</f>
        <v>N/A</v>
      </c>
      <c r="G813" s="21" t="inlineStr"/>
      <c r="H813" s="21" t="inlineStr">
        <is>
          <t>False Positive</t>
        </is>
      </c>
      <c r="I813" s="21" t="inlineStr">
        <is>
          <t>FP</t>
        </is>
      </c>
      <c r="J813" s="21" t="inlineStr">
        <is>
          <t>M</t>
        </is>
      </c>
      <c r="K813" s="21" t="inlineStr">
        <is>
          <t>N</t>
        </is>
      </c>
      <c r="L813" s="21" t="inlineStr">
        <is>
          <t>No</t>
        </is>
      </c>
      <c r="M813" s="21" t="inlineStr"/>
      <c r="N813" s="22" t="inlineStr">
        <is>
          <t>Process-crash template (internal availability); no reference mechanism (provider-unavailability refs concern the external service; DoS refs concern attacker-driven flooding).</t>
        </is>
      </c>
      <c r="O813" s="5" t="inlineStr"/>
      <c r="P813" s="16" t="inlineStr">
        <is>
          <t>Potential Process Crash or Stop for P1 Web Frontend Interface</t>
        </is>
      </c>
      <c r="Q813" s="16" t="inlineStr">
        <is>
          <t>Diagram 1</t>
        </is>
      </c>
      <c r="R813" s="16" t="inlineStr">
        <is>
          <t>Account-Related AI Question</t>
        </is>
      </c>
      <c r="S813" s="5" t="inlineStr">
        <is>
          <t>Confirmed</t>
        </is>
      </c>
    </row>
    <row r="814" ht="16" customHeight="1">
      <c r="A814" s="5" t="inlineStr">
        <is>
          <t>TMT-S3-F095</t>
        </is>
      </c>
      <c r="B814" s="5" t="inlineStr">
        <is>
          <t>TMT</t>
        </is>
      </c>
      <c r="C814" s="5" t="inlineStr">
        <is>
          <t>S3</t>
        </is>
      </c>
      <c r="D814" s="21" t="str">
        <f>IFERROR(VLOOKUP($G814,'02_REFERENCE'!$A$2:$S$99,4,FALSE),"N/A")</f>
        <v>Information Disclosure</v>
      </c>
      <c r="E814" s="21" t="str">
        <f>IFERROR(VLOOKUP($G814,'02_REFERENCE'!$A$2:$S$99,15,FALSE),"N/A")</f>
        <v>High</v>
      </c>
      <c r="F814" s="21" t="str">
        <f>IFERROR(VLOOKUP($G814,'02_REFERENCE'!$A$2:$S$99,17,FALSE),"N/A")</f>
        <v>No</v>
      </c>
      <c r="G814" s="21" t="inlineStr">
        <is>
          <t>S3-RT-016</t>
        </is>
      </c>
      <c r="H814" s="21" t="inlineStr">
        <is>
          <t>Primary TP</t>
        </is>
      </c>
      <c r="I814" s="21" t="inlineStr">
        <is>
          <t>TP</t>
        </is>
      </c>
      <c r="J814" s="21" t="inlineStr">
        <is>
          <t>M</t>
        </is>
      </c>
      <c r="K814" s="21" t="inlineStr">
        <is>
          <t>Y</t>
        </is>
      </c>
      <c r="L814" s="21" t="inlineStr">
        <is>
          <t>No</t>
        </is>
      </c>
      <c r="M814" s="21" t="inlineStr"/>
      <c r="N814" s="22" t="inlineStr">
        <is>
          <t>Flow sniffing of sensitive data in transit -&gt; reference S3-RT-016.</t>
        </is>
      </c>
      <c r="O814" s="5" t="inlineStr">
        <is>
          <t>transit_creds</t>
        </is>
      </c>
      <c r="P814" s="16" t="inlineStr">
        <is>
          <t>Data Flow Sniffing</t>
        </is>
      </c>
      <c r="Q814" s="16" t="inlineStr">
        <is>
          <t>Diagram 1</t>
        </is>
      </c>
      <c r="R814" s="16" t="inlineStr">
        <is>
          <t>Account-Related AI Question</t>
        </is>
      </c>
      <c r="S814" s="5" t="inlineStr">
        <is>
          <t>Confirmed</t>
        </is>
      </c>
    </row>
    <row r="815" ht="16" customHeight="1">
      <c r="A815" s="5" t="inlineStr">
        <is>
          <t>TMT-S3-F096</t>
        </is>
      </c>
      <c r="B815" s="5" t="inlineStr">
        <is>
          <t>TMT</t>
        </is>
      </c>
      <c r="C815" s="5" t="inlineStr">
        <is>
          <t>S3</t>
        </is>
      </c>
      <c r="D815" s="21" t="str">
        <f>IFERROR(VLOOKUP($G815,'02_REFERENCE'!$A$2:$S$99,4,FALSE),"N/A")</f>
        <v>Repudiation</v>
      </c>
      <c r="E815" s="21" t="str">
        <f>IFERROR(VLOOKUP($G815,'02_REFERENCE'!$A$2:$S$99,15,FALSE),"N/A")</f>
        <v>Medium</v>
      </c>
      <c r="F815" s="21" t="str">
        <f>IFERROR(VLOOKUP($G815,'02_REFERENCE'!$A$2:$S$99,17,FALSE),"N/A")</f>
        <v>No</v>
      </c>
      <c r="G815" s="21" t="inlineStr">
        <is>
          <t>S3-RT-018</t>
        </is>
      </c>
      <c r="H815" s="21" t="inlineStr">
        <is>
          <t>Duplicate</t>
        </is>
      </c>
      <c r="I815" s="21" t="inlineStr">
        <is>
          <t>TP</t>
        </is>
      </c>
      <c r="J815" s="21" t="inlineStr">
        <is>
          <t>M</t>
        </is>
      </c>
      <c r="K815" s="21" t="inlineStr">
        <is>
          <t>N</t>
        </is>
      </c>
      <c r="L815" s="21" t="inlineStr">
        <is>
          <t>Yes</t>
        </is>
      </c>
      <c r="M815" s="21" t="inlineStr">
        <is>
          <t>TMT-S3-F040</t>
        </is>
      </c>
      <c r="N815" s="22" t="inlineStr">
        <is>
          <t>Attribution template -&gt; reference S3-RT-018 (unspecified attribution of security-relevant actions). [Equivalence: restates TMT-S3-F040 — one-to-one rule applied.]</t>
        </is>
      </c>
      <c r="O815" s="5" t="inlineStr">
        <is>
          <t>repudiation</t>
        </is>
      </c>
      <c r="P815" s="16" t="inlineStr">
        <is>
          <t>Potential Data Repudiation by P1 Web Frontend Interface</t>
        </is>
      </c>
      <c r="Q815" s="16" t="inlineStr">
        <is>
          <t>Diagram 1</t>
        </is>
      </c>
      <c r="R815" s="16" t="inlineStr">
        <is>
          <t>Account-Related AI Question</t>
        </is>
      </c>
      <c r="S815" s="5" t="inlineStr">
        <is>
          <t>Confirmed</t>
        </is>
      </c>
    </row>
    <row r="816" ht="16" customHeight="1">
      <c r="A816" s="5" t="inlineStr">
        <is>
          <t>TMT-S3-F097</t>
        </is>
      </c>
      <c r="B816" s="5" t="inlineStr">
        <is>
          <t>TMT</t>
        </is>
      </c>
      <c r="C816" s="5" t="inlineStr">
        <is>
          <t>S3</t>
        </is>
      </c>
      <c r="D816" s="21" t="str">
        <f>IFERROR(VLOOKUP($G816,'02_REFERENCE'!$A$2:$S$99,4,FALSE),"N/A")</f>
        <v>Tampering</v>
      </c>
      <c r="E816" s="21" t="str">
        <f>IFERROR(VLOOKUP($G816,'02_REFERENCE'!$A$2:$S$99,15,FALSE),"N/A")</f>
        <v>High</v>
      </c>
      <c r="F816" s="21" t="str">
        <f>IFERROR(VLOOKUP($G816,'02_REFERENCE'!$A$2:$S$99,17,FALSE),"N/A")</f>
        <v>No</v>
      </c>
      <c r="G816" s="21" t="inlineStr">
        <is>
          <t>S3-RT-013</t>
        </is>
      </c>
      <c r="H816" s="21" t="inlineStr">
        <is>
          <t>Duplicate</t>
        </is>
      </c>
      <c r="I816" s="21" t="inlineStr">
        <is>
          <t>TP</t>
        </is>
      </c>
      <c r="J816" s="21" t="inlineStr">
        <is>
          <t>M</t>
        </is>
      </c>
      <c r="K816" s="21" t="inlineStr">
        <is>
          <t>N</t>
        </is>
      </c>
      <c r="L816" s="21" t="inlineStr">
        <is>
          <t>Yes</t>
        </is>
      </c>
      <c r="M816" s="21" t="inlineStr">
        <is>
          <t>TMT-S3-F002</t>
        </is>
      </c>
      <c r="N816" s="22" t="inlineStr">
        <is>
          <t>XSS on a user/API data flow -&gt; stored/reflected active content from user, profile and recovery data in the client context -&gt; reference S3-RT-013. [Equivalence: restates TMT-S3-F002 — one-to-one rule applied.]</t>
        </is>
      </c>
      <c r="O816" s="5" t="inlineStr">
        <is>
          <t>stored_active_content</t>
        </is>
      </c>
      <c r="P816" s="16" t="inlineStr">
        <is>
          <t>Cross Site Scripting</t>
        </is>
      </c>
      <c r="Q816" s="16" t="inlineStr">
        <is>
          <t>Diagram 1</t>
        </is>
      </c>
      <c r="R816" s="16" t="inlineStr">
        <is>
          <t>Account-Related AI Question</t>
        </is>
      </c>
      <c r="S816" s="5" t="inlineStr">
        <is>
          <t>Confirmed</t>
        </is>
      </c>
    </row>
    <row r="817" ht="16" customHeight="1">
      <c r="A817" s="5" t="inlineStr">
        <is>
          <t>TMT-S3-F098</t>
        </is>
      </c>
      <c r="B817" s="5" t="inlineStr">
        <is>
          <t>TMT</t>
        </is>
      </c>
      <c r="C817" s="5" t="inlineStr">
        <is>
          <t>S3</t>
        </is>
      </c>
      <c r="D817" s="21" t="str">
        <f>IFERROR(VLOOKUP($G817,'02_REFERENCE'!$A$2:$S$99,4,FALSE),"N/A")</f>
        <v>N/A</v>
      </c>
      <c r="E817" s="21" t="str">
        <f>IFERROR(VLOOKUP($G817,'02_REFERENCE'!$A$2:$S$99,15,FALSE),"N/A")</f>
        <v>N/A</v>
      </c>
      <c r="F817" s="21" t="str">
        <f>IFERROR(VLOOKUP($G817,'02_REFERENCE'!$A$2:$S$99,17,FALSE),"N/A")</f>
        <v>N/A</v>
      </c>
      <c r="G817" s="21" t="inlineStr"/>
      <c r="H817" s="21" t="inlineStr">
        <is>
          <t>False Positive</t>
        </is>
      </c>
      <c r="I817" s="21" t="inlineStr">
        <is>
          <t>FP</t>
        </is>
      </c>
      <c r="J817" s="21" t="inlineStr">
        <is>
          <t>M</t>
        </is>
      </c>
      <c r="K817" s="21" t="inlineStr">
        <is>
          <t>N</t>
        </is>
      </c>
      <c r="L817" s="21" t="inlineStr">
        <is>
          <t>No</t>
        </is>
      </c>
      <c r="M817" s="21" t="inlineStr"/>
      <c r="N817" s="22" t="inlineStr">
        <is>
          <t>Process-identity spoofing / memory-integrity template; no reference mechanism (authentication bypass RT-004 is logic-based, not process-spoofing).</t>
        </is>
      </c>
      <c r="O817" s="5" t="inlineStr"/>
      <c r="P817" s="16" t="inlineStr">
        <is>
          <t>EE1 Registered User (Browser) Process Memory Tampered</t>
        </is>
      </c>
      <c r="Q817" s="16" t="inlineStr">
        <is>
          <t>Diagram 1</t>
        </is>
      </c>
      <c r="R817" s="16" t="inlineStr">
        <is>
          <t>Account-Related AI Question</t>
        </is>
      </c>
      <c r="S817" s="5" t="inlineStr">
        <is>
          <t>Confirmed</t>
        </is>
      </c>
    </row>
    <row r="818" ht="16" customHeight="1">
      <c r="A818" s="5" t="inlineStr">
        <is>
          <t>TMT-S3-F099</t>
        </is>
      </c>
      <c r="B818" s="5" t="inlineStr">
        <is>
          <t>TMT</t>
        </is>
      </c>
      <c r="C818" s="5" t="inlineStr">
        <is>
          <t>S3</t>
        </is>
      </c>
      <c r="D818" s="21" t="str">
        <f>IFERROR(VLOOKUP($G818,'02_REFERENCE'!$A$2:$S$99,4,FALSE),"N/A")</f>
        <v>N/A</v>
      </c>
      <c r="E818" s="21" t="str">
        <f>IFERROR(VLOOKUP($G818,'02_REFERENCE'!$A$2:$S$99,15,FALSE),"N/A")</f>
        <v>N/A</v>
      </c>
      <c r="F818" s="21" t="str">
        <f>IFERROR(VLOOKUP($G818,'02_REFERENCE'!$A$2:$S$99,17,FALSE),"N/A")</f>
        <v>N/A</v>
      </c>
      <c r="G818" s="21" t="inlineStr"/>
      <c r="H818" s="21" t="inlineStr">
        <is>
          <t>False Positive</t>
        </is>
      </c>
      <c r="I818" s="21" t="inlineStr">
        <is>
          <t>FP</t>
        </is>
      </c>
      <c r="J818" s="21" t="inlineStr">
        <is>
          <t>M</t>
        </is>
      </c>
      <c r="K818" s="21" t="inlineStr">
        <is>
          <t>N</t>
        </is>
      </c>
      <c r="L818" s="21" t="inlineStr">
        <is>
          <t>No</t>
        </is>
      </c>
      <c r="M818" s="21" t="inlineStr"/>
      <c r="N818" s="22" t="inlineStr">
        <is>
          <t>Generic input-validation template; flow-specific reference mapping not supported (no matching mechanism).</t>
        </is>
      </c>
      <c r="O818" s="5" t="inlineStr"/>
      <c r="P818" s="16" t="inlineStr">
        <is>
          <t>Potential Lack of Input Validation for P1 Web Frontend Interface</t>
        </is>
      </c>
      <c r="Q818" s="16" t="inlineStr">
        <is>
          <t>Diagram 1</t>
        </is>
      </c>
      <c r="R818" s="16" t="inlineStr">
        <is>
          <t>Account-Related AI Question</t>
        </is>
      </c>
      <c r="S818" s="5" t="inlineStr">
        <is>
          <t>Confirmed</t>
        </is>
      </c>
    </row>
    <row r="819" ht="16" customHeight="1">
      <c r="A819" s="5" t="inlineStr">
        <is>
          <t>TMT-S3-F100</t>
        </is>
      </c>
      <c r="B819" s="5" t="inlineStr">
        <is>
          <t>TMT</t>
        </is>
      </c>
      <c r="C819" s="5" t="inlineStr">
        <is>
          <t>S3</t>
        </is>
      </c>
      <c r="D819" s="21" t="str">
        <f>IFERROR(VLOOKUP($G819,'02_REFERENCE'!$A$2:$S$99,4,FALSE),"N/A")</f>
        <v>N/A</v>
      </c>
      <c r="E819" s="21" t="str">
        <f>IFERROR(VLOOKUP($G819,'02_REFERENCE'!$A$2:$S$99,15,FALSE),"N/A")</f>
        <v>N/A</v>
      </c>
      <c r="F819" s="21" t="str">
        <f>IFERROR(VLOOKUP($G819,'02_REFERENCE'!$A$2:$S$99,17,FALSE),"N/A")</f>
        <v>N/A</v>
      </c>
      <c r="G819" s="21" t="inlineStr"/>
      <c r="H819" s="21" t="inlineStr">
        <is>
          <t>False Positive</t>
        </is>
      </c>
      <c r="I819" s="21" t="inlineStr">
        <is>
          <t>FP</t>
        </is>
      </c>
      <c r="J819" s="21" t="inlineStr">
        <is>
          <t>M</t>
        </is>
      </c>
      <c r="K819" s="21" t="inlineStr">
        <is>
          <t>N</t>
        </is>
      </c>
      <c r="L819" s="21" t="inlineStr">
        <is>
          <t>No</t>
        </is>
      </c>
      <c r="M819" s="21" t="inlineStr"/>
      <c r="N819" s="22" t="inlineStr">
        <is>
          <t>Process-identity spoofing / memory-integrity template; no reference mechanism (authentication bypass RT-004 is logic-based, not process-spoofing).</t>
        </is>
      </c>
      <c r="O819" s="5" t="inlineStr"/>
      <c r="P819" s="16" t="inlineStr">
        <is>
          <t>Spoofing the P1 Web Frontend Interface Process</t>
        </is>
      </c>
      <c r="Q819" s="16" t="inlineStr">
        <is>
          <t>Diagram 1</t>
        </is>
      </c>
      <c r="R819" s="16" t="inlineStr">
        <is>
          <t>Account-Related AI Question</t>
        </is>
      </c>
      <c r="S819" s="5" t="inlineStr">
        <is>
          <t>Confirmed</t>
        </is>
      </c>
    </row>
    <row r="820" ht="16" customHeight="1">
      <c r="A820" s="5" t="inlineStr">
        <is>
          <t>TMT-S3-F101</t>
        </is>
      </c>
      <c r="B820" s="5" t="inlineStr">
        <is>
          <t>TMT</t>
        </is>
      </c>
      <c r="C820" s="5" t="inlineStr">
        <is>
          <t>S3</t>
        </is>
      </c>
      <c r="D820" s="21" t="str">
        <f>IFERROR(VLOOKUP($G820,'02_REFERENCE'!$A$2:$S$99,4,FALSE),"N/A")</f>
        <v>N/A</v>
      </c>
      <c r="E820" s="21" t="str">
        <f>IFERROR(VLOOKUP($G820,'02_REFERENCE'!$A$2:$S$99,15,FALSE),"N/A")</f>
        <v>N/A</v>
      </c>
      <c r="F820" s="21" t="str">
        <f>IFERROR(VLOOKUP($G820,'02_REFERENCE'!$A$2:$S$99,17,FALSE),"N/A")</f>
        <v>N/A</v>
      </c>
      <c r="G820" s="21" t="inlineStr"/>
      <c r="H820" s="21" t="inlineStr">
        <is>
          <t>False Positive</t>
        </is>
      </c>
      <c r="I820" s="21" t="inlineStr">
        <is>
          <t>FP</t>
        </is>
      </c>
      <c r="J820" s="21" t="inlineStr">
        <is>
          <t>M</t>
        </is>
      </c>
      <c r="K820" s="21" t="inlineStr">
        <is>
          <t>N</t>
        </is>
      </c>
      <c r="L820" s="21" t="inlineStr">
        <is>
          <t>No</t>
        </is>
      </c>
      <c r="M820" s="21" t="inlineStr"/>
      <c r="N820" s="22" t="inlineStr">
        <is>
          <t>Process-identity spoofing / memory-integrity template; no reference mechanism (authentication bypass RT-004 is logic-based, not process-spoofing).</t>
        </is>
      </c>
      <c r="O820" s="5" t="inlineStr"/>
      <c r="P820" s="16" t="inlineStr">
        <is>
          <t>Spoofing the EE1 Registered User (Browser) Process</t>
        </is>
      </c>
      <c r="Q820" s="16" t="inlineStr">
        <is>
          <t>Diagram 1</t>
        </is>
      </c>
      <c r="R820" s="16" t="inlineStr">
        <is>
          <t>Account-Related AI Question</t>
        </is>
      </c>
      <c r="S820" s="5" t="inlineStr">
        <is>
          <t>Confirmed</t>
        </is>
      </c>
    </row>
    <row r="821" ht="16" customHeight="1">
      <c r="A821" s="5" t="inlineStr">
        <is>
          <t>TMT-S3-F102</t>
        </is>
      </c>
      <c r="B821" s="5" t="inlineStr">
        <is>
          <t>TMT</t>
        </is>
      </c>
      <c r="C821" s="5" t="inlineStr">
        <is>
          <t>S3</t>
        </is>
      </c>
      <c r="D821" s="21" t="str">
        <f>IFERROR(VLOOKUP($G821,'02_REFERENCE'!$A$2:$S$99,4,FALSE),"N/A")</f>
        <v>N/A</v>
      </c>
      <c r="E821" s="21" t="str">
        <f>IFERROR(VLOOKUP($G821,'02_REFERENCE'!$A$2:$S$99,15,FALSE),"N/A")</f>
        <v>N/A</v>
      </c>
      <c r="F821" s="21" t="str">
        <f>IFERROR(VLOOKUP($G821,'02_REFERENCE'!$A$2:$S$99,17,FALSE),"N/A")</f>
        <v>N/A</v>
      </c>
      <c r="G821" s="21" t="inlineStr"/>
      <c r="H821" s="21" t="inlineStr">
        <is>
          <t>False Positive</t>
        </is>
      </c>
      <c r="I821" s="21" t="inlineStr">
        <is>
          <t>FP</t>
        </is>
      </c>
      <c r="J821" s="21" t="inlineStr">
        <is>
          <t>M</t>
        </is>
      </c>
      <c r="K821" s="21" t="inlineStr">
        <is>
          <t>N</t>
        </is>
      </c>
      <c r="L821" s="21" t="inlineStr">
        <is>
          <t>No</t>
        </is>
      </c>
      <c r="M821" s="21" t="inlineStr"/>
      <c r="N821" s="22" t="inlineStr">
        <is>
          <t>Process-identity spoofing / memory-integrity template; no reference mechanism (authentication bypass RT-004 is logic-based, not process-spoofing).</t>
        </is>
      </c>
      <c r="O821" s="5" t="inlineStr"/>
      <c r="P821" s="16" t="inlineStr">
        <is>
          <t>Elevation Using Impersonation</t>
        </is>
      </c>
      <c r="Q821" s="16" t="inlineStr">
        <is>
          <t>Diagram 1</t>
        </is>
      </c>
      <c r="R821" s="16" t="inlineStr">
        <is>
          <t>AI Question</t>
        </is>
      </c>
      <c r="S821" s="5" t="inlineStr">
        <is>
          <t>Confirmed</t>
        </is>
      </c>
    </row>
    <row r="822" ht="16" customHeight="1">
      <c r="A822" s="5" t="inlineStr">
        <is>
          <t>TMT-S3-F103</t>
        </is>
      </c>
      <c r="B822" s="5" t="inlineStr">
        <is>
          <t>TMT</t>
        </is>
      </c>
      <c r="C822" s="5" t="inlineStr">
        <is>
          <t>S3</t>
        </is>
      </c>
      <c r="D822" s="21" t="str">
        <f>IFERROR(VLOOKUP($G822,'02_REFERENCE'!$A$2:$S$99,4,FALSE),"N/A")</f>
        <v>N/A</v>
      </c>
      <c r="E822" s="21" t="str">
        <f>IFERROR(VLOOKUP($G822,'02_REFERENCE'!$A$2:$S$99,15,FALSE),"N/A")</f>
        <v>N/A</v>
      </c>
      <c r="F822" s="21" t="str">
        <f>IFERROR(VLOOKUP($G822,'02_REFERENCE'!$A$2:$S$99,17,FALSE),"N/A")</f>
        <v>N/A</v>
      </c>
      <c r="G822" s="21" t="inlineStr"/>
      <c r="H822" s="21" t="inlineStr">
        <is>
          <t>False Positive</t>
        </is>
      </c>
      <c r="I822" s="21" t="inlineStr">
        <is>
          <t>FP</t>
        </is>
      </c>
      <c r="J822" s="21" t="inlineStr">
        <is>
          <t>M</t>
        </is>
      </c>
      <c r="K822" s="21" t="inlineStr">
        <is>
          <t>N</t>
        </is>
      </c>
      <c r="L822" s="21" t="inlineStr">
        <is>
          <t>No</t>
        </is>
      </c>
      <c r="M822" s="21" t="inlineStr"/>
      <c r="N822" s="22" t="inlineStr">
        <is>
          <t>Process-identity spoofing / memory-integrity template; no reference mechanism (authentication bypass RT-004 is logic-based, not process-spoofing).</t>
        </is>
      </c>
      <c r="O822" s="5" t="inlineStr"/>
      <c r="P822" s="16" t="inlineStr">
        <is>
          <t>P1 Web Frontend Interface Process Memory Tampered</t>
        </is>
      </c>
      <c r="Q822" s="16" t="inlineStr">
        <is>
          <t>Diagram 1</t>
        </is>
      </c>
      <c r="R822" s="16" t="inlineStr">
        <is>
          <t>AI Question</t>
        </is>
      </c>
      <c r="S822" s="5" t="inlineStr">
        <is>
          <t>Confirmed</t>
        </is>
      </c>
    </row>
    <row r="823" ht="16" customHeight="1">
      <c r="A823" s="5" t="inlineStr">
        <is>
          <t>TMT-S3-F104</t>
        </is>
      </c>
      <c r="B823" s="5" t="inlineStr">
        <is>
          <t>TMT</t>
        </is>
      </c>
      <c r="C823" s="5" t="inlineStr">
        <is>
          <t>S3</t>
        </is>
      </c>
      <c r="D823" s="21" t="str">
        <f>IFERROR(VLOOKUP($G823,'02_REFERENCE'!$A$2:$S$99,4,FALSE),"N/A")</f>
        <v>N/A</v>
      </c>
      <c r="E823" s="21" t="str">
        <f>IFERROR(VLOOKUP($G823,'02_REFERENCE'!$A$2:$S$99,15,FALSE),"N/A")</f>
        <v>N/A</v>
      </c>
      <c r="F823" s="21" t="str">
        <f>IFERROR(VLOOKUP($G823,'02_REFERENCE'!$A$2:$S$99,17,FALSE),"N/A")</f>
        <v>N/A</v>
      </c>
      <c r="G823" s="21" t="inlineStr"/>
      <c r="H823" s="21" t="inlineStr">
        <is>
          <t>False Positive</t>
        </is>
      </c>
      <c r="I823" s="21" t="inlineStr">
        <is>
          <t>FP</t>
        </is>
      </c>
      <c r="J823" s="21" t="inlineStr">
        <is>
          <t>M</t>
        </is>
      </c>
      <c r="K823" s="21" t="inlineStr">
        <is>
          <t>N</t>
        </is>
      </c>
      <c r="L823" s="21" t="inlineStr">
        <is>
          <t>No</t>
        </is>
      </c>
      <c r="M823" s="21" t="inlineStr"/>
      <c r="N823" s="22" t="inlineStr">
        <is>
          <t>Process-identity spoofing / memory-integrity template; no reference mechanism (authentication bypass RT-004 is logic-based, not process-spoofing).</t>
        </is>
      </c>
      <c r="O823" s="5" t="inlineStr"/>
      <c r="P823" s="16" t="inlineStr">
        <is>
          <t>Elevation Using Impersonation</t>
        </is>
      </c>
      <c r="Q823" s="16" t="inlineStr">
        <is>
          <t>Diagram 1</t>
        </is>
      </c>
      <c r="R823" s="16" t="inlineStr">
        <is>
          <t>AI Support Response</t>
        </is>
      </c>
      <c r="S823" s="5" t="inlineStr">
        <is>
          <t>Confirmed</t>
        </is>
      </c>
    </row>
    <row r="824" ht="16" customHeight="1">
      <c r="A824" s="5" t="inlineStr">
        <is>
          <t>TMT-S3-F105</t>
        </is>
      </c>
      <c r="B824" s="5" t="inlineStr">
        <is>
          <t>TMT</t>
        </is>
      </c>
      <c r="C824" s="5" t="inlineStr">
        <is>
          <t>S3</t>
        </is>
      </c>
      <c r="D824" s="21" t="str">
        <f>IFERROR(VLOOKUP($G824,'02_REFERENCE'!$A$2:$S$99,4,FALSE),"N/A")</f>
        <v>Tampering</v>
      </c>
      <c r="E824" s="21" t="str">
        <f>IFERROR(VLOOKUP($G824,'02_REFERENCE'!$A$2:$S$99,15,FALSE),"N/A")</f>
        <v>Critical</v>
      </c>
      <c r="F824" s="21" t="str">
        <f>IFERROR(VLOOKUP($G824,'02_REFERENCE'!$A$2:$S$99,17,FALSE),"N/A")</f>
        <v>Yes</v>
      </c>
      <c r="G824" s="21" t="inlineStr">
        <is>
          <t>S3-RT-027</t>
        </is>
      </c>
      <c r="H824" s="21" t="inlineStr">
        <is>
          <t>Duplicate</t>
        </is>
      </c>
      <c r="I824" s="21" t="inlineStr">
        <is>
          <t>TP</t>
        </is>
      </c>
      <c r="J824" s="21" t="inlineStr">
        <is>
          <t>M</t>
        </is>
      </c>
      <c r="K824" s="21" t="inlineStr">
        <is>
          <t>N</t>
        </is>
      </c>
      <c r="L824" s="21" t="inlineStr">
        <is>
          <t>Yes</t>
        </is>
      </c>
      <c r="M824" s="21" t="inlineStr">
        <is>
          <t>TMT-S3-F075</t>
        </is>
      </c>
      <c r="N824" s="22" t="inlineStr">
        <is>
          <t>XSS on AI/generated-content flow -&gt; insecure handling of generated output -&gt; reference S3-RT-027. [Equivalence: restates TMT-S3-F075 — one-to-one rule applied.]</t>
        </is>
      </c>
      <c r="O824" s="5" t="inlineStr">
        <is>
          <t>unsafe_output</t>
        </is>
      </c>
      <c r="P824" s="16" t="inlineStr">
        <is>
          <t>Cross Site Scripting</t>
        </is>
      </c>
      <c r="Q824" s="16" t="inlineStr">
        <is>
          <t>Diagram 1</t>
        </is>
      </c>
      <c r="R824" s="16" t="inlineStr">
        <is>
          <t>AI Support Response</t>
        </is>
      </c>
      <c r="S824" s="5" t="inlineStr">
        <is>
          <t>Confirmed</t>
        </is>
      </c>
    </row>
    <row r="825" ht="16" customHeight="1">
      <c r="A825" s="5" t="inlineStr">
        <is>
          <t>TMT-S3-F106</t>
        </is>
      </c>
      <c r="B825" s="5" t="inlineStr">
        <is>
          <t>TMT</t>
        </is>
      </c>
      <c r="C825" s="5" t="inlineStr">
        <is>
          <t>S3</t>
        </is>
      </c>
      <c r="D825" s="21" t="str">
        <f>IFERROR(VLOOKUP($G825,'02_REFERENCE'!$A$2:$S$99,4,FALSE),"N/A")</f>
        <v>N/A</v>
      </c>
      <c r="E825" s="21" t="str">
        <f>IFERROR(VLOOKUP($G825,'02_REFERENCE'!$A$2:$S$99,15,FALSE),"N/A")</f>
        <v>N/A</v>
      </c>
      <c r="F825" s="21" t="str">
        <f>IFERROR(VLOOKUP($G825,'02_REFERENCE'!$A$2:$S$99,17,FALSE),"N/A")</f>
        <v>N/A</v>
      </c>
      <c r="G825" s="21" t="inlineStr"/>
      <c r="H825" s="21" t="inlineStr">
        <is>
          <t>False Positive</t>
        </is>
      </c>
      <c r="I825" s="21" t="inlineStr">
        <is>
          <t>FP</t>
        </is>
      </c>
      <c r="J825" s="21" t="inlineStr">
        <is>
          <t>M</t>
        </is>
      </c>
      <c r="K825" s="21" t="inlineStr">
        <is>
          <t>N</t>
        </is>
      </c>
      <c r="L825" s="21" t="inlineStr">
        <is>
          <t>No</t>
        </is>
      </c>
      <c r="M825" s="21" t="inlineStr"/>
      <c r="N825" s="22" t="inlineStr">
        <is>
          <t>Process-identity spoofing / memory-integrity template; no reference mechanism (authentication bypass RT-004 is logic-based, not process-spoofing).</t>
        </is>
      </c>
      <c r="O825" s="5" t="inlineStr"/>
      <c r="P825" s="16" t="inlineStr">
        <is>
          <t>P5 AI Account Support Assistant Process Memory Tampered</t>
        </is>
      </c>
      <c r="Q825" s="16" t="inlineStr">
        <is>
          <t>Diagram 1</t>
        </is>
      </c>
      <c r="R825" s="16" t="inlineStr">
        <is>
          <t>AI Support Response</t>
        </is>
      </c>
      <c r="S825" s="5" t="inlineStr">
        <is>
          <t>Confirmed</t>
        </is>
      </c>
    </row>
    <row r="826" ht="16" customHeight="1">
      <c r="A826" s="5" t="inlineStr">
        <is>
          <t>TMT-S3-F107</t>
        </is>
      </c>
      <c r="B826" s="5" t="inlineStr">
        <is>
          <t>TMT</t>
        </is>
      </c>
      <c r="C826" s="5" t="inlineStr">
        <is>
          <t>S3</t>
        </is>
      </c>
      <c r="D826" s="21" t="str">
        <f>IFERROR(VLOOKUP($G826,'02_REFERENCE'!$A$2:$S$99,4,FALSE),"N/A")</f>
        <v>N/A</v>
      </c>
      <c r="E826" s="21" t="str">
        <f>IFERROR(VLOOKUP($G826,'02_REFERENCE'!$A$2:$S$99,15,FALSE),"N/A")</f>
        <v>N/A</v>
      </c>
      <c r="F826" s="21" t="str">
        <f>IFERROR(VLOOKUP($G826,'02_REFERENCE'!$A$2:$S$99,17,FALSE),"N/A")</f>
        <v>N/A</v>
      </c>
      <c r="G826" s="21" t="inlineStr"/>
      <c r="H826" s="21" t="inlineStr">
        <is>
          <t>False Positive</t>
        </is>
      </c>
      <c r="I826" s="21" t="inlineStr">
        <is>
          <t>FP</t>
        </is>
      </c>
      <c r="J826" s="21" t="inlineStr">
        <is>
          <t>M</t>
        </is>
      </c>
      <c r="K826" s="21" t="inlineStr">
        <is>
          <t>N</t>
        </is>
      </c>
      <c r="L826" s="21" t="inlineStr">
        <is>
          <t>No</t>
        </is>
      </c>
      <c r="M826" s="21" t="inlineStr"/>
      <c r="N826" s="22" t="inlineStr">
        <is>
          <t>Process-identity spoofing / memory-integrity template; no reference mechanism (authentication bypass RT-004 is logic-based, not process-spoofing).</t>
        </is>
      </c>
      <c r="O826" s="5" t="inlineStr"/>
      <c r="P826" s="16" t="inlineStr">
        <is>
          <t>Elevation by Changing the Execution Flow in EE1 Registered User (Browser)</t>
        </is>
      </c>
      <c r="Q826" s="16" t="inlineStr">
        <is>
          <t>Diagram 1</t>
        </is>
      </c>
      <c r="R826" s="16" t="inlineStr">
        <is>
          <t>AI Response</t>
        </is>
      </c>
      <c r="S826" s="5" t="inlineStr">
        <is>
          <t>Confirmed</t>
        </is>
      </c>
    </row>
    <row r="827" ht="16" customHeight="1">
      <c r="A827" s="5" t="inlineStr">
        <is>
          <t>TMT-S3-F108</t>
        </is>
      </c>
      <c r="B827" s="5" t="inlineStr">
        <is>
          <t>TMT</t>
        </is>
      </c>
      <c r="C827" s="5" t="inlineStr">
        <is>
          <t>S3</t>
        </is>
      </c>
      <c r="D827" s="21" t="str">
        <f>IFERROR(VLOOKUP($G827,'02_REFERENCE'!$A$2:$S$99,4,FALSE),"N/A")</f>
        <v>N/A</v>
      </c>
      <c r="E827" s="21" t="str">
        <f>IFERROR(VLOOKUP($G827,'02_REFERENCE'!$A$2:$S$99,15,FALSE),"N/A")</f>
        <v>N/A</v>
      </c>
      <c r="F827" s="21" t="str">
        <f>IFERROR(VLOOKUP($G827,'02_REFERENCE'!$A$2:$S$99,17,FALSE),"N/A")</f>
        <v>N/A</v>
      </c>
      <c r="G827" s="21" t="inlineStr"/>
      <c r="H827" s="21" t="inlineStr">
        <is>
          <t>False Positive</t>
        </is>
      </c>
      <c r="I827" s="21" t="inlineStr">
        <is>
          <t>FP</t>
        </is>
      </c>
      <c r="J827" s="21" t="inlineStr">
        <is>
          <t>M</t>
        </is>
      </c>
      <c r="K827" s="21" t="inlineStr">
        <is>
          <t>N</t>
        </is>
      </c>
      <c r="L827" s="21" t="inlineStr">
        <is>
          <t>No</t>
        </is>
      </c>
      <c r="M827" s="21" t="inlineStr"/>
      <c r="N827" s="22" t="inlineStr">
        <is>
          <t>Process-identity spoofing / memory-integrity template; no reference mechanism (authentication bypass RT-004 is logic-based, not process-spoofing).</t>
        </is>
      </c>
      <c r="O827" s="5" t="inlineStr"/>
      <c r="P827" s="16" t="inlineStr">
        <is>
          <t>EE1 Registered User (Browser) May be Subject to Elevation of Privilege Using Remote Code Execution</t>
        </is>
      </c>
      <c r="Q827" s="16" t="inlineStr">
        <is>
          <t>Diagram 1</t>
        </is>
      </c>
      <c r="R827" s="16" t="inlineStr">
        <is>
          <t>AI Response</t>
        </is>
      </c>
      <c r="S827" s="5" t="inlineStr">
        <is>
          <t>Confirmed</t>
        </is>
      </c>
    </row>
    <row r="828" ht="16" customHeight="1">
      <c r="A828" s="5" t="inlineStr">
        <is>
          <t>TMT-S3-F109</t>
        </is>
      </c>
      <c r="B828" s="5" t="inlineStr">
        <is>
          <t>TMT</t>
        </is>
      </c>
      <c r="C828" s="5" t="inlineStr">
        <is>
          <t>S3</t>
        </is>
      </c>
      <c r="D828" s="21" t="str">
        <f>IFERROR(VLOOKUP($G828,'02_REFERENCE'!$A$2:$S$99,4,FALSE),"N/A")</f>
        <v>N/A</v>
      </c>
      <c r="E828" s="21" t="str">
        <f>IFERROR(VLOOKUP($G828,'02_REFERENCE'!$A$2:$S$99,15,FALSE),"N/A")</f>
        <v>N/A</v>
      </c>
      <c r="F828" s="21" t="str">
        <f>IFERROR(VLOOKUP($G828,'02_REFERENCE'!$A$2:$S$99,17,FALSE),"N/A")</f>
        <v>N/A</v>
      </c>
      <c r="G828" s="21" t="inlineStr"/>
      <c r="H828" s="21" t="inlineStr">
        <is>
          <t>False Positive</t>
        </is>
      </c>
      <c r="I828" s="21" t="inlineStr">
        <is>
          <t>FP</t>
        </is>
      </c>
      <c r="J828" s="21" t="inlineStr">
        <is>
          <t>M</t>
        </is>
      </c>
      <c r="K828" s="21" t="inlineStr">
        <is>
          <t>N</t>
        </is>
      </c>
      <c r="L828" s="21" t="inlineStr">
        <is>
          <t>No</t>
        </is>
      </c>
      <c r="M828" s="21" t="inlineStr"/>
      <c r="N828" s="22" t="inlineStr">
        <is>
          <t>Process-identity spoofing / memory-integrity template; no reference mechanism (authentication bypass RT-004 is logic-based, not process-spoofing).</t>
        </is>
      </c>
      <c r="O828" s="5" t="inlineStr"/>
      <c r="P828" s="16" t="inlineStr">
        <is>
          <t>Elevation Using Impersonation</t>
        </is>
      </c>
      <c r="Q828" s="16" t="inlineStr">
        <is>
          <t>Diagram 1</t>
        </is>
      </c>
      <c r="R828" s="16" t="inlineStr">
        <is>
          <t>AI Response</t>
        </is>
      </c>
      <c r="S828" s="5" t="inlineStr">
        <is>
          <t>Confirmed</t>
        </is>
      </c>
    </row>
    <row r="829" ht="16" customHeight="1">
      <c r="A829" s="5" t="inlineStr">
        <is>
          <t>TMT-S3-F110</t>
        </is>
      </c>
      <c r="B829" s="5" t="inlineStr">
        <is>
          <t>TMT</t>
        </is>
      </c>
      <c r="C829" s="5" t="inlineStr">
        <is>
          <t>S3</t>
        </is>
      </c>
      <c r="D829" s="21" t="str">
        <f>IFERROR(VLOOKUP($G829,'02_REFERENCE'!$A$2:$S$99,4,FALSE),"N/A")</f>
        <v>Denial of Service</v>
      </c>
      <c r="E829" s="21" t="str">
        <f>IFERROR(VLOOKUP($G829,'02_REFERENCE'!$A$2:$S$99,15,FALSE),"N/A")</f>
        <v>Medium</v>
      </c>
      <c r="F829" s="21" t="str">
        <f>IFERROR(VLOOKUP($G829,'02_REFERENCE'!$A$2:$S$99,17,FALSE),"N/A")</f>
        <v>Yes</v>
      </c>
      <c r="G829" s="21" t="inlineStr">
        <is>
          <t>S3-RT-032</t>
        </is>
      </c>
      <c r="H829" s="21" t="inlineStr">
        <is>
          <t>Duplicate</t>
        </is>
      </c>
      <c r="I829" s="21" t="inlineStr">
        <is>
          <t>TP</t>
        </is>
      </c>
      <c r="J829" s="21" t="inlineStr">
        <is>
          <t>M</t>
        </is>
      </c>
      <c r="K829" s="21" t="inlineStr">
        <is>
          <t>N</t>
        </is>
      </c>
      <c r="L829" s="21" t="inlineStr">
        <is>
          <t>Yes</t>
        </is>
      </c>
      <c r="M829" s="21" t="inlineStr">
        <is>
          <t>TMT-S3-F071</t>
        </is>
      </c>
      <c r="N829" s="22" t="inlineStr">
        <is>
          <t>Interruption of the provider exchange -&gt; reference S3-RT-032 (provider unavailability). [Equivalence: restates TMT-S3-F071 — one-to-one rule applied.]</t>
        </is>
      </c>
      <c r="O829" s="5" t="inlineStr">
        <is>
          <t>llm_unavailable</t>
        </is>
      </c>
      <c r="P829" s="16" t="inlineStr">
        <is>
          <t>Data Flow AI Response Is Potentially Interrupted</t>
        </is>
      </c>
      <c r="Q829" s="16" t="inlineStr">
        <is>
          <t>Diagram 1</t>
        </is>
      </c>
      <c r="R829" s="16" t="inlineStr">
        <is>
          <t>AI Response</t>
        </is>
      </c>
      <c r="S829" s="5" t="inlineStr">
        <is>
          <t>Confirmed</t>
        </is>
      </c>
    </row>
    <row r="830" ht="16" customHeight="1">
      <c r="A830" s="5" t="inlineStr">
        <is>
          <t>TMT-S3-F111</t>
        </is>
      </c>
      <c r="B830" s="5" t="inlineStr">
        <is>
          <t>TMT</t>
        </is>
      </c>
      <c r="C830" s="5" t="inlineStr">
        <is>
          <t>S3</t>
        </is>
      </c>
      <c r="D830" s="21" t="str">
        <f>IFERROR(VLOOKUP($G830,'02_REFERENCE'!$A$2:$S$99,4,FALSE),"N/A")</f>
        <v>N/A</v>
      </c>
      <c r="E830" s="21" t="str">
        <f>IFERROR(VLOOKUP($G830,'02_REFERENCE'!$A$2:$S$99,15,FALSE),"N/A")</f>
        <v>N/A</v>
      </c>
      <c r="F830" s="21" t="str">
        <f>IFERROR(VLOOKUP($G830,'02_REFERENCE'!$A$2:$S$99,17,FALSE),"N/A")</f>
        <v>N/A</v>
      </c>
      <c r="G830" s="21" t="inlineStr"/>
      <c r="H830" s="21" t="inlineStr">
        <is>
          <t>False Positive</t>
        </is>
      </c>
      <c r="I830" s="21" t="inlineStr">
        <is>
          <t>FP</t>
        </is>
      </c>
      <c r="J830" s="21" t="inlineStr">
        <is>
          <t>M</t>
        </is>
      </c>
      <c r="K830" s="21" t="inlineStr">
        <is>
          <t>N</t>
        </is>
      </c>
      <c r="L830" s="21" t="inlineStr">
        <is>
          <t>No</t>
        </is>
      </c>
      <c r="M830" s="21" t="inlineStr"/>
      <c r="N830" s="22" t="inlineStr">
        <is>
          <t>Process-crash template (internal availability); no reference mechanism (provider-unavailability refs concern the external service; DoS refs concern attacker-driven flooding).</t>
        </is>
      </c>
      <c r="O830" s="5" t="inlineStr"/>
      <c r="P830" s="16" t="inlineStr">
        <is>
          <t>Potential Process Crash or Stop for EE1 Registered User (Browser)</t>
        </is>
      </c>
      <c r="Q830" s="16" t="inlineStr">
        <is>
          <t>Diagram 1</t>
        </is>
      </c>
      <c r="R830" s="16" t="inlineStr">
        <is>
          <t>AI Response</t>
        </is>
      </c>
      <c r="S830" s="5" t="inlineStr">
        <is>
          <t>Confirmed</t>
        </is>
      </c>
    </row>
    <row r="831" ht="16" customHeight="1">
      <c r="A831" s="5" t="inlineStr">
        <is>
          <t>TMT-S3-F112</t>
        </is>
      </c>
      <c r="B831" s="5" t="inlineStr">
        <is>
          <t>TMT</t>
        </is>
      </c>
      <c r="C831" s="5" t="inlineStr">
        <is>
          <t>S3</t>
        </is>
      </c>
      <c r="D831" s="21" t="str">
        <f>IFERROR(VLOOKUP($G831,'02_REFERENCE'!$A$2:$S$99,4,FALSE),"N/A")</f>
        <v>N/A</v>
      </c>
      <c r="E831" s="21" t="str">
        <f>IFERROR(VLOOKUP($G831,'02_REFERENCE'!$A$2:$S$99,15,FALSE),"N/A")</f>
        <v>N/A</v>
      </c>
      <c r="F831" s="21" t="str">
        <f>IFERROR(VLOOKUP($G831,'02_REFERENCE'!$A$2:$S$99,17,FALSE),"N/A")</f>
        <v>N/A</v>
      </c>
      <c r="G831" s="21" t="inlineStr"/>
      <c r="H831" s="21" t="inlineStr">
        <is>
          <t>False Positive</t>
        </is>
      </c>
      <c r="I831" s="21" t="inlineStr">
        <is>
          <t>FP</t>
        </is>
      </c>
      <c r="J831" s="21" t="inlineStr">
        <is>
          <t>M</t>
        </is>
      </c>
      <c r="K831" s="21" t="inlineStr">
        <is>
          <t>N</t>
        </is>
      </c>
      <c r="L831" s="21" t="inlineStr">
        <is>
          <t>No</t>
        </is>
      </c>
      <c r="M831" s="21" t="inlineStr"/>
      <c r="N831" s="22" t="inlineStr">
        <is>
          <t>Sniffing of prompt/provider traffic: the baseline contains no reference for interception of prompt traffic (credential-token sniffing and file-interception refs are asset-specific; RT-024 covers application-side over-inclusion, not interception).</t>
        </is>
      </c>
      <c r="O831" s="5" t="inlineStr"/>
      <c r="P831" s="16" t="inlineStr">
        <is>
          <t>Data Flow Sniffing</t>
        </is>
      </c>
      <c r="Q831" s="16" t="inlineStr">
        <is>
          <t>Diagram 1</t>
        </is>
      </c>
      <c r="R831" s="16" t="inlineStr">
        <is>
          <t>AI Response</t>
        </is>
      </c>
      <c r="S831" s="5" t="inlineStr">
        <is>
          <t>Confirmed</t>
        </is>
      </c>
    </row>
    <row r="832" ht="16" customHeight="1">
      <c r="A832" s="5" t="inlineStr">
        <is>
          <t>TMT-S3-F113</t>
        </is>
      </c>
      <c r="B832" s="5" t="inlineStr">
        <is>
          <t>TMT</t>
        </is>
      </c>
      <c r="C832" s="5" t="inlineStr">
        <is>
          <t>S3</t>
        </is>
      </c>
      <c r="D832" s="21" t="str">
        <f>IFERROR(VLOOKUP($G832,'02_REFERENCE'!$A$2:$S$99,4,FALSE),"N/A")</f>
        <v>Repudiation</v>
      </c>
      <c r="E832" s="21" t="str">
        <f>IFERROR(VLOOKUP($G832,'02_REFERENCE'!$A$2:$S$99,15,FALSE),"N/A")</f>
        <v>Medium</v>
      </c>
      <c r="F832" s="21" t="str">
        <f>IFERROR(VLOOKUP($G832,'02_REFERENCE'!$A$2:$S$99,17,FALSE),"N/A")</f>
        <v>No</v>
      </c>
      <c r="G832" s="21" t="inlineStr">
        <is>
          <t>S3-RT-018</t>
        </is>
      </c>
      <c r="H832" s="21" t="inlineStr">
        <is>
          <t>Duplicate</t>
        </is>
      </c>
      <c r="I832" s="21" t="inlineStr">
        <is>
          <t>TP</t>
        </is>
      </c>
      <c r="J832" s="21" t="inlineStr">
        <is>
          <t>M</t>
        </is>
      </c>
      <c r="K832" s="21" t="inlineStr">
        <is>
          <t>N</t>
        </is>
      </c>
      <c r="L832" s="21" t="inlineStr">
        <is>
          <t>Yes</t>
        </is>
      </c>
      <c r="M832" s="21" t="inlineStr">
        <is>
          <t>TMT-S3-F040</t>
        </is>
      </c>
      <c r="N832" s="22" t="inlineStr">
        <is>
          <t>Attribution template -&gt; reference S3-RT-018 (unspecified attribution of security-relevant actions). [Equivalence: restates TMT-S3-F040 — one-to-one rule applied.]</t>
        </is>
      </c>
      <c r="O832" s="5" t="inlineStr">
        <is>
          <t>repudiation</t>
        </is>
      </c>
      <c r="P832" s="16" t="inlineStr">
        <is>
          <t>Potential Data Repudiation by EE1 Registered User (Browser)</t>
        </is>
      </c>
      <c r="Q832" s="16" t="inlineStr">
        <is>
          <t>Diagram 1</t>
        </is>
      </c>
      <c r="R832" s="16" t="inlineStr">
        <is>
          <t>AI Response</t>
        </is>
      </c>
      <c r="S832" s="5" t="inlineStr">
        <is>
          <t>Confirmed</t>
        </is>
      </c>
    </row>
    <row r="833" ht="16" customHeight="1">
      <c r="A833" s="5" t="inlineStr">
        <is>
          <t>TMT-S3-F114</t>
        </is>
      </c>
      <c r="B833" s="5" t="inlineStr">
        <is>
          <t>TMT</t>
        </is>
      </c>
      <c r="C833" s="5" t="inlineStr">
        <is>
          <t>S3</t>
        </is>
      </c>
      <c r="D833" s="21" t="str">
        <f>IFERROR(VLOOKUP($G833,'02_REFERENCE'!$A$2:$S$99,4,FALSE),"N/A")</f>
        <v>N/A</v>
      </c>
      <c r="E833" s="21" t="str">
        <f>IFERROR(VLOOKUP($G833,'02_REFERENCE'!$A$2:$S$99,15,FALSE),"N/A")</f>
        <v>N/A</v>
      </c>
      <c r="F833" s="21" t="str">
        <f>IFERROR(VLOOKUP($G833,'02_REFERENCE'!$A$2:$S$99,17,FALSE),"N/A")</f>
        <v>N/A</v>
      </c>
      <c r="G833" s="21" t="inlineStr"/>
      <c r="H833" s="21" t="inlineStr">
        <is>
          <t>False Positive</t>
        </is>
      </c>
      <c r="I833" s="21" t="inlineStr">
        <is>
          <t>FP</t>
        </is>
      </c>
      <c r="J833" s="21" t="inlineStr">
        <is>
          <t>M</t>
        </is>
      </c>
      <c r="K833" s="21" t="inlineStr">
        <is>
          <t>N</t>
        </is>
      </c>
      <c r="L833" s="21" t="inlineStr">
        <is>
          <t>No</t>
        </is>
      </c>
      <c r="M833" s="21" t="inlineStr"/>
      <c r="N833" s="22" t="inlineStr">
        <is>
          <t>Process-identity spoofing / memory-integrity template; no reference mechanism (authentication bypass RT-004 is logic-based, not process-spoofing).</t>
        </is>
      </c>
      <c r="O833" s="5" t="inlineStr"/>
      <c r="P833" s="16" t="inlineStr">
        <is>
          <t>P1 Web Frontend Interface Process Memory Tampered</t>
        </is>
      </c>
      <c r="Q833" s="16" t="inlineStr">
        <is>
          <t>Diagram 1</t>
        </is>
      </c>
      <c r="R833" s="16" t="inlineStr">
        <is>
          <t>AI Response</t>
        </is>
      </c>
      <c r="S833" s="5" t="inlineStr">
        <is>
          <t>Confirmed</t>
        </is>
      </c>
    </row>
    <row r="834" ht="16" customHeight="1">
      <c r="A834" s="5" t="inlineStr">
        <is>
          <t>TMT-S3-F115</t>
        </is>
      </c>
      <c r="B834" s="5" t="inlineStr">
        <is>
          <t>TMT</t>
        </is>
      </c>
      <c r="C834" s="5" t="inlineStr">
        <is>
          <t>S3</t>
        </is>
      </c>
      <c r="D834" s="21" t="str">
        <f>IFERROR(VLOOKUP($G834,'02_REFERENCE'!$A$2:$S$99,4,FALSE),"N/A")</f>
        <v>N/A</v>
      </c>
      <c r="E834" s="21" t="str">
        <f>IFERROR(VLOOKUP($G834,'02_REFERENCE'!$A$2:$S$99,15,FALSE),"N/A")</f>
        <v>N/A</v>
      </c>
      <c r="F834" s="21" t="str">
        <f>IFERROR(VLOOKUP($G834,'02_REFERENCE'!$A$2:$S$99,17,FALSE),"N/A")</f>
        <v>N/A</v>
      </c>
      <c r="G834" s="21" t="inlineStr"/>
      <c r="H834" s="21" t="inlineStr">
        <is>
          <t>False Positive</t>
        </is>
      </c>
      <c r="I834" s="21" t="inlineStr">
        <is>
          <t>FP</t>
        </is>
      </c>
      <c r="J834" s="21" t="inlineStr">
        <is>
          <t>M</t>
        </is>
      </c>
      <c r="K834" s="21" t="inlineStr">
        <is>
          <t>N</t>
        </is>
      </c>
      <c r="L834" s="21" t="inlineStr">
        <is>
          <t>No</t>
        </is>
      </c>
      <c r="M834" s="21" t="inlineStr"/>
      <c r="N834" s="22" t="inlineStr">
        <is>
          <t>Generic input-validation template; flow-specific reference mapping not supported (no matching mechanism).</t>
        </is>
      </c>
      <c r="O834" s="5" t="inlineStr"/>
      <c r="P834" s="16" t="inlineStr">
        <is>
          <t>Potential Lack of Input Validation for EE1 Registered User (Browser)</t>
        </is>
      </c>
      <c r="Q834" s="16" t="inlineStr">
        <is>
          <t>Diagram 1</t>
        </is>
      </c>
      <c r="R834" s="16" t="inlineStr">
        <is>
          <t>AI Response</t>
        </is>
      </c>
      <c r="S834" s="5" t="inlineStr">
        <is>
          <t>Confirmed</t>
        </is>
      </c>
    </row>
    <row r="835" ht="16" customHeight="1">
      <c r="A835" s="5" t="inlineStr">
        <is>
          <t>TMT-S3-F116</t>
        </is>
      </c>
      <c r="B835" s="5" t="inlineStr">
        <is>
          <t>TMT</t>
        </is>
      </c>
      <c r="C835" s="5" t="inlineStr">
        <is>
          <t>S3</t>
        </is>
      </c>
      <c r="D835" s="21" t="str">
        <f>IFERROR(VLOOKUP($G835,'02_REFERENCE'!$A$2:$S$99,4,FALSE),"N/A")</f>
        <v>N/A</v>
      </c>
      <c r="E835" s="21" t="str">
        <f>IFERROR(VLOOKUP($G835,'02_REFERENCE'!$A$2:$S$99,15,FALSE),"N/A")</f>
        <v>N/A</v>
      </c>
      <c r="F835" s="21" t="str">
        <f>IFERROR(VLOOKUP($G835,'02_REFERENCE'!$A$2:$S$99,17,FALSE),"N/A")</f>
        <v>N/A</v>
      </c>
      <c r="G835" s="21" t="inlineStr"/>
      <c r="H835" s="21" t="inlineStr">
        <is>
          <t>False Positive</t>
        </is>
      </c>
      <c r="I835" s="21" t="inlineStr">
        <is>
          <t>FP</t>
        </is>
      </c>
      <c r="J835" s="21" t="inlineStr">
        <is>
          <t>M</t>
        </is>
      </c>
      <c r="K835" s="21" t="inlineStr">
        <is>
          <t>N</t>
        </is>
      </c>
      <c r="L835" s="21" t="inlineStr">
        <is>
          <t>No</t>
        </is>
      </c>
      <c r="M835" s="21" t="inlineStr"/>
      <c r="N835" s="22" t="inlineStr">
        <is>
          <t>Process-identity spoofing / memory-integrity template; no reference mechanism (authentication bypass RT-004 is logic-based, not process-spoofing).</t>
        </is>
      </c>
      <c r="O835" s="5" t="inlineStr"/>
      <c r="P835" s="16" t="inlineStr">
        <is>
          <t>Spoofing the EE1 Registered User (Browser) Process</t>
        </is>
      </c>
      <c r="Q835" s="16" t="inlineStr">
        <is>
          <t>Diagram 1</t>
        </is>
      </c>
      <c r="R835" s="16" t="inlineStr">
        <is>
          <t>AI Response</t>
        </is>
      </c>
      <c r="S835" s="5" t="inlineStr">
        <is>
          <t>Confirmed</t>
        </is>
      </c>
    </row>
    <row r="836" ht="16" customHeight="1">
      <c r="A836" s="5" t="inlineStr">
        <is>
          <t>TMT-S3-F117</t>
        </is>
      </c>
      <c r="B836" s="5" t="inlineStr">
        <is>
          <t>TMT</t>
        </is>
      </c>
      <c r="C836" s="5" t="inlineStr">
        <is>
          <t>S3</t>
        </is>
      </c>
      <c r="D836" s="21" t="str">
        <f>IFERROR(VLOOKUP($G836,'02_REFERENCE'!$A$2:$S$99,4,FALSE),"N/A")</f>
        <v>N/A</v>
      </c>
      <c r="E836" s="21" t="str">
        <f>IFERROR(VLOOKUP($G836,'02_REFERENCE'!$A$2:$S$99,15,FALSE),"N/A")</f>
        <v>N/A</v>
      </c>
      <c r="F836" s="21" t="str">
        <f>IFERROR(VLOOKUP($G836,'02_REFERENCE'!$A$2:$S$99,17,FALSE),"N/A")</f>
        <v>N/A</v>
      </c>
      <c r="G836" s="21" t="inlineStr"/>
      <c r="H836" s="21" t="inlineStr">
        <is>
          <t>False Positive</t>
        </is>
      </c>
      <c r="I836" s="21" t="inlineStr">
        <is>
          <t>FP</t>
        </is>
      </c>
      <c r="J836" s="21" t="inlineStr">
        <is>
          <t>M</t>
        </is>
      </c>
      <c r="K836" s="21" t="inlineStr">
        <is>
          <t>N</t>
        </is>
      </c>
      <c r="L836" s="21" t="inlineStr">
        <is>
          <t>No</t>
        </is>
      </c>
      <c r="M836" s="21" t="inlineStr"/>
      <c r="N836" s="22" t="inlineStr">
        <is>
          <t>Process-identity spoofing / memory-integrity template; no reference mechanism (authentication bypass RT-004 is logic-based, not process-spoofing).</t>
        </is>
      </c>
      <c r="O836" s="5" t="inlineStr"/>
      <c r="P836" s="16" t="inlineStr">
        <is>
          <t>Spoofing the P1 Web Frontend Interface Process</t>
        </is>
      </c>
      <c r="Q836" s="16" t="inlineStr">
        <is>
          <t>Diagram 1</t>
        </is>
      </c>
      <c r="R836" s="16" t="inlineStr">
        <is>
          <t>AI Response</t>
        </is>
      </c>
      <c r="S836" s="5" t="inlineStr">
        <is>
          <t>Confirmed</t>
        </is>
      </c>
    </row>
    <row r="837" ht="16" customHeight="1">
      <c r="A837" s="5" t="inlineStr">
        <is>
          <t>CHATGPT-S3-F001</t>
        </is>
      </c>
      <c r="B837" s="5" t="inlineStr">
        <is>
          <t>CHATGPT</t>
        </is>
      </c>
      <c r="C837" s="5" t="inlineStr">
        <is>
          <t>S3</t>
        </is>
      </c>
      <c r="D837" s="21" t="str">
        <f>IFERROR(VLOOKUP($G837,'02_REFERENCE'!$A$2:$S$99,4,FALSE),"N/A")</f>
        <v>Repudiation</v>
      </c>
      <c r="E837" s="21" t="str">
        <f>IFERROR(VLOOKUP($G837,'02_REFERENCE'!$A$2:$S$99,15,FALSE),"N/A")</f>
        <v>Medium</v>
      </c>
      <c r="F837" s="21" t="str">
        <f>IFERROR(VLOOKUP($G837,'02_REFERENCE'!$A$2:$S$99,17,FALSE),"N/A")</f>
        <v>No</v>
      </c>
      <c r="G837" s="21" t="inlineStr">
        <is>
          <t>S3-RT-018</t>
        </is>
      </c>
      <c r="H837" s="21" t="inlineStr">
        <is>
          <t>Primary TP</t>
        </is>
      </c>
      <c r="I837" s="21" t="inlineStr">
        <is>
          <t>TP</t>
        </is>
      </c>
      <c r="J837" s="21" t="inlineStr">
        <is>
          <t>L</t>
        </is>
      </c>
      <c r="K837" s="21" t="inlineStr">
        <is>
          <t>Y</t>
        </is>
      </c>
      <c r="L837" s="21" t="inlineStr">
        <is>
          <t>No</t>
        </is>
      </c>
      <c r="M837" s="21" t="inlineStr"/>
      <c r="N837" s="22" t="inlineStr">
        <is>
          <t>Mechanism class repudiation; evidence: logic accepts insufficient</t>
        </is>
      </c>
      <c r="O837" s="5" t="inlineStr">
        <is>
          <t>repudiation</t>
        </is>
      </c>
      <c r="P837" s="16" t="inlineStr">
        <is>
          <t>Account Takeover Through Malicious Recovery Information</t>
        </is>
      </c>
      <c r="Q837" s="16" t="inlineStr">
        <is>
          <t>EE1 → P1 → P2; P2 → DS1</t>
        </is>
      </c>
      <c r="R837" s="16" t="inlineStr"/>
      <c r="S837" s="5" t="inlineStr">
        <is>
          <t>Manual review</t>
        </is>
      </c>
    </row>
    <row r="838" ht="16" customHeight="1">
      <c r="A838" s="5" t="inlineStr">
        <is>
          <t>CHATGPT-S3-F002</t>
        </is>
      </c>
      <c r="B838" s="5" t="inlineStr">
        <is>
          <t>CHATGPT</t>
        </is>
      </c>
      <c r="C838" s="5" t="inlineStr">
        <is>
          <t>S3</t>
        </is>
      </c>
      <c r="D838" s="21" t="str">
        <f>IFERROR(VLOOKUP($G838,'02_REFERENCE'!$A$2:$S$99,4,FALSE),"N/A")</f>
        <v>Spoofing</v>
      </c>
      <c r="E838" s="21" t="str">
        <f>IFERROR(VLOOKUP($G838,'02_REFERENCE'!$A$2:$S$99,15,FALSE),"N/A")</f>
        <v>Critical</v>
      </c>
      <c r="F838" s="21" t="str">
        <f>IFERROR(VLOOKUP($G838,'02_REFERENCE'!$A$2:$S$99,17,FALSE),"N/A")</f>
        <v>No</v>
      </c>
      <c r="G838" s="21" t="inlineStr">
        <is>
          <t>S3-RT-001</t>
        </is>
      </c>
      <c r="H838" s="21" t="inlineStr">
        <is>
          <t>Duplicate</t>
        </is>
      </c>
      <c r="I838" s="21" t="inlineStr">
        <is>
          <t>TP</t>
        </is>
      </c>
      <c r="J838" s="21" t="inlineStr">
        <is>
          <t>L</t>
        </is>
      </c>
      <c r="K838" s="21" t="inlineStr">
        <is>
          <t>N</t>
        </is>
      </c>
      <c r="L838" s="21" t="inlineStr">
        <is>
          <t>Yes</t>
        </is>
      </c>
      <c r="M838" s="21" t="inlineStr">
        <is>
          <t>CHATGPT-S3-F027</t>
        </is>
      </c>
      <c r="N838" s="22" t="inlineStr">
        <is>
          <t>Mechanism class verif_bypass_guessable; evidence: recovery submissions specifically designed to bypass [Equivalence: restates CHATGPT-S3-F027 — one-to-one rule applied.]</t>
        </is>
      </c>
      <c r="O838" s="5" t="inlineStr">
        <is>
          <t>verif_bypass_guessable</t>
        </is>
      </c>
      <c r="P838" s="16" t="inlineStr">
        <is>
          <t>AI-Assisted Identity Verification Bypass</t>
        </is>
      </c>
      <c r="Q838" s="16" t="inlineStr">
        <is>
          <t>EE1 → P1 → P4/P5; P4/P5 → EE1</t>
        </is>
      </c>
      <c r="R838" s="16" t="inlineStr"/>
      <c r="S838" s="5" t="inlineStr">
        <is>
          <t>Manual review</t>
        </is>
      </c>
    </row>
    <row r="839" ht="16" customHeight="1">
      <c r="A839" s="5" t="inlineStr">
        <is>
          <t>CHATGPT-S3-F003</t>
        </is>
      </c>
      <c r="B839" s="5" t="inlineStr">
        <is>
          <t>CHATGPT</t>
        </is>
      </c>
      <c r="C839" s="5" t="inlineStr">
        <is>
          <t>S3</t>
        </is>
      </c>
      <c r="D839" s="21" t="str">
        <f>IFERROR(VLOOKUP($G839,'02_REFERENCE'!$A$2:$S$99,4,FALSE),"N/A")</f>
        <v>Spoofing</v>
      </c>
      <c r="E839" s="21" t="str">
        <f>IFERROR(VLOOKUP($G839,'02_REFERENCE'!$A$2:$S$99,15,FALSE),"N/A")</f>
        <v>High</v>
      </c>
      <c r="F839" s="21" t="str">
        <f>IFERROR(VLOOKUP($G839,'02_REFERENCE'!$A$2:$S$99,17,FALSE),"N/A")</f>
        <v>No</v>
      </c>
      <c r="G839" s="21" t="inlineStr">
        <is>
          <t>S3-RT-003</t>
        </is>
      </c>
      <c r="H839" s="21" t="inlineStr">
        <is>
          <t>Primary TP</t>
        </is>
      </c>
      <c r="I839" s="21" t="inlineStr">
        <is>
          <t>TP</t>
        </is>
      </c>
      <c r="J839" s="21" t="inlineStr">
        <is>
          <t>H</t>
        </is>
      </c>
      <c r="K839" s="21" t="inlineStr">
        <is>
          <t>Y</t>
        </is>
      </c>
      <c r="L839" s="21" t="inlineStr">
        <is>
          <t>No</t>
        </is>
      </c>
      <c r="M839" s="21" t="inlineStr"/>
      <c r="N839" s="22" t="inlineStr">
        <is>
          <t>Mechanism class transit_token; evidence: Token Disclosure A recovery token is expos; Disclosure A recovery token</t>
        </is>
      </c>
      <c r="O839" s="5" t="inlineStr">
        <is>
          <t>transit_token</t>
        </is>
      </c>
      <c r="P839" s="16" t="inlineStr">
        <is>
          <t>Recovery Token Disclosure</t>
        </is>
      </c>
      <c r="Q839" s="16" t="inlineStr">
        <is>
          <t>P2 → DS2 → P2 → P1 → EE1</t>
        </is>
      </c>
      <c r="R839" s="16" t="inlineStr"/>
      <c r="S839" s="5" t="inlineStr">
        <is>
          <t>Confirmed</t>
        </is>
      </c>
    </row>
    <row r="840" ht="16" customHeight="1">
      <c r="A840" s="5" t="inlineStr">
        <is>
          <t>CHATGPT-S3-F004</t>
        </is>
      </c>
      <c r="B840" s="5" t="inlineStr">
        <is>
          <t>CHATGPT</t>
        </is>
      </c>
      <c r="C840" s="5" t="inlineStr">
        <is>
          <t>S3</t>
        </is>
      </c>
      <c r="D840" s="21" t="str">
        <f>IFERROR(VLOOKUP($G840,'02_REFERENCE'!$A$2:$S$99,4,FALSE),"N/A")</f>
        <v>Spoofing</v>
      </c>
      <c r="E840" s="21" t="str">
        <f>IFERROR(VLOOKUP($G840,'02_REFERENCE'!$A$2:$S$99,15,FALSE),"N/A")</f>
        <v>High</v>
      </c>
      <c r="F840" s="21" t="str">
        <f>IFERROR(VLOOKUP($G840,'02_REFERENCE'!$A$2:$S$99,17,FALSE),"N/A")</f>
        <v>No</v>
      </c>
      <c r="G840" s="21" t="inlineStr">
        <is>
          <t>S3-RT-004</t>
        </is>
      </c>
      <c r="H840" s="21" t="inlineStr">
        <is>
          <t>Primary TP</t>
        </is>
      </c>
      <c r="I840" s="21" t="inlineStr">
        <is>
          <t>TP</t>
        </is>
      </c>
      <c r="J840" s="21" t="inlineStr">
        <is>
          <t>H</t>
        </is>
      </c>
      <c r="K840" s="21" t="inlineStr">
        <is>
          <t>Y</t>
        </is>
      </c>
      <c r="L840" s="21" t="inlineStr">
        <is>
          <t>No</t>
        </is>
      </c>
      <c r="M840" s="21" t="inlineStr"/>
      <c r="N840" s="22" t="inlineStr">
        <is>
          <t>Mechanism class token_replay; evidence: Replay; invalidation</t>
        </is>
      </c>
      <c r="O840" s="5" t="inlineStr">
        <is>
          <t>token_replay</t>
        </is>
      </c>
      <c r="P840" s="16" t="inlineStr">
        <is>
          <t>Recovery Token Replay</t>
        </is>
      </c>
      <c r="Q840" s="16" t="inlineStr">
        <is>
          <t>EE1 → P1 → P2 → DS2</t>
        </is>
      </c>
      <c r="R840" s="16" t="inlineStr"/>
      <c r="S840" s="5" t="inlineStr">
        <is>
          <t>Confirmed</t>
        </is>
      </c>
    </row>
    <row r="841" ht="16" customHeight="1">
      <c r="A841" s="5" t="inlineStr">
        <is>
          <t>CHATGPT-S3-F005</t>
        </is>
      </c>
      <c r="B841" s="5" t="inlineStr">
        <is>
          <t>CHATGPT</t>
        </is>
      </c>
      <c r="C841" s="5" t="inlineStr">
        <is>
          <t>S3</t>
        </is>
      </c>
      <c r="D841" s="21" t="str">
        <f>IFERROR(VLOOKUP($G841,'02_REFERENCE'!$A$2:$S$99,4,FALSE),"N/A")</f>
        <v>Spoofing</v>
      </c>
      <c r="E841" s="21" t="str">
        <f>IFERROR(VLOOKUP($G841,'02_REFERENCE'!$A$2:$S$99,15,FALSE),"N/A")</f>
        <v>Critical</v>
      </c>
      <c r="F841" s="21" t="str">
        <f>IFERROR(VLOOKUP($G841,'02_REFERENCE'!$A$2:$S$99,17,FALSE),"N/A")</f>
        <v>No</v>
      </c>
      <c r="G841" s="21" t="inlineStr">
        <is>
          <t>S3-RT-005</t>
        </is>
      </c>
      <c r="H841" s="21" t="inlineStr">
        <is>
          <t>Primary TP</t>
        </is>
      </c>
      <c r="I841" s="21" t="inlineStr">
        <is>
          <t>TP</t>
        </is>
      </c>
      <c r="J841" s="21" t="inlineStr">
        <is>
          <t>L</t>
        </is>
      </c>
      <c r="K841" s="21" t="inlineStr">
        <is>
          <t>Y</t>
        </is>
      </c>
      <c r="L841" s="21" t="inlineStr">
        <is>
          <t>No</t>
        </is>
      </c>
      <c r="M841" s="21" t="inlineStr"/>
      <c r="N841" s="22" t="inlineStr">
        <is>
          <t>Mechanism class predictable_token; evidence: tokens have insufficient entropy</t>
        </is>
      </c>
      <c r="O841" s="5" t="inlineStr">
        <is>
          <t>predictable_token</t>
        </is>
      </c>
      <c r="P841" s="16" t="inlineStr">
        <is>
          <t>Recovery Token Guessing</t>
        </is>
      </c>
      <c r="Q841" s="16" t="inlineStr">
        <is>
          <t>EE1 → P1 → P2 → DS2</t>
        </is>
      </c>
      <c r="R841" s="16" t="inlineStr"/>
      <c r="S841" s="5" t="inlineStr">
        <is>
          <t>Manual review</t>
        </is>
      </c>
    </row>
    <row r="842" ht="16" customHeight="1">
      <c r="A842" s="5" t="inlineStr">
        <is>
          <t>CHATGPT-S3-F006</t>
        </is>
      </c>
      <c r="B842" s="5" t="inlineStr">
        <is>
          <t>CHATGPT</t>
        </is>
      </c>
      <c r="C842" s="5" t="inlineStr">
        <is>
          <t>S3</t>
        </is>
      </c>
      <c r="D842" s="21" t="str">
        <f>IFERROR(VLOOKUP($G842,'02_REFERENCE'!$A$2:$S$99,4,FALSE),"N/A")</f>
        <v>Information Disclosure</v>
      </c>
      <c r="E842" s="21" t="str">
        <f>IFERROR(VLOOKUP($G842,'02_REFERENCE'!$A$2:$S$99,15,FALSE),"N/A")</f>
        <v>Medium</v>
      </c>
      <c r="F842" s="21" t="str">
        <f>IFERROR(VLOOKUP($G842,'02_REFERENCE'!$A$2:$S$99,17,FALSE),"N/A")</f>
        <v>No</v>
      </c>
      <c r="G842" s="21" t="inlineStr">
        <is>
          <t>S3-RT-015</t>
        </is>
      </c>
      <c r="H842" s="21" t="inlineStr">
        <is>
          <t>Duplicate</t>
        </is>
      </c>
      <c r="I842" s="21" t="inlineStr">
        <is>
          <t>TP</t>
        </is>
      </c>
      <c r="J842" s="21" t="inlineStr">
        <is>
          <t>M</t>
        </is>
      </c>
      <c r="K842" s="21" t="inlineStr">
        <is>
          <t>N</t>
        </is>
      </c>
      <c r="L842" s="21" t="inlineStr">
        <is>
          <t>Yes</t>
        </is>
      </c>
      <c r="M842" s="21" t="inlineStr">
        <is>
          <t>CHATGPT-S3-F039</t>
        </is>
      </c>
      <c r="N842" s="22" t="inlineStr">
        <is>
          <t>Mechanism class verbose_error; evidence: Error messages or AI-generated responses indirectly disclos [Equivalence: restates CHATGPT-S3-F039 — one-to-one rule applied.]</t>
        </is>
      </c>
      <c r="O842" s="5" t="inlineStr">
        <is>
          <t>verbose_error</t>
        </is>
      </c>
      <c r="P842" s="16" t="inlineStr">
        <is>
          <t>Recovery Token Metadata Disclosure</t>
        </is>
      </c>
      <c r="Q842" s="16" t="inlineStr">
        <is>
          <t>DS2 → P2 → P1 → EE1; P2/P5 context boundaries</t>
        </is>
      </c>
      <c r="R842" s="16" t="inlineStr"/>
      <c r="S842" s="5" t="inlineStr">
        <is>
          <t>Confirmed</t>
        </is>
      </c>
    </row>
    <row r="843" ht="16" customHeight="1">
      <c r="A843" s="5" t="inlineStr">
        <is>
          <t>CHATGPT-S3-F007</t>
        </is>
      </c>
      <c r="B843" s="5" t="inlineStr">
        <is>
          <t>CHATGPT</t>
        </is>
      </c>
      <c r="C843" s="5" t="inlineStr">
        <is>
          <t>S3</t>
        </is>
      </c>
      <c r="D843" s="21" t="str">
        <f>IFERROR(VLOOKUP($G843,'02_REFERENCE'!$A$2:$S$99,4,FALSE),"N/A")</f>
        <v>N/A</v>
      </c>
      <c r="E843" s="21" t="str">
        <f>IFERROR(VLOOKUP($G843,'02_REFERENCE'!$A$2:$S$99,15,FALSE),"N/A")</f>
        <v>N/A</v>
      </c>
      <c r="F843" s="21" t="str">
        <f>IFERROR(VLOOKUP($G843,'02_REFERENCE'!$A$2:$S$99,17,FALSE),"N/A")</f>
        <v>N/A</v>
      </c>
      <c r="G843" s="21" t="inlineStr"/>
      <c r="H843" s="21" t="inlineStr">
        <is>
          <t>False Positive</t>
        </is>
      </c>
      <c r="I843" s="21" t="inlineStr">
        <is>
          <t>FP</t>
        </is>
      </c>
      <c r="J843" s="21" t="inlineStr">
        <is>
          <t>M</t>
        </is>
      </c>
      <c r="K843" s="21" t="inlineStr">
        <is>
          <t>N</t>
        </is>
      </c>
      <c r="L843" s="21" t="inlineStr">
        <is>
          <t>No</t>
        </is>
      </c>
      <c r="M843" s="21" t="inlineStr"/>
      <c r="N843" s="22" t="inlineStr">
        <is>
          <t>No reference threat corresponds to this finding's mechanism (scoring found no class with sufficient evidence).</t>
        </is>
      </c>
      <c r="O843" s="5" t="inlineStr"/>
      <c r="P843" s="16" t="inlineStr">
        <is>
          <t>Profile Modification Without Recovery Authorization</t>
        </is>
      </c>
      <c r="Q843" s="16" t="inlineStr">
        <is>
          <t>P1 → P3; P2 → P3; P3 → DS1</t>
        </is>
      </c>
      <c r="R843" s="16" t="inlineStr"/>
      <c r="S843" s="5" t="inlineStr">
        <is>
          <t>Confirmed</t>
        </is>
      </c>
    </row>
    <row r="844" ht="16" customHeight="1">
      <c r="A844" s="5" t="inlineStr">
        <is>
          <t>CHATGPT-S3-F008</t>
        </is>
      </c>
      <c r="B844" s="5" t="inlineStr">
        <is>
          <t>CHATGPT</t>
        </is>
      </c>
      <c r="C844" s="5" t="inlineStr">
        <is>
          <t>S3</t>
        </is>
      </c>
      <c r="D844" s="21" t="str">
        <f>IFERROR(VLOOKUP($G844,'02_REFERENCE'!$A$2:$S$99,4,FALSE),"N/A")</f>
        <v>N/A</v>
      </c>
      <c r="E844" s="21" t="str">
        <f>IFERROR(VLOOKUP($G844,'02_REFERENCE'!$A$2:$S$99,15,FALSE),"N/A")</f>
        <v>N/A</v>
      </c>
      <c r="F844" s="21" t="str">
        <f>IFERROR(VLOOKUP($G844,'02_REFERENCE'!$A$2:$S$99,17,FALSE),"N/A")</f>
        <v>N/A</v>
      </c>
      <c r="G844" s="21" t="inlineStr"/>
      <c r="H844" s="21" t="inlineStr">
        <is>
          <t>False Positive</t>
        </is>
      </c>
      <c r="I844" s="21" t="inlineStr">
        <is>
          <t>FP</t>
        </is>
      </c>
      <c r="J844" s="21" t="inlineStr">
        <is>
          <t>M</t>
        </is>
      </c>
      <c r="K844" s="21" t="inlineStr">
        <is>
          <t>N</t>
        </is>
      </c>
      <c r="L844" s="21" t="inlineStr">
        <is>
          <t>No</t>
        </is>
      </c>
      <c r="M844" s="21" t="inlineStr"/>
      <c r="N844" s="22" t="inlineStr">
        <is>
          <t>No reference threat corresponds to this finding's mechanism (scoring found no class with sufficient evidence).</t>
        </is>
      </c>
      <c r="O844" s="5" t="inlineStr"/>
      <c r="P844" s="16" t="inlineStr">
        <is>
          <t>False AI Authorization</t>
        </is>
      </c>
      <c r="Q844" s="16" t="inlineStr">
        <is>
          <t>EE1 → P4 → P5 → EE2 → P5 → P4 → EE1</t>
        </is>
      </c>
      <c r="R844" s="16" t="inlineStr"/>
      <c r="S844" s="5" t="inlineStr">
        <is>
          <t>Confirmed</t>
        </is>
      </c>
    </row>
    <row r="845" ht="16" customHeight="1">
      <c r="A845" s="5" t="inlineStr">
        <is>
          <t>CHATGPT-S3-F009</t>
        </is>
      </c>
      <c r="B845" s="5" t="inlineStr">
        <is>
          <t>CHATGPT</t>
        </is>
      </c>
      <c r="C845" s="5" t="inlineStr">
        <is>
          <t>S3</t>
        </is>
      </c>
      <c r="D845" s="21" t="str">
        <f>IFERROR(VLOOKUP($G845,'02_REFERENCE'!$A$2:$S$99,4,FALSE),"N/A")</f>
        <v>Tampering</v>
      </c>
      <c r="E845" s="21" t="str">
        <f>IFERROR(VLOOKUP($G845,'02_REFERENCE'!$A$2:$S$99,15,FALSE),"N/A")</f>
        <v>High</v>
      </c>
      <c r="F845" s="21" t="str">
        <f>IFERROR(VLOOKUP($G845,'02_REFERENCE'!$A$2:$S$99,17,FALSE),"N/A")</f>
        <v>Yes</v>
      </c>
      <c r="G845" s="21" t="inlineStr">
        <is>
          <t>S3-RT-019</t>
        </is>
      </c>
      <c r="H845" s="21" t="inlineStr">
        <is>
          <t>Primary TP</t>
        </is>
      </c>
      <c r="I845" s="21" t="inlineStr">
        <is>
          <t>TP</t>
        </is>
      </c>
      <c r="J845" s="21" t="inlineStr">
        <is>
          <t>H</t>
        </is>
      </c>
      <c r="K845" s="21" t="inlineStr">
        <is>
          <t>Y</t>
        </is>
      </c>
      <c r="L845" s="21" t="inlineStr">
        <is>
          <t>No</t>
        </is>
      </c>
      <c r="M845" s="21" t="inlineStr"/>
      <c r="N845" s="22" t="inlineStr">
        <is>
          <t>Mechanism class prompt_injection_direct; evidence: Prompt Injection; Prompt Inject; Prompt Inject</t>
        </is>
      </c>
      <c r="O845" s="5" t="inlineStr">
        <is>
          <t>prompt_injection_direct</t>
        </is>
      </c>
      <c r="P845" s="16" t="inlineStr">
        <is>
          <t>Recovery-Related Prompt Injection</t>
        </is>
      </c>
      <c r="Q845" s="16" t="inlineStr">
        <is>
          <t>EE1 → P1 → P4/P5 → EE2</t>
        </is>
      </c>
      <c r="R845" s="16" t="inlineStr"/>
      <c r="S845" s="5" t="inlineStr">
        <is>
          <t>Confirmed</t>
        </is>
      </c>
    </row>
    <row r="846" ht="16" customHeight="1">
      <c r="A846" s="5" t="inlineStr">
        <is>
          <t>CHATGPT-S3-F010</t>
        </is>
      </c>
      <c r="B846" s="5" t="inlineStr">
        <is>
          <t>CHATGPT</t>
        </is>
      </c>
      <c r="C846" s="5" t="inlineStr">
        <is>
          <t>S3</t>
        </is>
      </c>
      <c r="D846" s="21" t="str">
        <f>IFERROR(VLOOKUP($G846,'02_REFERENCE'!$A$2:$S$99,4,FALSE),"N/A")</f>
        <v>N/A</v>
      </c>
      <c r="E846" s="21" t="str">
        <f>IFERROR(VLOOKUP($G846,'02_REFERENCE'!$A$2:$S$99,15,FALSE),"N/A")</f>
        <v>N/A</v>
      </c>
      <c r="F846" s="21" t="str">
        <f>IFERROR(VLOOKUP($G846,'02_REFERENCE'!$A$2:$S$99,17,FALSE),"N/A")</f>
        <v>N/A</v>
      </c>
      <c r="G846" s="21" t="inlineStr"/>
      <c r="H846" s="21" t="inlineStr">
        <is>
          <t>False Positive</t>
        </is>
      </c>
      <c r="I846" s="21" t="inlineStr">
        <is>
          <t>FP</t>
        </is>
      </c>
      <c r="J846" s="21" t="inlineStr">
        <is>
          <t>L</t>
        </is>
      </c>
      <c r="K846" s="21" t="inlineStr">
        <is>
          <t>N</t>
        </is>
      </c>
      <c r="L846" s="21" t="inlineStr">
        <is>
          <t>No</t>
        </is>
      </c>
      <c r="M846" s="21" t="inlineStr"/>
      <c r="N846" s="22" t="inlineStr">
        <is>
          <t>Template-class kb_disclosure (no reference threat): disclosure of approved context</t>
        </is>
      </c>
      <c r="O846" s="5" t="inlineStr">
        <is>
          <t>kb_disclosure</t>
        </is>
      </c>
      <c r="P846" s="16" t="inlineStr">
        <is>
          <t>Malicious Instructions Embedded in Recovery Data</t>
        </is>
      </c>
      <c r="Q846" s="16" t="inlineStr">
        <is>
          <t>EE1 → P1 → P2/P4; P4 → P5 → EE2</t>
        </is>
      </c>
      <c r="R846" s="16" t="inlineStr"/>
      <c r="S846" s="5" t="inlineStr">
        <is>
          <t>Manual review</t>
        </is>
      </c>
    </row>
    <row r="847" ht="16" customHeight="1">
      <c r="A847" s="5" t="inlineStr">
        <is>
          <t>CHATGPT-S3-F011</t>
        </is>
      </c>
      <c r="B847" s="5" t="inlineStr">
        <is>
          <t>CHATGPT</t>
        </is>
      </c>
      <c r="C847" s="5" t="inlineStr">
        <is>
          <t>S3</t>
        </is>
      </c>
      <c r="D847" s="21" t="str">
        <f>IFERROR(VLOOKUP($G847,'02_REFERENCE'!$A$2:$S$99,4,FALSE),"N/A")</f>
        <v>N/A</v>
      </c>
      <c r="E847" s="21" t="str">
        <f>IFERROR(VLOOKUP($G847,'02_REFERENCE'!$A$2:$S$99,15,FALSE),"N/A")</f>
        <v>N/A</v>
      </c>
      <c r="F847" s="21" t="str">
        <f>IFERROR(VLOOKUP($G847,'02_REFERENCE'!$A$2:$S$99,17,FALSE),"N/A")</f>
        <v>N/A</v>
      </c>
      <c r="G847" s="21" t="inlineStr"/>
      <c r="H847" s="21" t="inlineStr">
        <is>
          <t>False Positive</t>
        </is>
      </c>
      <c r="I847" s="21" t="inlineStr">
        <is>
          <t>FP</t>
        </is>
      </c>
      <c r="J847" s="21" t="inlineStr">
        <is>
          <t>M</t>
        </is>
      </c>
      <c r="K847" s="21" t="inlineStr">
        <is>
          <t>N</t>
        </is>
      </c>
      <c r="L847" s="21" t="inlineStr">
        <is>
          <t>No</t>
        </is>
      </c>
      <c r="M847" s="21" t="inlineStr"/>
      <c r="N847" s="22" t="inlineStr">
        <is>
          <t>No reference threat corresponds to this finding's mechanism (scoring found no class with sufficient evidence).</t>
        </is>
      </c>
      <c r="O847" s="5" t="inlineStr"/>
      <c r="P847" s="16" t="inlineStr">
        <is>
          <t>Unauthorized Sensitive Context Transmission</t>
        </is>
      </c>
      <c r="Q847" s="16" t="inlineStr">
        <is>
          <t>P1/P2/P4 → P5 → EE2</t>
        </is>
      </c>
      <c r="R847" s="16" t="inlineStr"/>
      <c r="S847" s="5" t="inlineStr">
        <is>
          <t>Confirmed</t>
        </is>
      </c>
    </row>
    <row r="848" ht="16" customHeight="1">
      <c r="A848" s="5" t="inlineStr">
        <is>
          <t>CHATGPT-S3-F012</t>
        </is>
      </c>
      <c r="B848" s="5" t="inlineStr">
        <is>
          <t>CHATGPT</t>
        </is>
      </c>
      <c r="C848" s="5" t="inlineStr">
        <is>
          <t>S3</t>
        </is>
      </c>
      <c r="D848" s="21" t="str">
        <f>IFERROR(VLOOKUP($G848,'02_REFERENCE'!$A$2:$S$99,4,FALSE),"N/A")</f>
        <v>Tampering</v>
      </c>
      <c r="E848" s="21" t="str">
        <f>IFERROR(VLOOKUP($G848,'02_REFERENCE'!$A$2:$S$99,15,FALSE),"N/A")</f>
        <v>High</v>
      </c>
      <c r="F848" s="21" t="str">
        <f>IFERROR(VLOOKUP($G848,'02_REFERENCE'!$A$2:$S$99,17,FALSE),"N/A")</f>
        <v>Yes</v>
      </c>
      <c r="G848" s="21" t="inlineStr">
        <is>
          <t>S3-RT-019</t>
        </is>
      </c>
      <c r="H848" s="21" t="inlineStr">
        <is>
          <t>Duplicate</t>
        </is>
      </c>
      <c r="I848" s="21" t="inlineStr">
        <is>
          <t>TP</t>
        </is>
      </c>
      <c r="J848" s="21" t="inlineStr">
        <is>
          <t>H</t>
        </is>
      </c>
      <c r="K848" s="21" t="inlineStr">
        <is>
          <t>N</t>
        </is>
      </c>
      <c r="L848" s="21" t="inlineStr">
        <is>
          <t>Yes</t>
        </is>
      </c>
      <c r="M848" s="21" t="inlineStr">
        <is>
          <t>CHATGPT-S3-F009</t>
        </is>
      </c>
      <c r="N848" s="22" t="inlineStr">
        <is>
          <t>Mechanism class prompt_injection_direct; evidence: Prompt Injection; Prompt Inject; injected instruction; Prompt Inject [Equivalence: restates CHATGPT-S3-F009 — one-to-one rule applied.]</t>
        </is>
      </c>
      <c r="O848" s="5" t="inlineStr">
        <is>
          <t>prompt_injection_direct</t>
        </is>
      </c>
      <c r="P848" s="16" t="inlineStr">
        <is>
          <t>Prompt Injection-Induced Data Disclosure</t>
        </is>
      </c>
      <c r="Q848" s="16" t="inlineStr">
        <is>
          <t>EE1 → P4/P5 → EE2 → P5/P4 → EE1</t>
        </is>
      </c>
      <c r="R848" s="16" t="inlineStr"/>
      <c r="S848" s="5" t="inlineStr">
        <is>
          <t>Confirmed</t>
        </is>
      </c>
    </row>
    <row r="849" ht="16" customHeight="1">
      <c r="A849" s="5" t="inlineStr">
        <is>
          <t>CHATGPT-S3-F013</t>
        </is>
      </c>
      <c r="B849" s="5" t="inlineStr">
        <is>
          <t>CHATGPT</t>
        </is>
      </c>
      <c r="C849" s="5" t="inlineStr">
        <is>
          <t>S3</t>
        </is>
      </c>
      <c r="D849" s="21" t="str">
        <f>IFERROR(VLOOKUP($G849,'02_REFERENCE'!$A$2:$S$99,4,FALSE),"N/A")</f>
        <v>N/A</v>
      </c>
      <c r="E849" s="21" t="str">
        <f>IFERROR(VLOOKUP($G849,'02_REFERENCE'!$A$2:$S$99,15,FALSE),"N/A")</f>
        <v>N/A</v>
      </c>
      <c r="F849" s="21" t="str">
        <f>IFERROR(VLOOKUP($G849,'02_REFERENCE'!$A$2:$S$99,17,FALSE),"N/A")</f>
        <v>N/A</v>
      </c>
      <c r="G849" s="21" t="inlineStr"/>
      <c r="H849" s="21" t="inlineStr">
        <is>
          <t>False Positive</t>
        </is>
      </c>
      <c r="I849" s="21" t="inlineStr">
        <is>
          <t>FP</t>
        </is>
      </c>
      <c r="J849" s="21" t="inlineStr">
        <is>
          <t>M</t>
        </is>
      </c>
      <c r="K849" s="21" t="inlineStr">
        <is>
          <t>N</t>
        </is>
      </c>
      <c r="L849" s="21" t="inlineStr">
        <is>
          <t>No</t>
        </is>
      </c>
      <c r="M849" s="21" t="inlineStr"/>
      <c r="N849" s="22" t="inlineStr">
        <is>
          <t>Template-class malicious_upload (no reference threat): malicious, misleading, or manipulated content</t>
        </is>
      </c>
      <c r="O849" s="5" t="inlineStr">
        <is>
          <t>malicious_upload</t>
        </is>
      </c>
      <c r="P849" s="16" t="inlineStr">
        <is>
          <t>Improper Output Handling</t>
        </is>
      </c>
      <c r="Q849" s="16" t="inlineStr">
        <is>
          <t>EE2 → P5 → P4 → P1 → EE1</t>
        </is>
      </c>
      <c r="R849" s="16" t="inlineStr"/>
      <c r="S849" s="5" t="inlineStr">
        <is>
          <t>Confirmed</t>
        </is>
      </c>
    </row>
    <row r="850" ht="16" customHeight="1">
      <c r="A850" s="5" t="inlineStr">
        <is>
          <t>CHATGPT-S3-F014</t>
        </is>
      </c>
      <c r="B850" s="5" t="inlineStr">
        <is>
          <t>CHATGPT</t>
        </is>
      </c>
      <c r="C850" s="5" t="inlineStr">
        <is>
          <t>S3</t>
        </is>
      </c>
      <c r="D850" s="21" t="str">
        <f>IFERROR(VLOOKUP($G850,'02_REFERENCE'!$A$2:$S$99,4,FALSE),"N/A")</f>
        <v>N/A</v>
      </c>
      <c r="E850" s="21" t="str">
        <f>IFERROR(VLOOKUP($G850,'02_REFERENCE'!$A$2:$S$99,15,FALSE),"N/A")</f>
        <v>N/A</v>
      </c>
      <c r="F850" s="21" t="str">
        <f>IFERROR(VLOOKUP($G850,'02_REFERENCE'!$A$2:$S$99,17,FALSE),"N/A")</f>
        <v>N/A</v>
      </c>
      <c r="G850" s="21" t="inlineStr"/>
      <c r="H850" s="21" t="inlineStr">
        <is>
          <t>False Positive</t>
        </is>
      </c>
      <c r="I850" s="21" t="inlineStr">
        <is>
          <t>FP</t>
        </is>
      </c>
      <c r="J850" s="21" t="inlineStr">
        <is>
          <t>M</t>
        </is>
      </c>
      <c r="K850" s="21" t="inlineStr">
        <is>
          <t>N</t>
        </is>
      </c>
      <c r="L850" s="21" t="inlineStr">
        <is>
          <t>No</t>
        </is>
      </c>
      <c r="M850" s="21" t="inlineStr"/>
      <c r="N850" s="22" t="inlineStr">
        <is>
          <t>No reference threat corresponds to this finding's mechanism (scoring found no class with sufficient evidence).</t>
        </is>
      </c>
      <c r="O850" s="5" t="inlineStr"/>
      <c r="P850" s="16" t="inlineStr">
        <is>
          <t>AI Influence Over Security-Critical Operations</t>
        </is>
      </c>
      <c r="Q850" s="16" t="inlineStr">
        <is>
          <t>P4/P5 ↔ P1/P2/P3</t>
        </is>
      </c>
      <c r="R850" s="16" t="inlineStr"/>
      <c r="S850" s="5" t="inlineStr">
        <is>
          <t>Confirmed</t>
        </is>
      </c>
    </row>
    <row r="851" ht="16" customHeight="1">
      <c r="A851" s="5" t="inlineStr">
        <is>
          <t>CHATGPT-S3-F015</t>
        </is>
      </c>
      <c r="B851" s="5" t="inlineStr">
        <is>
          <t>CHATGPT</t>
        </is>
      </c>
      <c r="C851" s="5" t="inlineStr">
        <is>
          <t>S3</t>
        </is>
      </c>
      <c r="D851" s="21" t="str">
        <f>IFERROR(VLOOKUP($G851,'02_REFERENCE'!$A$2:$S$99,4,FALSE),"N/A")</f>
        <v>N/A</v>
      </c>
      <c r="E851" s="21" t="str">
        <f>IFERROR(VLOOKUP($G851,'02_REFERENCE'!$A$2:$S$99,15,FALSE),"N/A")</f>
        <v>N/A</v>
      </c>
      <c r="F851" s="21" t="str">
        <f>IFERROR(VLOOKUP($G851,'02_REFERENCE'!$A$2:$S$99,17,FALSE),"N/A")</f>
        <v>N/A</v>
      </c>
      <c r="G851" s="21" t="inlineStr"/>
      <c r="H851" s="21" t="inlineStr">
        <is>
          <t>False Positive</t>
        </is>
      </c>
      <c r="I851" s="21" t="inlineStr">
        <is>
          <t>FP</t>
        </is>
      </c>
      <c r="J851" s="21" t="inlineStr">
        <is>
          <t>M</t>
        </is>
      </c>
      <c r="K851" s="21" t="inlineStr">
        <is>
          <t>N</t>
        </is>
      </c>
      <c r="L851" s="21" t="inlineStr">
        <is>
          <t>No</t>
        </is>
      </c>
      <c r="M851" s="21" t="inlineStr"/>
      <c r="N851" s="22" t="inlineStr">
        <is>
          <t>No reference threat corresponds to this finding's mechanism (scoring found no class with sufficient evidence).</t>
        </is>
      </c>
      <c r="O851" s="5" t="inlineStr"/>
      <c r="P851" s="16" t="inlineStr">
        <is>
          <t>Manipulation of Recovery Authorization</t>
        </is>
      </c>
      <c r="Q851" s="16" t="inlineStr">
        <is>
          <t>P2 → P3; P2 → DS2; P3 → DS1</t>
        </is>
      </c>
      <c r="R851" s="16" t="inlineStr"/>
      <c r="S851" s="5" t="inlineStr">
        <is>
          <t>Confirmed</t>
        </is>
      </c>
    </row>
    <row r="852" ht="16" customHeight="1">
      <c r="A852" s="5" t="inlineStr">
        <is>
          <t>CHATGPT-S3-F016</t>
        </is>
      </c>
      <c r="B852" s="5" t="inlineStr">
        <is>
          <t>CHATGPT</t>
        </is>
      </c>
      <c r="C852" s="5" t="inlineStr">
        <is>
          <t>S3</t>
        </is>
      </c>
      <c r="D852" s="21" t="str">
        <f>IFERROR(VLOOKUP($G852,'02_REFERENCE'!$A$2:$S$99,4,FALSE),"N/A")</f>
        <v>N/A</v>
      </c>
      <c r="E852" s="21" t="str">
        <f>IFERROR(VLOOKUP($G852,'02_REFERENCE'!$A$2:$S$99,15,FALSE),"N/A")</f>
        <v>N/A</v>
      </c>
      <c r="F852" s="21" t="str">
        <f>IFERROR(VLOOKUP($G852,'02_REFERENCE'!$A$2:$S$99,17,FALSE),"N/A")</f>
        <v>N/A</v>
      </c>
      <c r="G852" s="21" t="inlineStr"/>
      <c r="H852" s="21" t="inlineStr">
        <is>
          <t>False Positive</t>
        </is>
      </c>
      <c r="I852" s="21" t="inlineStr">
        <is>
          <t>FP</t>
        </is>
      </c>
      <c r="J852" s="21" t="inlineStr">
        <is>
          <t>M</t>
        </is>
      </c>
      <c r="K852" s="21" t="inlineStr">
        <is>
          <t>N</t>
        </is>
      </c>
      <c r="L852" s="21" t="inlineStr">
        <is>
          <t>No</t>
        </is>
      </c>
      <c r="M852" s="21" t="inlineStr"/>
      <c r="N852" s="22" t="inlineStr">
        <is>
          <t>Template-class kb_disclosure (no reference threat): context or P4 reveal</t>
        </is>
      </c>
      <c r="O852" s="5" t="inlineStr">
        <is>
          <t>kb_disclosure</t>
        </is>
      </c>
      <c r="P852" s="16" t="inlineStr">
        <is>
          <t>Unauthorized Profile Data Exposure</t>
        </is>
      </c>
      <c r="Q852" s="16" t="inlineStr">
        <is>
          <t>DS1 → P4/P5 → EE2 or P4 → P1 → EE1</t>
        </is>
      </c>
      <c r="R852" s="16" t="inlineStr"/>
      <c r="S852" s="5" t="inlineStr">
        <is>
          <t>Confirmed</t>
        </is>
      </c>
    </row>
    <row r="853" ht="16" customHeight="1">
      <c r="A853" s="5" t="inlineStr">
        <is>
          <t>CHATGPT-S3-F017</t>
        </is>
      </c>
      <c r="B853" s="5" t="inlineStr">
        <is>
          <t>CHATGPT</t>
        </is>
      </c>
      <c r="C853" s="5" t="inlineStr">
        <is>
          <t>S3</t>
        </is>
      </c>
      <c r="D853" s="21" t="str">
        <f>IFERROR(VLOOKUP($G853,'02_REFERENCE'!$A$2:$S$99,4,FALSE),"N/A")</f>
        <v>Information Disclosure</v>
      </c>
      <c r="E853" s="21" t="str">
        <f>IFERROR(VLOOKUP($G853,'02_REFERENCE'!$A$2:$S$99,15,FALSE),"N/A")</f>
        <v>High</v>
      </c>
      <c r="F853" s="21" t="str">
        <f>IFERROR(VLOOKUP($G853,'02_REFERENCE'!$A$2:$S$99,17,FALSE),"N/A")</f>
        <v>Yes</v>
      </c>
      <c r="G853" s="21" t="inlineStr">
        <is>
          <t>S3-RT-021</t>
        </is>
      </c>
      <c r="H853" s="21" t="inlineStr">
        <is>
          <t>Duplicate</t>
        </is>
      </c>
      <c r="I853" s="21" t="inlineStr">
        <is>
          <t>TP</t>
        </is>
      </c>
      <c r="J853" s="21" t="inlineStr">
        <is>
          <t>M</t>
        </is>
      </c>
      <c r="K853" s="21" t="inlineStr">
        <is>
          <t>N</t>
        </is>
      </c>
      <c r="L853" s="21" t="inlineStr">
        <is>
          <t>Yes</t>
        </is>
      </c>
      <c r="M853" s="21" t="inlineStr">
        <is>
          <t>CHATGPT-S3-F033</t>
        </is>
      </c>
      <c r="N853" s="22" t="inlineStr">
        <is>
          <t>Mechanism class sensitive_to_llm; evidence: included in AI context, and the LLM [Equivalence: restates CHATGPT-S3-F033 — one-to-one rule applied.]</t>
        </is>
      </c>
      <c r="O853" s="5" t="inlineStr">
        <is>
          <t>sensitive_to_llm</t>
        </is>
      </c>
      <c r="P853" s="16" t="inlineStr">
        <is>
          <t>Disclosure of Recovery Verification Information</t>
        </is>
      </c>
      <c r="Q853" s="16" t="inlineStr">
        <is>
          <t>DS1 → P4/P5 → EE2 → P4 → EE1</t>
        </is>
      </c>
      <c r="R853" s="16" t="inlineStr"/>
      <c r="S853" s="5" t="inlineStr">
        <is>
          <t>Confirmed</t>
        </is>
      </c>
    </row>
    <row r="854" ht="16" customHeight="1">
      <c r="A854" s="5" t="inlineStr">
        <is>
          <t>CHATGPT-S3-F018</t>
        </is>
      </c>
      <c r="B854" s="5" t="inlineStr">
        <is>
          <t>CHATGPT</t>
        </is>
      </c>
      <c r="C854" s="5" t="inlineStr">
        <is>
          <t>S3</t>
        </is>
      </c>
      <c r="D854" s="21" t="str">
        <f>IFERROR(VLOOKUP($G854,'02_REFERENCE'!$A$2:$S$99,4,FALSE),"N/A")</f>
        <v>N/A</v>
      </c>
      <c r="E854" s="21" t="str">
        <f>IFERROR(VLOOKUP($G854,'02_REFERENCE'!$A$2:$S$99,15,FALSE),"N/A")</f>
        <v>N/A</v>
      </c>
      <c r="F854" s="21" t="str">
        <f>IFERROR(VLOOKUP($G854,'02_REFERENCE'!$A$2:$S$99,17,FALSE),"N/A")</f>
        <v>N/A</v>
      </c>
      <c r="G854" s="21" t="inlineStr"/>
      <c r="H854" s="21" t="inlineStr">
        <is>
          <t>False Positive</t>
        </is>
      </c>
      <c r="I854" s="21" t="inlineStr">
        <is>
          <t>FP</t>
        </is>
      </c>
      <c r="J854" s="21" t="inlineStr">
        <is>
          <t>M</t>
        </is>
      </c>
      <c r="K854" s="21" t="inlineStr">
        <is>
          <t>N</t>
        </is>
      </c>
      <c r="L854" s="21" t="inlineStr">
        <is>
          <t>No</t>
        </is>
      </c>
      <c r="M854" s="21" t="inlineStr"/>
      <c r="N854" s="22" t="inlineStr">
        <is>
          <t>No reference threat corresponds to this finding's mechanism (scoring found no class with sufficient evidence).</t>
        </is>
      </c>
      <c r="O854" s="5" t="inlineStr"/>
      <c r="P854" s="16" t="inlineStr">
        <is>
          <t>External LLM Data Security Risk</t>
        </is>
      </c>
      <c r="Q854" s="16" t="inlineStr">
        <is>
          <t>P5 ↔ EE2</t>
        </is>
      </c>
      <c r="R854" s="16" t="inlineStr"/>
      <c r="S854" s="5" t="inlineStr">
        <is>
          <t>Confirmed</t>
        </is>
      </c>
    </row>
    <row r="855" ht="16" customHeight="1">
      <c r="A855" s="5" t="inlineStr">
        <is>
          <t>CHATGPT-S3-F019</t>
        </is>
      </c>
      <c r="B855" s="5" t="inlineStr">
        <is>
          <t>CHATGPT</t>
        </is>
      </c>
      <c r="C855" s="5" t="inlineStr">
        <is>
          <t>S3</t>
        </is>
      </c>
      <c r="D855" s="21" t="str">
        <f>IFERROR(VLOOKUP($G855,'02_REFERENCE'!$A$2:$S$99,4,FALSE),"N/A")</f>
        <v>Spoofing</v>
      </c>
      <c r="E855" s="21" t="str">
        <f>IFERROR(VLOOKUP($G855,'02_REFERENCE'!$A$2:$S$99,15,FALSE),"N/A")</f>
        <v>High</v>
      </c>
      <c r="F855" s="21" t="str">
        <f>IFERROR(VLOOKUP($G855,'02_REFERENCE'!$A$2:$S$99,17,FALSE),"N/A")</f>
        <v>Yes</v>
      </c>
      <c r="G855" s="21" t="inlineStr">
        <is>
          <t>S3-RT-029</t>
        </is>
      </c>
      <c r="H855" s="21" t="inlineStr">
        <is>
          <t>Primary TP</t>
        </is>
      </c>
      <c r="I855" s="21" t="inlineStr">
        <is>
          <t>TP</t>
        </is>
      </c>
      <c r="J855" s="21" t="inlineStr">
        <is>
          <t>H</t>
        </is>
      </c>
      <c r="K855" s="21" t="inlineStr">
        <is>
          <t>Y</t>
        </is>
      </c>
      <c r="L855" s="21" t="inlineStr">
        <is>
          <t>No</t>
        </is>
      </c>
      <c r="M855" s="21" t="inlineStr"/>
      <c r="N855" s="22" t="inlineStr">
        <is>
          <t xml:space="preserve">Mechanism class model_substitution; evidence: Compromised External LLM Behavior The external LLM provider; LLM provider changes model behavior, produces compromis; Compromised External LLM Behavior The external LLM provider </t>
        </is>
      </c>
      <c r="O855" s="5" t="inlineStr">
        <is>
          <t>model_substitution</t>
        </is>
      </c>
      <c r="P855" s="16" t="inlineStr">
        <is>
          <t>Malicious or Compromised External LLM Behavior</t>
        </is>
      </c>
      <c r="Q855" s="16" t="inlineStr">
        <is>
          <t>P5 ↔ EE2</t>
        </is>
      </c>
      <c r="R855" s="16" t="inlineStr"/>
      <c r="S855" s="5" t="inlineStr">
        <is>
          <t>Confirmed</t>
        </is>
      </c>
    </row>
    <row r="856" ht="16" customHeight="1">
      <c r="A856" s="5" t="inlineStr">
        <is>
          <t>CHATGPT-S3-F020</t>
        </is>
      </c>
      <c r="B856" s="5" t="inlineStr">
        <is>
          <t>CHATGPT</t>
        </is>
      </c>
      <c r="C856" s="5" t="inlineStr">
        <is>
          <t>S3</t>
        </is>
      </c>
      <c r="D856" s="21" t="str">
        <f>IFERROR(VLOOKUP($G856,'02_REFERENCE'!$A$2:$S$99,4,FALSE),"N/A")</f>
        <v>Tampering</v>
      </c>
      <c r="E856" s="21" t="str">
        <f>IFERROR(VLOOKUP($G856,'02_REFERENCE'!$A$2:$S$99,15,FALSE),"N/A")</f>
        <v>High</v>
      </c>
      <c r="F856" s="21" t="str">
        <f>IFERROR(VLOOKUP($G856,'02_REFERENCE'!$A$2:$S$99,17,FALSE),"N/A")</f>
        <v>Yes</v>
      </c>
      <c r="G856" s="21" t="inlineStr">
        <is>
          <t>S3-RT-026</t>
        </is>
      </c>
      <c r="H856" s="21" t="inlineStr">
        <is>
          <t>Primary TP</t>
        </is>
      </c>
      <c r="I856" s="21" t="inlineStr">
        <is>
          <t>TP</t>
        </is>
      </c>
      <c r="J856" s="21" t="inlineStr">
        <is>
          <t>L</t>
        </is>
      </c>
      <c r="K856" s="21" t="inlineStr">
        <is>
          <t>Y</t>
        </is>
      </c>
      <c r="L856" s="21" t="inlineStr">
        <is>
          <t>No</t>
        </is>
      </c>
      <c r="M856" s="21" t="inlineStr"/>
      <c r="N856" s="22" t="inlineStr">
        <is>
          <t>Mechanism class attacker_instructions; evidence: user follows those instruction</t>
        </is>
      </c>
      <c r="O856" s="5" t="inlineStr">
        <is>
          <t>attacker_instructions</t>
        </is>
      </c>
      <c r="P856" s="16" t="inlineStr">
        <is>
          <t>Incorrect Recovery Guidance</t>
        </is>
      </c>
      <c r="Q856" s="16" t="inlineStr">
        <is>
          <t>EE2 → P5 → P4 → P1 → EE1</t>
        </is>
      </c>
      <c r="R856" s="16" t="inlineStr"/>
      <c r="S856" s="5" t="inlineStr">
        <is>
          <t>Manual review</t>
        </is>
      </c>
    </row>
    <row r="857" ht="16" customHeight="1">
      <c r="A857" s="5" t="inlineStr">
        <is>
          <t>CHATGPT-S3-F021</t>
        </is>
      </c>
      <c r="B857" s="5" t="inlineStr">
        <is>
          <t>CHATGPT</t>
        </is>
      </c>
      <c r="C857" s="5" t="inlineStr">
        <is>
          <t>S3</t>
        </is>
      </c>
      <c r="D857" s="21" t="str">
        <f>IFERROR(VLOOKUP($G857,'02_REFERENCE'!$A$2:$S$99,4,FALSE),"N/A")</f>
        <v>Information Disclosure</v>
      </c>
      <c r="E857" s="21" t="str">
        <f>IFERROR(VLOOKUP($G857,'02_REFERENCE'!$A$2:$S$99,15,FALSE),"N/A")</f>
        <v>Medium</v>
      </c>
      <c r="F857" s="21" t="str">
        <f>IFERROR(VLOOKUP($G857,'02_REFERENCE'!$A$2:$S$99,17,FALSE),"N/A")</f>
        <v>Yes</v>
      </c>
      <c r="G857" s="21" t="inlineStr">
        <is>
          <t>S3-RT-024</t>
        </is>
      </c>
      <c r="H857" s="21" t="inlineStr">
        <is>
          <t>Primary TP</t>
        </is>
      </c>
      <c r="I857" s="21" t="inlineStr">
        <is>
          <t>TP</t>
        </is>
      </c>
      <c r="J857" s="21" t="inlineStr">
        <is>
          <t>H</t>
        </is>
      </c>
      <c r="K857" s="21" t="inlineStr">
        <is>
          <t>Y</t>
        </is>
      </c>
      <c r="L857" s="21" t="inlineStr">
        <is>
          <t>No</t>
        </is>
      </c>
      <c r="M857" s="21" t="inlineStr"/>
      <c r="N857" s="22" t="inlineStr">
        <is>
          <t>Mechanism class system_prompt_extract; evidence: reveal its system instruction; Instruction Leakage An attacker asks P4 to reveal; asks P4 to reveal its system instruction</t>
        </is>
      </c>
      <c r="O857" s="5" t="inlineStr">
        <is>
          <t>system_prompt_extract</t>
        </is>
      </c>
      <c r="P857" s="16" t="inlineStr">
        <is>
          <t>AI Instruction Leakage</t>
        </is>
      </c>
      <c r="Q857" s="16" t="inlineStr">
        <is>
          <t>EE1 → P4/P5 → EE2 → P4 → EE1</t>
        </is>
      </c>
      <c r="R857" s="16" t="inlineStr"/>
      <c r="S857" s="5" t="inlineStr">
        <is>
          <t>Confirmed</t>
        </is>
      </c>
    </row>
    <row r="858" ht="16" customHeight="1">
      <c r="A858" s="5" t="inlineStr">
        <is>
          <t>CHATGPT-S3-F022</t>
        </is>
      </c>
      <c r="B858" s="5" t="inlineStr">
        <is>
          <t>CHATGPT</t>
        </is>
      </c>
      <c r="C858" s="5" t="inlineStr">
        <is>
          <t>S3</t>
        </is>
      </c>
      <c r="D858" s="21" t="str">
        <f>IFERROR(VLOOKUP($G858,'02_REFERENCE'!$A$2:$S$99,4,FALSE),"N/A")</f>
        <v>N/A</v>
      </c>
      <c r="E858" s="21" t="str">
        <f>IFERROR(VLOOKUP($G858,'02_REFERENCE'!$A$2:$S$99,15,FALSE),"N/A")</f>
        <v>N/A</v>
      </c>
      <c r="F858" s="21" t="str">
        <f>IFERROR(VLOOKUP($G858,'02_REFERENCE'!$A$2:$S$99,17,FALSE),"N/A")</f>
        <v>N/A</v>
      </c>
      <c r="G858" s="21" t="inlineStr"/>
      <c r="H858" s="21" t="inlineStr">
        <is>
          <t>False Positive</t>
        </is>
      </c>
      <c r="I858" s="21" t="inlineStr">
        <is>
          <t>FP</t>
        </is>
      </c>
      <c r="J858" s="21" t="inlineStr">
        <is>
          <t>M</t>
        </is>
      </c>
      <c r="K858" s="21" t="inlineStr">
        <is>
          <t>N</t>
        </is>
      </c>
      <c r="L858" s="21" t="inlineStr">
        <is>
          <t>No</t>
        </is>
      </c>
      <c r="M858" s="21" t="inlineStr"/>
      <c r="N858" s="22" t="inlineStr">
        <is>
          <t>No reference threat corresponds to this finding's mechanism (scoring found no class with sufficient evidence).</t>
        </is>
      </c>
      <c r="O858" s="5" t="inlineStr"/>
      <c r="P858" s="16" t="inlineStr">
        <is>
          <t>Account or Recovery-State Enumeration</t>
        </is>
      </c>
      <c r="Q858" s="16" t="inlineStr">
        <is>
          <t>EE1 → P1 → P2 → P1 → EE1</t>
        </is>
      </c>
      <c r="R858" s="16" t="inlineStr"/>
      <c r="S858" s="5" t="inlineStr">
        <is>
          <t>Confirmed</t>
        </is>
      </c>
    </row>
    <row r="859" ht="16" customHeight="1">
      <c r="A859" s="5" t="inlineStr">
        <is>
          <t>CHATGPT-S3-F023</t>
        </is>
      </c>
      <c r="B859" s="5" t="inlineStr">
        <is>
          <t>CHATGPT</t>
        </is>
      </c>
      <c r="C859" s="5" t="inlineStr">
        <is>
          <t>S3</t>
        </is>
      </c>
      <c r="D859" s="21" t="str">
        <f>IFERROR(VLOOKUP($G859,'02_REFERENCE'!$A$2:$S$99,4,FALSE),"N/A")</f>
        <v>Denial of Service</v>
      </c>
      <c r="E859" s="21" t="str">
        <f>IFERROR(VLOOKUP($G859,'02_REFERENCE'!$A$2:$S$99,15,FALSE),"N/A")</f>
        <v>Medium</v>
      </c>
      <c r="F859" s="21" t="str">
        <f>IFERROR(VLOOKUP($G859,'02_REFERENCE'!$A$2:$S$99,17,FALSE),"N/A")</f>
        <v>Yes</v>
      </c>
      <c r="G859" s="21" t="inlineStr">
        <is>
          <t>S3-RT-033</t>
        </is>
      </c>
      <c r="H859" s="21" t="inlineStr">
        <is>
          <t>Primary TP</t>
        </is>
      </c>
      <c r="I859" s="21" t="inlineStr">
        <is>
          <t>TP</t>
        </is>
      </c>
      <c r="J859" s="21" t="inlineStr">
        <is>
          <t>M</t>
        </is>
      </c>
      <c r="K859" s="21" t="inlineStr">
        <is>
          <t>Y</t>
        </is>
      </c>
      <c r="L859" s="21" t="inlineStr">
        <is>
          <t>No</t>
        </is>
      </c>
      <c r="M859" s="21" t="inlineStr"/>
      <c r="N859" s="22" t="inlineStr">
        <is>
          <t>Mechanism class dos_service (victim-based DoS routing); evidence: Resource Consumption</t>
        </is>
      </c>
      <c r="O859" s="5" t="inlineStr">
        <is>
          <t>dos_service</t>
        </is>
      </c>
      <c r="P859" s="16" t="inlineStr">
        <is>
          <t>Unbounded AI Resource Consumption</t>
        </is>
      </c>
      <c r="Q859" s="16" t="inlineStr">
        <is>
          <t>EE1 → P1 → P4 → P5 → EE2</t>
        </is>
      </c>
      <c r="R859" s="16" t="inlineStr"/>
      <c r="S859" s="5" t="inlineStr">
        <is>
          <t>Confirmed</t>
        </is>
      </c>
    </row>
    <row r="860" ht="16" customHeight="1">
      <c r="A860" s="5" t="inlineStr">
        <is>
          <t>CHATGPT-S3-F024</t>
        </is>
      </c>
      <c r="B860" s="5" t="inlineStr">
        <is>
          <t>CHATGPT</t>
        </is>
      </c>
      <c r="C860" s="5" t="inlineStr">
        <is>
          <t>S3</t>
        </is>
      </c>
      <c r="D860" s="21" t="str">
        <f>IFERROR(VLOOKUP($G860,'02_REFERENCE'!$A$2:$S$99,4,FALSE),"N/A")</f>
        <v>Tampering</v>
      </c>
      <c r="E860" s="21" t="str">
        <f>IFERROR(VLOOKUP($G860,'02_REFERENCE'!$A$2:$S$99,15,FALSE),"N/A")</f>
        <v>High</v>
      </c>
      <c r="F860" s="21" t="str">
        <f>IFERROR(VLOOKUP($G860,'02_REFERENCE'!$A$2:$S$99,17,FALSE),"N/A")</f>
        <v>Yes</v>
      </c>
      <c r="G860" s="21" t="inlineStr">
        <is>
          <t>S3-RT-019</t>
        </is>
      </c>
      <c r="H860" s="21" t="inlineStr">
        <is>
          <t>Duplicate</t>
        </is>
      </c>
      <c r="I860" s="21" t="inlineStr">
        <is>
          <t>TP</t>
        </is>
      </c>
      <c r="J860" s="21" t="inlineStr">
        <is>
          <t>H</t>
        </is>
      </c>
      <c r="K860" s="21" t="inlineStr">
        <is>
          <t>N</t>
        </is>
      </c>
      <c r="L860" s="21" t="inlineStr">
        <is>
          <t>Yes</t>
        </is>
      </c>
      <c r="M860" s="21" t="inlineStr">
        <is>
          <t>CHATGPT-S3-F009</t>
        </is>
      </c>
      <c r="N860" s="22" t="inlineStr">
        <is>
          <t>Mechanism class prompt_injection_direct; evidence: Prompt injection; Prompt inject; Prompt inject [Equivalence: restates CHATGPT-S3-F009 — one-to-one rule applied.]</t>
        </is>
      </c>
      <c r="O860" s="5" t="inlineStr">
        <is>
          <t>prompt_injection_direct</t>
        </is>
      </c>
      <c r="P860" s="16" t="inlineStr">
        <is>
          <t>Context Boundary Confusion</t>
        </is>
      </c>
      <c r="Q860" s="16" t="inlineStr">
        <is>
          <t>EE1 → P1 → P4 → P5 → EE2</t>
        </is>
      </c>
      <c r="R860" s="16" t="inlineStr"/>
      <c r="S860" s="5" t="inlineStr">
        <is>
          <t>Confirmed</t>
        </is>
      </c>
    </row>
    <row r="861" ht="16" customHeight="1">
      <c r="A861" s="5" t="inlineStr">
        <is>
          <t>CHATGPT-S3-F025</t>
        </is>
      </c>
      <c r="B861" s="5" t="inlineStr">
        <is>
          <t>CHATGPT</t>
        </is>
      </c>
      <c r="C861" s="5" t="inlineStr">
        <is>
          <t>S3</t>
        </is>
      </c>
      <c r="D861" s="21" t="str">
        <f>IFERROR(VLOOKUP($G861,'02_REFERENCE'!$A$2:$S$99,4,FALSE),"N/A")</f>
        <v>N/A</v>
      </c>
      <c r="E861" s="21" t="str">
        <f>IFERROR(VLOOKUP($G861,'02_REFERENCE'!$A$2:$S$99,15,FALSE),"N/A")</f>
        <v>N/A</v>
      </c>
      <c r="F861" s="21" t="str">
        <f>IFERROR(VLOOKUP($G861,'02_REFERENCE'!$A$2:$S$99,17,FALSE),"N/A")</f>
        <v>N/A</v>
      </c>
      <c r="G861" s="21" t="inlineStr"/>
      <c r="H861" s="21" t="inlineStr">
        <is>
          <t>False Positive</t>
        </is>
      </c>
      <c r="I861" s="21" t="inlineStr">
        <is>
          <t>FP</t>
        </is>
      </c>
      <c r="J861" s="21" t="inlineStr">
        <is>
          <t>M</t>
        </is>
      </c>
      <c r="K861" s="21" t="inlineStr">
        <is>
          <t>N</t>
        </is>
      </c>
      <c r="L861" s="21" t="inlineStr">
        <is>
          <t>No</t>
        </is>
      </c>
      <c r="M861" s="21" t="inlineStr"/>
      <c r="N861" s="22" t="inlineStr">
        <is>
          <t>No reference threat corresponds to this finding's mechanism (scoring found no class with sufficient evidence).</t>
        </is>
      </c>
      <c r="O861" s="5" t="inlineStr"/>
      <c r="P861" s="16" t="inlineStr">
        <is>
          <t>AI-Driven Unauthorized Profile Modification</t>
        </is>
      </c>
      <c r="Q861" s="16" t="inlineStr">
        <is>
          <t>P4/P5 → P1 → P3 → DS1</t>
        </is>
      </c>
      <c r="R861" s="16" t="inlineStr"/>
      <c r="S861" s="5" t="inlineStr">
        <is>
          <t>Confirmed</t>
        </is>
      </c>
    </row>
    <row r="862" ht="16" customHeight="1">
      <c r="A862" s="5" t="inlineStr">
        <is>
          <t>CHATGPT-S3-F026</t>
        </is>
      </c>
      <c r="B862" s="5" t="inlineStr">
        <is>
          <t>CHATGPT</t>
        </is>
      </c>
      <c r="C862" s="5" t="inlineStr">
        <is>
          <t>S3</t>
        </is>
      </c>
      <c r="D862" s="21" t="str">
        <f>IFERROR(VLOOKUP($G862,'02_REFERENCE'!$A$2:$S$99,4,FALSE),"N/A")</f>
        <v>Elevation of Privilege</v>
      </c>
      <c r="E862" s="21" t="str">
        <f>IFERROR(VLOOKUP($G862,'02_REFERENCE'!$A$2:$S$99,15,FALSE),"N/A")</f>
        <v>High</v>
      </c>
      <c r="F862" s="21" t="str">
        <f>IFERROR(VLOOKUP($G862,'02_REFERENCE'!$A$2:$S$99,17,FALSE),"N/A")</f>
        <v>No</v>
      </c>
      <c r="G862" s="21" t="inlineStr">
        <is>
          <t>S3-RT-034</t>
        </is>
      </c>
      <c r="H862" s="21" t="inlineStr">
        <is>
          <t>Primary TP</t>
        </is>
      </c>
      <c r="I862" s="21" t="inlineStr">
        <is>
          <t>TP</t>
        </is>
      </c>
      <c r="J862" s="21" t="inlineStr">
        <is>
          <t>M</t>
        </is>
      </c>
      <c r="K862" s="21" t="inlineStr">
        <is>
          <t>Y</t>
        </is>
      </c>
      <c r="L862" s="21" t="inlineStr">
        <is>
          <t>No</t>
        </is>
      </c>
      <c r="M862" s="21" t="inlineStr"/>
      <c r="N862" s="22" t="inlineStr">
        <is>
          <t>Mechanism class access_bypass_logic; evidence: Authorization Bypass</t>
        </is>
      </c>
      <c r="O862" s="5" t="inlineStr">
        <is>
          <t>access_bypass_logic</t>
        </is>
      </c>
      <c r="P862" s="16" t="inlineStr">
        <is>
          <t>Account Recovery Authorization Bypass</t>
        </is>
      </c>
      <c r="Q862" s="16" t="inlineStr">
        <is>
          <t>EE1 → P1 → P2; P2 → DS1/DS2</t>
        </is>
      </c>
      <c r="R862" s="16" t="inlineStr"/>
      <c r="S862" s="5" t="inlineStr">
        <is>
          <t>Confirmed</t>
        </is>
      </c>
    </row>
    <row r="863" ht="16" customHeight="1">
      <c r="A863" s="5" t="inlineStr">
        <is>
          <t>CHATGPT-S3-F027</t>
        </is>
      </c>
      <c r="B863" s="5" t="inlineStr">
        <is>
          <t>CHATGPT</t>
        </is>
      </c>
      <c r="C863" s="5" t="inlineStr">
        <is>
          <t>S3</t>
        </is>
      </c>
      <c r="D863" s="21" t="str">
        <f>IFERROR(VLOOKUP($G863,'02_REFERENCE'!$A$2:$S$99,4,FALSE),"N/A")</f>
        <v>Spoofing</v>
      </c>
      <c r="E863" s="21" t="str">
        <f>IFERROR(VLOOKUP($G863,'02_REFERENCE'!$A$2:$S$99,15,FALSE),"N/A")</f>
        <v>Critical</v>
      </c>
      <c r="F863" s="21" t="str">
        <f>IFERROR(VLOOKUP($G863,'02_REFERENCE'!$A$2:$S$99,17,FALSE),"N/A")</f>
        <v>No</v>
      </c>
      <c r="G863" s="21" t="inlineStr">
        <is>
          <t>S3-RT-001</t>
        </is>
      </c>
      <c r="H863" s="21" t="inlineStr">
        <is>
          <t>Primary TP</t>
        </is>
      </c>
      <c r="I863" s="21" t="inlineStr">
        <is>
          <t>TP</t>
        </is>
      </c>
      <c r="J863" s="21" t="inlineStr">
        <is>
          <t>M</t>
        </is>
      </c>
      <c r="K863" s="21" t="inlineStr">
        <is>
          <t>Y</t>
        </is>
      </c>
      <c r="L863" s="21" t="inlineStr">
        <is>
          <t>No</t>
        </is>
      </c>
      <c r="M863" s="21" t="inlineStr"/>
      <c r="N863" s="22" t="inlineStr">
        <is>
          <t>Mechanism class verif_bypass_guessable; evidence: Recovery Verification Data Manipulat</t>
        </is>
      </c>
      <c r="O863" s="5" t="inlineStr">
        <is>
          <t>verif_bypass_guessable</t>
        </is>
      </c>
      <c r="P863" s="16" t="inlineStr">
        <is>
          <t>Recovery Verification Data Manipulation</t>
        </is>
      </c>
      <c r="Q863" s="16" t="inlineStr">
        <is>
          <t>EE1 → P1 → P2 → DS1</t>
        </is>
      </c>
      <c r="R863" s="16" t="inlineStr"/>
      <c r="S863" s="5" t="inlineStr">
        <is>
          <t>Confirmed</t>
        </is>
      </c>
    </row>
    <row r="864" ht="16" customHeight="1">
      <c r="A864" s="5" t="inlineStr">
        <is>
          <t>CHATGPT-S3-F028</t>
        </is>
      </c>
      <c r="B864" s="5" t="inlineStr">
        <is>
          <t>CHATGPT</t>
        </is>
      </c>
      <c r="C864" s="5" t="inlineStr">
        <is>
          <t>S3</t>
        </is>
      </c>
      <c r="D864" s="21" t="str">
        <f>IFERROR(VLOOKUP($G864,'02_REFERENCE'!$A$2:$S$99,4,FALSE),"N/A")</f>
        <v>Spoofing</v>
      </c>
      <c r="E864" s="21" t="str">
        <f>IFERROR(VLOOKUP($G864,'02_REFERENCE'!$A$2:$S$99,15,FALSE),"N/A")</f>
        <v>High</v>
      </c>
      <c r="F864" s="21" t="str">
        <f>IFERROR(VLOOKUP($G864,'02_REFERENCE'!$A$2:$S$99,17,FALSE),"N/A")</f>
        <v>No</v>
      </c>
      <c r="G864" s="21" t="inlineStr">
        <is>
          <t>S3-RT-004</t>
        </is>
      </c>
      <c r="H864" s="21" t="inlineStr">
        <is>
          <t>Duplicate</t>
        </is>
      </c>
      <c r="I864" s="21" t="inlineStr">
        <is>
          <t>TP</t>
        </is>
      </c>
      <c r="J864" s="21" t="inlineStr">
        <is>
          <t>H</t>
        </is>
      </c>
      <c r="K864" s="21" t="inlineStr">
        <is>
          <t>N</t>
        </is>
      </c>
      <c r="L864" s="21" t="inlineStr">
        <is>
          <t>Yes</t>
        </is>
      </c>
      <c r="M864" s="21" t="inlineStr">
        <is>
          <t>CHATGPT-S3-F004</t>
        </is>
      </c>
      <c r="N864" s="22" t="inlineStr">
        <is>
          <t>Mechanism class token_replay; evidence: Replay; token and attempts to reuse [Equivalence: restates CHATGPT-S3-F004 — one-to-one rule applied.]</t>
        </is>
      </c>
      <c r="O864" s="5" t="inlineStr">
        <is>
          <t>token_replay</t>
        </is>
      </c>
      <c r="P864" s="16" t="inlineStr">
        <is>
          <t>Recovery Token Replay</t>
        </is>
      </c>
      <c r="Q864" s="16" t="inlineStr">
        <is>
          <t>P2 ↔ DS2; recovery token validation</t>
        </is>
      </c>
      <c r="R864" s="16" t="inlineStr"/>
      <c r="S864" s="5" t="inlineStr">
        <is>
          <t>Confirmed</t>
        </is>
      </c>
    </row>
    <row r="865" ht="16" customHeight="1">
      <c r="A865" s="5" t="inlineStr">
        <is>
          <t>CHATGPT-S3-F029</t>
        </is>
      </c>
      <c r="B865" s="5" t="inlineStr">
        <is>
          <t>CHATGPT</t>
        </is>
      </c>
      <c r="C865" s="5" t="inlineStr">
        <is>
          <t>S3</t>
        </is>
      </c>
      <c r="D865" s="21" t="str">
        <f>IFERROR(VLOOKUP($G865,'02_REFERENCE'!$A$2:$S$99,4,FALSE),"N/A")</f>
        <v>Spoofing</v>
      </c>
      <c r="E865" s="21" t="str">
        <f>IFERROR(VLOOKUP($G865,'02_REFERENCE'!$A$2:$S$99,15,FALSE),"N/A")</f>
        <v>High</v>
      </c>
      <c r="F865" s="21" t="str">
        <f>IFERROR(VLOOKUP($G865,'02_REFERENCE'!$A$2:$S$99,17,FALSE),"N/A")</f>
        <v>No</v>
      </c>
      <c r="G865" s="21" t="inlineStr">
        <is>
          <t>S3-RT-003</t>
        </is>
      </c>
      <c r="H865" s="21" t="inlineStr">
        <is>
          <t>Duplicate</t>
        </is>
      </c>
      <c r="I865" s="21" t="inlineStr">
        <is>
          <t>TP</t>
        </is>
      </c>
      <c r="J865" s="21" t="inlineStr">
        <is>
          <t>H</t>
        </is>
      </c>
      <c r="K865" s="21" t="inlineStr">
        <is>
          <t>N</t>
        </is>
      </c>
      <c r="L865" s="21" t="inlineStr">
        <is>
          <t>Yes</t>
        </is>
      </c>
      <c r="M865" s="21" t="inlineStr">
        <is>
          <t>CHATGPT-S3-F003</t>
        </is>
      </c>
      <c r="N865" s="22" t="inlineStr">
        <is>
          <t>Mechanism class transit_token; evidence: Tokens Recovery tokens are accidentally expos; Exposure of Recovery Tokens Recovery token [Equivalence: restates CHATGPT-S3-F003 — one-to-one rule applied.]</t>
        </is>
      </c>
      <c r="O865" s="5" t="inlineStr">
        <is>
          <t>transit_token</t>
        </is>
      </c>
      <c r="P865" s="16" t="inlineStr">
        <is>
          <t>Exposure of Recovery Tokens</t>
        </is>
      </c>
      <c r="Q865" s="16" t="inlineStr">
        <is>
          <t>P2 ↔ DS2; P1 ↔ P2; P4/P5 → EE2</t>
        </is>
      </c>
      <c r="R865" s="16" t="inlineStr"/>
      <c r="S865" s="5" t="inlineStr">
        <is>
          <t>Confirmed</t>
        </is>
      </c>
    </row>
    <row r="866" ht="16" customHeight="1">
      <c r="A866" s="5" t="inlineStr">
        <is>
          <t>CHATGPT-S3-F030</t>
        </is>
      </c>
      <c r="B866" s="5" t="inlineStr">
        <is>
          <t>CHATGPT</t>
        </is>
      </c>
      <c r="C866" s="5" t="inlineStr">
        <is>
          <t>S3</t>
        </is>
      </c>
      <c r="D866" s="21" t="str">
        <f>IFERROR(VLOOKUP($G866,'02_REFERENCE'!$A$2:$S$99,4,FALSE),"N/A")</f>
        <v>N/A</v>
      </c>
      <c r="E866" s="21" t="str">
        <f>IFERROR(VLOOKUP($G866,'02_REFERENCE'!$A$2:$S$99,15,FALSE),"N/A")</f>
        <v>N/A</v>
      </c>
      <c r="F866" s="21" t="str">
        <f>IFERROR(VLOOKUP($G866,'02_REFERENCE'!$A$2:$S$99,17,FALSE),"N/A")</f>
        <v>N/A</v>
      </c>
      <c r="G866" s="21" t="inlineStr"/>
      <c r="H866" s="21" t="inlineStr">
        <is>
          <t>False Positive</t>
        </is>
      </c>
      <c r="I866" s="21" t="inlineStr">
        <is>
          <t>FP</t>
        </is>
      </c>
      <c r="J866" s="21" t="inlineStr">
        <is>
          <t>M</t>
        </is>
      </c>
      <c r="K866" s="21" t="inlineStr">
        <is>
          <t>N</t>
        </is>
      </c>
      <c r="L866" s="21" t="inlineStr">
        <is>
          <t>No</t>
        </is>
      </c>
      <c r="M866" s="21" t="inlineStr"/>
      <c r="N866" s="22" t="inlineStr">
        <is>
          <t>No reference threat corresponds to this finding's mechanism (scoring found no class with sufficient evidence).</t>
        </is>
      </c>
      <c r="O866" s="5" t="inlineStr"/>
      <c r="P866" s="16" t="inlineStr">
        <is>
          <t>AI-Assisted Identity Verification Manipulation</t>
        </is>
      </c>
      <c r="Q866" s="16" t="inlineStr">
        <is>
          <t>EE1 → P4 → P5 → EE2; P4 → EE1</t>
        </is>
      </c>
      <c r="R866" s="16" t="inlineStr"/>
      <c r="S866" s="5" t="inlineStr">
        <is>
          <t>Confirmed</t>
        </is>
      </c>
    </row>
    <row r="867" ht="16" customHeight="1">
      <c r="A867" s="5" t="inlineStr">
        <is>
          <t>CHATGPT-S3-F031</t>
        </is>
      </c>
      <c r="B867" s="5" t="inlineStr">
        <is>
          <t>CHATGPT</t>
        </is>
      </c>
      <c r="C867" s="5" t="inlineStr">
        <is>
          <t>S3</t>
        </is>
      </c>
      <c r="D867" s="21" t="str">
        <f>IFERROR(VLOOKUP($G867,'02_REFERENCE'!$A$2:$S$99,4,FALSE),"N/A")</f>
        <v>Tampering</v>
      </c>
      <c r="E867" s="21" t="str">
        <f>IFERROR(VLOOKUP($G867,'02_REFERENCE'!$A$2:$S$99,15,FALSE),"N/A")</f>
        <v>High</v>
      </c>
      <c r="F867" s="21" t="str">
        <f>IFERROR(VLOOKUP($G867,'02_REFERENCE'!$A$2:$S$99,17,FALSE),"N/A")</f>
        <v>Yes</v>
      </c>
      <c r="G867" s="21" t="inlineStr">
        <is>
          <t>S3-RT-019</t>
        </is>
      </c>
      <c r="H867" s="21" t="inlineStr">
        <is>
          <t>Duplicate</t>
        </is>
      </c>
      <c r="I867" s="21" t="inlineStr">
        <is>
          <t>TP</t>
        </is>
      </c>
      <c r="J867" s="21" t="inlineStr">
        <is>
          <t>H</t>
        </is>
      </c>
      <c r="K867" s="21" t="inlineStr">
        <is>
          <t>N</t>
        </is>
      </c>
      <c r="L867" s="21" t="inlineStr">
        <is>
          <t>Yes</t>
        </is>
      </c>
      <c r="M867" s="21" t="inlineStr">
        <is>
          <t>CHATGPT-S3-F009</t>
        </is>
      </c>
      <c r="N867" s="22" t="inlineStr">
        <is>
          <t>Mechanism class prompt_injection_direct; evidence: Prompt Injection; Prompt Inject; Prompt Inject [Equivalence: restates CHATGPT-S3-F009 — one-to-one rule applied.]</t>
        </is>
      </c>
      <c r="O867" s="5" t="inlineStr">
        <is>
          <t>prompt_injection_direct</t>
        </is>
      </c>
      <c r="P867" s="16" t="inlineStr">
        <is>
          <t>Recovery-Input Prompt Injection</t>
        </is>
      </c>
      <c r="Q867" s="16" t="inlineStr">
        <is>
          <t>EE1 → P1 → P4/P5 → EE2</t>
        </is>
      </c>
      <c r="R867" s="16" t="inlineStr"/>
      <c r="S867" s="5" t="inlineStr">
        <is>
          <t>Confirmed</t>
        </is>
      </c>
    </row>
    <row r="868" ht="16" customHeight="1">
      <c r="A868" s="5" t="inlineStr">
        <is>
          <t>CHATGPT-S3-F032</t>
        </is>
      </c>
      <c r="B868" s="5" t="inlineStr">
        <is>
          <t>CHATGPT</t>
        </is>
      </c>
      <c r="C868" s="5" t="inlineStr">
        <is>
          <t>S3</t>
        </is>
      </c>
      <c r="D868" s="21" t="str">
        <f>IFERROR(VLOOKUP($G868,'02_REFERENCE'!$A$2:$S$99,4,FALSE),"N/A")</f>
        <v>N/A</v>
      </c>
      <c r="E868" s="21" t="str">
        <f>IFERROR(VLOOKUP($G868,'02_REFERENCE'!$A$2:$S$99,15,FALSE),"N/A")</f>
        <v>N/A</v>
      </c>
      <c r="F868" s="21" t="str">
        <f>IFERROR(VLOOKUP($G868,'02_REFERENCE'!$A$2:$S$99,17,FALSE),"N/A")</f>
        <v>N/A</v>
      </c>
      <c r="G868" s="21" t="inlineStr"/>
      <c r="H868" s="21" t="inlineStr">
        <is>
          <t>False Positive</t>
        </is>
      </c>
      <c r="I868" s="21" t="inlineStr">
        <is>
          <t>FP</t>
        </is>
      </c>
      <c r="J868" s="21" t="inlineStr">
        <is>
          <t>M</t>
        </is>
      </c>
      <c r="K868" s="21" t="inlineStr">
        <is>
          <t>N</t>
        </is>
      </c>
      <c r="L868" s="21" t="inlineStr">
        <is>
          <t>No</t>
        </is>
      </c>
      <c r="M868" s="21" t="inlineStr"/>
      <c r="N868" s="22" t="inlineStr">
        <is>
          <t>Template-class malicious_upload (no reference threat): Malicious Content</t>
        </is>
      </c>
      <c r="O868" s="5" t="inlineStr">
        <is>
          <t>malicious_upload</t>
        </is>
      </c>
      <c r="P868" s="16" t="inlineStr">
        <is>
          <t>Malicious Content in LLM Context</t>
        </is>
      </c>
      <c r="Q868" s="16" t="inlineStr">
        <is>
          <t>DS1 → P5 → EE2 → P4</t>
        </is>
      </c>
      <c r="R868" s="16" t="inlineStr"/>
      <c r="S868" s="5" t="inlineStr">
        <is>
          <t>Confirmed</t>
        </is>
      </c>
    </row>
    <row r="869" ht="16" customHeight="1">
      <c r="A869" s="5" t="inlineStr">
        <is>
          <t>CHATGPT-S3-F033</t>
        </is>
      </c>
      <c r="B869" s="5" t="inlineStr">
        <is>
          <t>CHATGPT</t>
        </is>
      </c>
      <c r="C869" s="5" t="inlineStr">
        <is>
          <t>S3</t>
        </is>
      </c>
      <c r="D869" s="21" t="str">
        <f>IFERROR(VLOOKUP($G869,'02_REFERENCE'!$A$2:$S$99,4,FALSE),"N/A")</f>
        <v>Information Disclosure</v>
      </c>
      <c r="E869" s="21" t="str">
        <f>IFERROR(VLOOKUP($G869,'02_REFERENCE'!$A$2:$S$99,15,FALSE),"N/A")</f>
        <v>High</v>
      </c>
      <c r="F869" s="21" t="str">
        <f>IFERROR(VLOOKUP($G869,'02_REFERENCE'!$A$2:$S$99,17,FALSE),"N/A")</f>
        <v>Yes</v>
      </c>
      <c r="G869" s="21" t="inlineStr">
        <is>
          <t>S3-RT-021</t>
        </is>
      </c>
      <c r="H869" s="21" t="inlineStr">
        <is>
          <t>Primary TP</t>
        </is>
      </c>
      <c r="I869" s="21" t="inlineStr">
        <is>
          <t>TP</t>
        </is>
      </c>
      <c r="J869" s="21" t="inlineStr">
        <is>
          <t>H</t>
        </is>
      </c>
      <c r="K869" s="21" t="inlineStr">
        <is>
          <t>Y</t>
        </is>
      </c>
      <c r="L869" s="21" t="inlineStr">
        <is>
          <t>No</t>
        </is>
      </c>
      <c r="M869" s="21" t="inlineStr"/>
      <c r="N869" s="22" t="inlineStr">
        <is>
          <t>Mechanism class sensitive_to_llm; evidence: included in approved LLM; account information is accidentally included in approved LLM</t>
        </is>
      </c>
      <c r="O869" s="5" t="inlineStr">
        <is>
          <t>sensitive_to_llm</t>
        </is>
      </c>
      <c r="P869" s="16" t="inlineStr">
        <is>
          <t>Unauthorized Disclosure of Account Information</t>
        </is>
      </c>
      <c r="Q869" s="16" t="inlineStr">
        <is>
          <t>DS1 → P5 → EE2; P4 → EE1</t>
        </is>
      </c>
      <c r="R869" s="16" t="inlineStr"/>
      <c r="S869" s="5" t="inlineStr">
        <is>
          <t>Confirmed</t>
        </is>
      </c>
    </row>
    <row r="870" ht="16" customHeight="1">
      <c r="A870" s="5" t="inlineStr">
        <is>
          <t>CHATGPT-S3-F034</t>
        </is>
      </c>
      <c r="B870" s="5" t="inlineStr">
        <is>
          <t>CHATGPT</t>
        </is>
      </c>
      <c r="C870" s="5" t="inlineStr">
        <is>
          <t>S3</t>
        </is>
      </c>
      <c r="D870" s="21" t="str">
        <f>IFERROR(VLOOKUP($G870,'02_REFERENCE'!$A$2:$S$99,4,FALSE),"N/A")</f>
        <v>N/A</v>
      </c>
      <c r="E870" s="21" t="str">
        <f>IFERROR(VLOOKUP($G870,'02_REFERENCE'!$A$2:$S$99,15,FALSE),"N/A")</f>
        <v>N/A</v>
      </c>
      <c r="F870" s="21" t="str">
        <f>IFERROR(VLOOKUP($G870,'02_REFERENCE'!$A$2:$S$99,17,FALSE),"N/A")</f>
        <v>N/A</v>
      </c>
      <c r="G870" s="21" t="inlineStr"/>
      <c r="H870" s="21" t="inlineStr">
        <is>
          <t>False Positive</t>
        </is>
      </c>
      <c r="I870" s="21" t="inlineStr">
        <is>
          <t>FP</t>
        </is>
      </c>
      <c r="J870" s="21" t="inlineStr">
        <is>
          <t>M</t>
        </is>
      </c>
      <c r="K870" s="21" t="inlineStr">
        <is>
          <t>N</t>
        </is>
      </c>
      <c r="L870" s="21" t="inlineStr">
        <is>
          <t>No</t>
        </is>
      </c>
      <c r="M870" s="21" t="inlineStr"/>
      <c r="N870" s="22" t="inlineStr">
        <is>
          <t>Template-class malicious_upload (no reference threat): malicious content; returns manipulated, incorrect, or malicious content</t>
        </is>
      </c>
      <c r="O870" s="5" t="inlineStr">
        <is>
          <t>malicious_upload</t>
        </is>
      </c>
      <c r="P870" s="16" t="inlineStr">
        <is>
          <t>Malicious or Misleading LLM Output</t>
        </is>
      </c>
      <c r="Q870" s="16" t="inlineStr">
        <is>
          <t>EE2 → P5 → P4 → P1 → EE1</t>
        </is>
      </c>
      <c r="R870" s="16" t="inlineStr"/>
      <c r="S870" s="5" t="inlineStr">
        <is>
          <t>Confirmed</t>
        </is>
      </c>
    </row>
    <row r="871" ht="16" customHeight="1">
      <c r="A871" s="5" t="inlineStr">
        <is>
          <t>CHATGPT-S3-F035</t>
        </is>
      </c>
      <c r="B871" s="5" t="inlineStr">
        <is>
          <t>CHATGPT</t>
        </is>
      </c>
      <c r="C871" s="5" t="inlineStr">
        <is>
          <t>S3</t>
        </is>
      </c>
      <c r="D871" s="21" t="str">
        <f>IFERROR(VLOOKUP($G871,'02_REFERENCE'!$A$2:$S$99,4,FALSE),"N/A")</f>
        <v>N/A</v>
      </c>
      <c r="E871" s="21" t="str">
        <f>IFERROR(VLOOKUP($G871,'02_REFERENCE'!$A$2:$S$99,15,FALSE),"N/A")</f>
        <v>N/A</v>
      </c>
      <c r="F871" s="21" t="str">
        <f>IFERROR(VLOOKUP($G871,'02_REFERENCE'!$A$2:$S$99,17,FALSE),"N/A")</f>
        <v>N/A</v>
      </c>
      <c r="G871" s="21" t="inlineStr"/>
      <c r="H871" s="21" t="inlineStr">
        <is>
          <t>False Positive</t>
        </is>
      </c>
      <c r="I871" s="21" t="inlineStr">
        <is>
          <t>FP</t>
        </is>
      </c>
      <c r="J871" s="21" t="inlineStr">
        <is>
          <t>M</t>
        </is>
      </c>
      <c r="K871" s="21" t="inlineStr">
        <is>
          <t>N</t>
        </is>
      </c>
      <c r="L871" s="21" t="inlineStr">
        <is>
          <t>No</t>
        </is>
      </c>
      <c r="M871" s="21" t="inlineStr"/>
      <c r="N871" s="22" t="inlineStr">
        <is>
          <t>No reference threat corresponds to this finding's mechanism (scoring found no class with sufficient evidence).</t>
        </is>
      </c>
      <c r="O871" s="5" t="inlineStr"/>
      <c r="P871" s="16" t="inlineStr">
        <is>
          <t>Unauthorized Expansion of AI Authority</t>
        </is>
      </c>
      <c r="Q871" s="16" t="inlineStr">
        <is>
          <t>P4/P5 ↔ P2/P3</t>
        </is>
      </c>
      <c r="R871" s="16" t="inlineStr"/>
      <c r="S871" s="5" t="inlineStr">
        <is>
          <t>Confirmed</t>
        </is>
      </c>
    </row>
    <row r="872" ht="16" customHeight="1">
      <c r="A872" s="5" t="inlineStr">
        <is>
          <t>CHATGPT-S3-F036</t>
        </is>
      </c>
      <c r="B872" s="5" t="inlineStr">
        <is>
          <t>CHATGPT</t>
        </is>
      </c>
      <c r="C872" s="5" t="inlineStr">
        <is>
          <t>S3</t>
        </is>
      </c>
      <c r="D872" s="21" t="str">
        <f>IFERROR(VLOOKUP($G872,'02_REFERENCE'!$A$2:$S$99,4,FALSE),"N/A")</f>
        <v>N/A</v>
      </c>
      <c r="E872" s="21" t="str">
        <f>IFERROR(VLOOKUP($G872,'02_REFERENCE'!$A$2:$S$99,15,FALSE),"N/A")</f>
        <v>N/A</v>
      </c>
      <c r="F872" s="21" t="str">
        <f>IFERROR(VLOOKUP($G872,'02_REFERENCE'!$A$2:$S$99,17,FALSE),"N/A")</f>
        <v>N/A</v>
      </c>
      <c r="G872" s="21" t="inlineStr"/>
      <c r="H872" s="21" t="inlineStr">
        <is>
          <t>False Positive</t>
        </is>
      </c>
      <c r="I872" s="21" t="inlineStr">
        <is>
          <t>FP</t>
        </is>
      </c>
      <c r="J872" s="21" t="inlineStr">
        <is>
          <t>M</t>
        </is>
      </c>
      <c r="K872" s="21" t="inlineStr">
        <is>
          <t>N</t>
        </is>
      </c>
      <c r="L872" s="21" t="inlineStr">
        <is>
          <t>No</t>
        </is>
      </c>
      <c r="M872" s="21" t="inlineStr"/>
      <c r="N872" s="22" t="inlineStr">
        <is>
          <t>No reference threat corresponds to this finding's mechanism (scoring found no class with sufficient evidence).</t>
        </is>
      </c>
      <c r="O872" s="5" t="inlineStr"/>
      <c r="P872" s="16" t="inlineStr">
        <is>
          <t>Profile Update Without Recovery Authorization</t>
        </is>
      </c>
      <c r="Q872" s="16" t="inlineStr">
        <is>
          <t>P1 → P3; P2 → P3; P3 → DS1</t>
        </is>
      </c>
      <c r="R872" s="16" t="inlineStr"/>
      <c r="S872" s="5" t="inlineStr">
        <is>
          <t>Confirmed</t>
        </is>
      </c>
    </row>
    <row r="873" ht="16" customHeight="1">
      <c r="A873" s="5" t="inlineStr">
        <is>
          <t>CHATGPT-S3-F037</t>
        </is>
      </c>
      <c r="B873" s="5" t="inlineStr">
        <is>
          <t>CHATGPT</t>
        </is>
      </c>
      <c r="C873" s="5" t="inlineStr">
        <is>
          <t>S3</t>
        </is>
      </c>
      <c r="D873" s="21" t="str">
        <f>IFERROR(VLOOKUP($G873,'02_REFERENCE'!$A$2:$S$99,4,FALSE),"N/A")</f>
        <v>N/A</v>
      </c>
      <c r="E873" s="21" t="str">
        <f>IFERROR(VLOOKUP($G873,'02_REFERENCE'!$A$2:$S$99,15,FALSE),"N/A")</f>
        <v>N/A</v>
      </c>
      <c r="F873" s="21" t="str">
        <f>IFERROR(VLOOKUP($G873,'02_REFERENCE'!$A$2:$S$99,17,FALSE),"N/A")</f>
        <v>N/A</v>
      </c>
      <c r="G873" s="21" t="inlineStr"/>
      <c r="H873" s="21" t="inlineStr">
        <is>
          <t>False Positive</t>
        </is>
      </c>
      <c r="I873" s="21" t="inlineStr">
        <is>
          <t>FP</t>
        </is>
      </c>
      <c r="J873" s="21" t="inlineStr">
        <is>
          <t>M</t>
        </is>
      </c>
      <c r="K873" s="21" t="inlineStr">
        <is>
          <t>N</t>
        </is>
      </c>
      <c r="L873" s="21" t="inlineStr">
        <is>
          <t>No</t>
        </is>
      </c>
      <c r="M873" s="21" t="inlineStr"/>
      <c r="N873" s="22" t="inlineStr">
        <is>
          <t>Template-class malicious_upload (no reference threat): Malicious Profile</t>
        </is>
      </c>
      <c r="O873" s="5" t="inlineStr">
        <is>
          <t>malicious_upload</t>
        </is>
      </c>
      <c r="P873" s="16" t="inlineStr">
        <is>
          <t>Malicious Profile Update Manipulation</t>
        </is>
      </c>
      <c r="Q873" s="16" t="inlineStr">
        <is>
          <t>EE1 → P1 → P3 → DS1</t>
        </is>
      </c>
      <c r="R873" s="16" t="inlineStr"/>
      <c r="S873" s="5" t="inlineStr">
        <is>
          <t>Confirmed</t>
        </is>
      </c>
    </row>
    <row r="874" ht="16" customHeight="1">
      <c r="A874" s="5" t="inlineStr">
        <is>
          <t>CHATGPT-S3-F038</t>
        </is>
      </c>
      <c r="B874" s="5" t="inlineStr">
        <is>
          <t>CHATGPT</t>
        </is>
      </c>
      <c r="C874" s="5" t="inlineStr">
        <is>
          <t>S3</t>
        </is>
      </c>
      <c r="D874" s="21" t="str">
        <f>IFERROR(VLOOKUP($G874,'02_REFERENCE'!$A$2:$S$99,4,FALSE),"N/A")</f>
        <v>Spoofing</v>
      </c>
      <c r="E874" s="21" t="str">
        <f>IFERROR(VLOOKUP($G874,'02_REFERENCE'!$A$2:$S$99,15,FALSE),"N/A")</f>
        <v>High</v>
      </c>
      <c r="F874" s="21" t="str">
        <f>IFERROR(VLOOKUP($G874,'02_REFERENCE'!$A$2:$S$99,17,FALSE),"N/A")</f>
        <v>No</v>
      </c>
      <c r="G874" s="21" t="inlineStr">
        <is>
          <t>S3-RT-004</t>
        </is>
      </c>
      <c r="H874" s="21" t="inlineStr">
        <is>
          <t>Duplicate</t>
        </is>
      </c>
      <c r="I874" s="21" t="inlineStr">
        <is>
          <t>TP</t>
        </is>
      </c>
      <c r="J874" s="21" t="inlineStr">
        <is>
          <t>M</t>
        </is>
      </c>
      <c r="K874" s="21" t="inlineStr">
        <is>
          <t>N</t>
        </is>
      </c>
      <c r="L874" s="21" t="inlineStr">
        <is>
          <t>Yes</t>
        </is>
      </c>
      <c r="M874" s="21" t="inlineStr">
        <is>
          <t>CHATGPT-S3-F004</t>
        </is>
      </c>
      <c r="N874" s="22" t="inlineStr">
        <is>
          <t>Mechanism class token_replay; evidence: replay; expiration [Equivalence: restates CHATGPT-S3-F004 — one-to-one rule applied.]</t>
        </is>
      </c>
      <c r="O874" s="5" t="inlineStr">
        <is>
          <t>token_replay</t>
        </is>
      </c>
      <c r="P874" s="16" t="inlineStr">
        <is>
          <t>Token Lifecycle Information Leakage</t>
        </is>
      </c>
      <c r="Q874" s="16" t="inlineStr">
        <is>
          <t>DS2 → P2 → P1/P4</t>
        </is>
      </c>
      <c r="R874" s="16" t="inlineStr"/>
      <c r="S874" s="5" t="inlineStr">
        <is>
          <t>Confirmed</t>
        </is>
      </c>
    </row>
    <row r="875" ht="16" customHeight="1">
      <c r="A875" s="5" t="inlineStr">
        <is>
          <t>CHATGPT-S3-F039</t>
        </is>
      </c>
      <c r="B875" s="5" t="inlineStr">
        <is>
          <t>CHATGPT</t>
        </is>
      </c>
      <c r="C875" s="5" t="inlineStr">
        <is>
          <t>S3</t>
        </is>
      </c>
      <c r="D875" s="21" t="str">
        <f>IFERROR(VLOOKUP($G875,'02_REFERENCE'!$A$2:$S$99,4,FALSE),"N/A")</f>
        <v>Information Disclosure</v>
      </c>
      <c r="E875" s="21" t="str">
        <f>IFERROR(VLOOKUP($G875,'02_REFERENCE'!$A$2:$S$99,15,FALSE),"N/A")</f>
        <v>Medium</v>
      </c>
      <c r="F875" s="21" t="str">
        <f>IFERROR(VLOOKUP($G875,'02_REFERENCE'!$A$2:$S$99,17,FALSE),"N/A")</f>
        <v>No</v>
      </c>
      <c r="G875" s="21" t="inlineStr">
        <is>
          <t>S3-RT-015</t>
        </is>
      </c>
      <c r="H875" s="21" t="inlineStr">
        <is>
          <t>Primary TP</t>
        </is>
      </c>
      <c r="I875" s="21" t="inlineStr">
        <is>
          <t>TP</t>
        </is>
      </c>
      <c r="J875" s="21" t="inlineStr">
        <is>
          <t>H</t>
        </is>
      </c>
      <c r="K875" s="21" t="inlineStr">
        <is>
          <t>Y</t>
        </is>
      </c>
      <c r="L875" s="21" t="inlineStr">
        <is>
          <t>No</t>
        </is>
      </c>
      <c r="M875" s="21" t="inlineStr"/>
      <c r="N875" s="22" t="inlineStr">
        <is>
          <t>Mechanism class enumeration; evidence: Enumeration; different identities and compares response; account exists</t>
        </is>
      </c>
      <c r="O875" s="5" t="inlineStr">
        <is>
          <t>enumeration</t>
        </is>
      </c>
      <c r="P875" s="16" t="inlineStr">
        <is>
          <t>Recovery-Based Account Enumeration</t>
        </is>
      </c>
      <c r="Q875" s="16" t="inlineStr">
        <is>
          <t>EE1 → P1 → P2 → P1</t>
        </is>
      </c>
      <c r="R875" s="16" t="inlineStr"/>
      <c r="S875" s="5" t="inlineStr">
        <is>
          <t>Confirmed</t>
        </is>
      </c>
    </row>
    <row r="876" ht="16" customHeight="1">
      <c r="A876" s="5" t="inlineStr">
        <is>
          <t>CHATGPT-S3-F040</t>
        </is>
      </c>
      <c r="B876" s="5" t="inlineStr">
        <is>
          <t>CHATGPT</t>
        </is>
      </c>
      <c r="C876" s="5" t="inlineStr">
        <is>
          <t>S3</t>
        </is>
      </c>
      <c r="D876" s="21" t="str">
        <f>IFERROR(VLOOKUP($G876,'02_REFERENCE'!$A$2:$S$99,4,FALSE),"N/A")</f>
        <v>Information Disclosure</v>
      </c>
      <c r="E876" s="21" t="str">
        <f>IFERROR(VLOOKUP($G876,'02_REFERENCE'!$A$2:$S$99,15,FALSE),"N/A")</f>
        <v>Medium</v>
      </c>
      <c r="F876" s="21" t="str">
        <f>IFERROR(VLOOKUP($G876,'02_REFERENCE'!$A$2:$S$99,17,FALSE),"N/A")</f>
        <v>Yes</v>
      </c>
      <c r="G876" s="21" t="inlineStr">
        <is>
          <t>S3-RT-022</t>
        </is>
      </c>
      <c r="H876" s="21" t="inlineStr">
        <is>
          <t>Primary TP</t>
        </is>
      </c>
      <c r="I876" s="21" t="inlineStr">
        <is>
          <t>TP</t>
        </is>
      </c>
      <c r="J876" s="21" t="inlineStr">
        <is>
          <t>M</t>
        </is>
      </c>
      <c r="K876" s="21" t="inlineStr">
        <is>
          <t>Y</t>
        </is>
      </c>
      <c r="L876" s="21" t="inlineStr">
        <is>
          <t>No</t>
        </is>
      </c>
      <c r="M876" s="21" t="inlineStr"/>
      <c r="N876" s="22" t="inlineStr">
        <is>
          <t>Mechanism class provider_retention; evidence: provider-side; retention mechanism, provider</t>
        </is>
      </c>
      <c r="O876" s="5" t="inlineStr">
        <is>
          <t>provider_retention</t>
        </is>
      </c>
      <c r="P876" s="16" t="inlineStr">
        <is>
          <t>External LLM Provider Compromise or Misuse</t>
        </is>
      </c>
      <c r="Q876" s="16" t="inlineStr">
        <is>
          <t>P5 → EE2 → P5</t>
        </is>
      </c>
      <c r="R876" s="16" t="inlineStr"/>
      <c r="S876" s="5" t="inlineStr">
        <is>
          <t>Confirmed</t>
        </is>
      </c>
    </row>
    <row r="877" ht="16" customHeight="1">
      <c r="A877" s="5" t="inlineStr">
        <is>
          <t>CHATGPT-S3-F041</t>
        </is>
      </c>
      <c r="B877" s="5" t="inlineStr">
        <is>
          <t>CHATGPT</t>
        </is>
      </c>
      <c r="C877" s="5" t="inlineStr">
        <is>
          <t>S3</t>
        </is>
      </c>
      <c r="D877" s="21" t="str">
        <f>IFERROR(VLOOKUP($G877,'02_REFERENCE'!$A$2:$S$99,4,FALSE),"N/A")</f>
        <v>Denial of Service</v>
      </c>
      <c r="E877" s="21" t="str">
        <f>IFERROR(VLOOKUP($G877,'02_REFERENCE'!$A$2:$S$99,15,FALSE),"N/A")</f>
        <v>Medium</v>
      </c>
      <c r="F877" s="21" t="str">
        <f>IFERROR(VLOOKUP($G877,'02_REFERENCE'!$A$2:$S$99,17,FALSE),"N/A")</f>
        <v>No</v>
      </c>
      <c r="G877" s="21" t="inlineStr">
        <is>
          <t>S3-RT-031</t>
        </is>
      </c>
      <c r="H877" s="21" t="inlineStr">
        <is>
          <t>Duplicate</t>
        </is>
      </c>
      <c r="I877" s="21" t="inlineStr">
        <is>
          <t>TP</t>
        </is>
      </c>
      <c r="J877" s="21" t="inlineStr">
        <is>
          <t>L</t>
        </is>
      </c>
      <c r="K877" s="21" t="inlineStr">
        <is>
          <t>N</t>
        </is>
      </c>
      <c r="L877" s="21" t="inlineStr">
        <is>
          <t>Yes</t>
        </is>
      </c>
      <c r="M877" s="21" t="inlineStr">
        <is>
          <t>CHATGPT-S3-F048</t>
        </is>
      </c>
      <c r="N877" s="22" t="inlineStr">
        <is>
          <t>Mechanism class session_store_tamper; evidence: token validity, or permission to modif [Equivalence: restates CHATGPT-S3-F048 — one-to-one rule applied.]</t>
        </is>
      </c>
      <c r="O877" s="5" t="inlineStr">
        <is>
          <t>session_store_tamper</t>
        </is>
      </c>
      <c r="P877" s="16" t="inlineStr">
        <is>
          <t>External LLM Response Manipulation</t>
        </is>
      </c>
      <c r="Q877" s="16" t="inlineStr">
        <is>
          <t>EE2 → P5 → P4</t>
        </is>
      </c>
      <c r="R877" s="16" t="inlineStr"/>
      <c r="S877" s="5" t="inlineStr">
        <is>
          <t>Manual review</t>
        </is>
      </c>
    </row>
    <row r="878" ht="16" customHeight="1">
      <c r="A878" s="5" t="inlineStr">
        <is>
          <t>CHATGPT-S3-F042</t>
        </is>
      </c>
      <c r="B878" s="5" t="inlineStr">
        <is>
          <t>CHATGPT</t>
        </is>
      </c>
      <c r="C878" s="5" t="inlineStr">
        <is>
          <t>S3</t>
        </is>
      </c>
      <c r="D878" s="21" t="str">
        <f>IFERROR(VLOOKUP($G878,'02_REFERENCE'!$A$2:$S$99,4,FALSE),"N/A")</f>
        <v>Information Disclosure</v>
      </c>
      <c r="E878" s="21" t="str">
        <f>IFERROR(VLOOKUP($G878,'02_REFERENCE'!$A$2:$S$99,15,FALSE),"N/A")</f>
        <v>Medium</v>
      </c>
      <c r="F878" s="21" t="str">
        <f>IFERROR(VLOOKUP($G878,'02_REFERENCE'!$A$2:$S$99,17,FALSE),"N/A")</f>
        <v>Yes</v>
      </c>
      <c r="G878" s="21" t="inlineStr">
        <is>
          <t>S3-RT-024</t>
        </is>
      </c>
      <c r="H878" s="21" t="inlineStr">
        <is>
          <t>Duplicate</t>
        </is>
      </c>
      <c r="I878" s="21" t="inlineStr">
        <is>
          <t>TP</t>
        </is>
      </c>
      <c r="J878" s="21" t="inlineStr">
        <is>
          <t>H</t>
        </is>
      </c>
      <c r="K878" s="21" t="inlineStr">
        <is>
          <t>N</t>
        </is>
      </c>
      <c r="L878" s="21" t="inlineStr">
        <is>
          <t>Yes</t>
        </is>
      </c>
      <c r="M878" s="21" t="inlineStr">
        <is>
          <t>CHATGPT-S3-F021</t>
        </is>
      </c>
      <c r="N878" s="22" t="inlineStr">
        <is>
          <t>Mechanism class system_prompt_extract; evidence: reveal internal instruction; Instruction Disclos [Equivalence: restates CHATGPT-S3-F021 — one-to-one rule applied.]</t>
        </is>
      </c>
      <c r="O878" s="5" t="inlineStr">
        <is>
          <t>system_prompt_extract</t>
        </is>
      </c>
      <c r="P878" s="16" t="inlineStr">
        <is>
          <t>AI Instruction Disclosure</t>
        </is>
      </c>
      <c r="Q878" s="16" t="inlineStr">
        <is>
          <t>EE1 → P4/P5; P5 → EE2</t>
        </is>
      </c>
      <c r="R878" s="16" t="inlineStr"/>
      <c r="S878" s="5" t="inlineStr">
        <is>
          <t>Confirmed</t>
        </is>
      </c>
    </row>
    <row r="879" ht="16" customHeight="1">
      <c r="A879" s="5" t="inlineStr">
        <is>
          <t>CHATGPT-S3-F043</t>
        </is>
      </c>
      <c r="B879" s="5" t="inlineStr">
        <is>
          <t>CHATGPT</t>
        </is>
      </c>
      <c r="C879" s="5" t="inlineStr">
        <is>
          <t>S3</t>
        </is>
      </c>
      <c r="D879" s="21" t="str">
        <f>IFERROR(VLOOKUP($G879,'02_REFERENCE'!$A$2:$S$99,4,FALSE),"N/A")</f>
        <v>Denial of Service</v>
      </c>
      <c r="E879" s="21" t="str">
        <f>IFERROR(VLOOKUP($G879,'02_REFERENCE'!$A$2:$S$99,15,FALSE),"N/A")</f>
        <v>High</v>
      </c>
      <c r="F879" s="21" t="str">
        <f>IFERROR(VLOOKUP($G879,'02_REFERENCE'!$A$2:$S$99,17,FALSE),"N/A")</f>
        <v>No</v>
      </c>
      <c r="G879" s="21" t="inlineStr">
        <is>
          <t>S3-RT-030</t>
        </is>
      </c>
      <c r="H879" s="21" t="inlineStr">
        <is>
          <t>Primary TP</t>
        </is>
      </c>
      <c r="I879" s="21" t="inlineStr">
        <is>
          <t>TP</t>
        </is>
      </c>
      <c r="J879" s="21" t="inlineStr">
        <is>
          <t>M</t>
        </is>
      </c>
      <c r="K879" s="21" t="inlineStr">
        <is>
          <t>Y</t>
        </is>
      </c>
      <c r="L879" s="21" t="inlineStr">
        <is>
          <t>No</t>
        </is>
      </c>
      <c r="M879" s="21" t="inlineStr"/>
      <c r="N879" s="22" t="inlineStr">
        <is>
          <t>Mechanism class dos_service (victim-based DoS routing); evidence: Denial of Service</t>
        </is>
      </c>
      <c r="O879" s="5" t="inlineStr">
        <is>
          <t>dos_service</t>
        </is>
      </c>
      <c r="P879" s="16" t="inlineStr">
        <is>
          <t>AI-Assisted Denial of Service</t>
        </is>
      </c>
      <c r="Q879" s="16" t="inlineStr">
        <is>
          <t>EE1 → P1 → P4/P5 → EE2</t>
        </is>
      </c>
      <c r="R879" s="16" t="inlineStr"/>
      <c r="S879" s="5" t="inlineStr">
        <is>
          <t>Confirmed</t>
        </is>
      </c>
    </row>
    <row r="880" ht="16" customHeight="1">
      <c r="A880" s="5" t="inlineStr">
        <is>
          <t>CHATGPT-S3-F044</t>
        </is>
      </c>
      <c r="B880" s="5" t="inlineStr">
        <is>
          <t>CHATGPT</t>
        </is>
      </c>
      <c r="C880" s="5" t="inlineStr">
        <is>
          <t>S3</t>
        </is>
      </c>
      <c r="D880" s="21" t="str">
        <f>IFERROR(VLOOKUP($G880,'02_REFERENCE'!$A$2:$S$99,4,FALSE),"N/A")</f>
        <v>N/A</v>
      </c>
      <c r="E880" s="21" t="str">
        <f>IFERROR(VLOOKUP($G880,'02_REFERENCE'!$A$2:$S$99,15,FALSE),"N/A")</f>
        <v>N/A</v>
      </c>
      <c r="F880" s="21" t="str">
        <f>IFERROR(VLOOKUP($G880,'02_REFERENCE'!$A$2:$S$99,17,FALSE),"N/A")</f>
        <v>N/A</v>
      </c>
      <c r="G880" s="21" t="inlineStr"/>
      <c r="H880" s="21" t="inlineStr">
        <is>
          <t>False Positive</t>
        </is>
      </c>
      <c r="I880" s="21" t="inlineStr">
        <is>
          <t>FP</t>
        </is>
      </c>
      <c r="J880" s="21" t="inlineStr">
        <is>
          <t>M</t>
        </is>
      </c>
      <c r="K880" s="21" t="inlineStr">
        <is>
          <t>N</t>
        </is>
      </c>
      <c r="L880" s="21" t="inlineStr">
        <is>
          <t>No</t>
        </is>
      </c>
      <c r="M880" s="21" t="inlineStr"/>
      <c r="N880" s="22" t="inlineStr">
        <is>
          <t>No reference threat corresponds to this finding's mechanism (scoring found no class with sufficient evidence).</t>
        </is>
      </c>
      <c r="O880" s="5" t="inlineStr"/>
      <c r="P880" s="16" t="inlineStr">
        <is>
          <t>Incorrect Recovery Guidance</t>
        </is>
      </c>
      <c r="Q880" s="16" t="inlineStr">
        <is>
          <t>EE2 → P5 → P4 → EE1</t>
        </is>
      </c>
      <c r="R880" s="16" t="inlineStr"/>
      <c r="S880" s="5" t="inlineStr">
        <is>
          <t>Confirmed</t>
        </is>
      </c>
    </row>
    <row r="881" ht="16" customHeight="1">
      <c r="A881" s="5" t="inlineStr">
        <is>
          <t>CHATGPT-S3-F045</t>
        </is>
      </c>
      <c r="B881" s="5" t="inlineStr">
        <is>
          <t>CHATGPT</t>
        </is>
      </c>
      <c r="C881" s="5" t="inlineStr">
        <is>
          <t>S3</t>
        </is>
      </c>
      <c r="D881" s="21" t="str">
        <f>IFERROR(VLOOKUP($G881,'02_REFERENCE'!$A$2:$S$99,4,FALSE),"N/A")</f>
        <v>N/A</v>
      </c>
      <c r="E881" s="21" t="str">
        <f>IFERROR(VLOOKUP($G881,'02_REFERENCE'!$A$2:$S$99,15,FALSE),"N/A")</f>
        <v>N/A</v>
      </c>
      <c r="F881" s="21" t="str">
        <f>IFERROR(VLOOKUP($G881,'02_REFERENCE'!$A$2:$S$99,17,FALSE),"N/A")</f>
        <v>N/A</v>
      </c>
      <c r="G881" s="21" t="inlineStr"/>
      <c r="H881" s="21" t="inlineStr">
        <is>
          <t>False Positive</t>
        </is>
      </c>
      <c r="I881" s="21" t="inlineStr">
        <is>
          <t>FP</t>
        </is>
      </c>
      <c r="J881" s="21" t="inlineStr">
        <is>
          <t>M</t>
        </is>
      </c>
      <c r="K881" s="21" t="inlineStr">
        <is>
          <t>N</t>
        </is>
      </c>
      <c r="L881" s="21" t="inlineStr">
        <is>
          <t>No</t>
        </is>
      </c>
      <c r="M881" s="21" t="inlineStr"/>
      <c r="N881" s="22" t="inlineStr">
        <is>
          <t>No reference threat corresponds to this finding's mechanism (scoring found no class with sufficient evidence).</t>
        </is>
      </c>
      <c r="O881" s="5" t="inlineStr"/>
      <c r="P881" s="16" t="inlineStr">
        <is>
          <t>Recovery Authorization Used Beyond Its Intended Scope</t>
        </is>
      </c>
      <c r="Q881" s="16" t="inlineStr">
        <is>
          <t>P2 → P3 → DS1</t>
        </is>
      </c>
      <c r="R881" s="16" t="inlineStr"/>
      <c r="S881" s="5" t="inlineStr">
        <is>
          <t>Confirmed</t>
        </is>
      </c>
    </row>
    <row r="882" ht="16" customHeight="1">
      <c r="A882" s="5" t="inlineStr">
        <is>
          <t>CHATGPT-S3-F046</t>
        </is>
      </c>
      <c r="B882" s="5" t="inlineStr">
        <is>
          <t>CHATGPT</t>
        </is>
      </c>
      <c r="C882" s="5" t="inlineStr">
        <is>
          <t>S3</t>
        </is>
      </c>
      <c r="D882" s="21" t="str">
        <f>IFERROR(VLOOKUP($G882,'02_REFERENCE'!$A$2:$S$99,4,FALSE),"N/A")</f>
        <v>N/A</v>
      </c>
      <c r="E882" s="21" t="str">
        <f>IFERROR(VLOOKUP($G882,'02_REFERENCE'!$A$2:$S$99,15,FALSE),"N/A")</f>
        <v>N/A</v>
      </c>
      <c r="F882" s="21" t="str">
        <f>IFERROR(VLOOKUP($G882,'02_REFERENCE'!$A$2:$S$99,17,FALSE),"N/A")</f>
        <v>N/A</v>
      </c>
      <c r="G882" s="21" t="inlineStr"/>
      <c r="H882" s="21" t="inlineStr">
        <is>
          <t>False Positive</t>
        </is>
      </c>
      <c r="I882" s="21" t="inlineStr">
        <is>
          <t>FP</t>
        </is>
      </c>
      <c r="J882" s="21" t="inlineStr">
        <is>
          <t>M</t>
        </is>
      </c>
      <c r="K882" s="21" t="inlineStr">
        <is>
          <t>N</t>
        </is>
      </c>
      <c r="L882" s="21" t="inlineStr">
        <is>
          <t>No</t>
        </is>
      </c>
      <c r="M882" s="21" t="inlineStr"/>
      <c r="N882" s="22" t="inlineStr">
        <is>
          <t>No reference threat corresponds to this finding's mechanism (scoring found no class with sufficient evidence).</t>
        </is>
      </c>
      <c r="O882" s="5" t="inlineStr"/>
      <c r="P882" s="16" t="inlineStr">
        <is>
          <t>Sensitive Information Exposure Through Support Queries</t>
        </is>
      </c>
      <c r="Q882" s="16" t="inlineStr">
        <is>
          <t>EE1 → P4 → P5 → EE2 / P4 → EE1</t>
        </is>
      </c>
      <c r="R882" s="16" t="inlineStr"/>
      <c r="S882" s="5" t="inlineStr">
        <is>
          <t>Confirmed</t>
        </is>
      </c>
    </row>
    <row r="883" ht="16" customHeight="1">
      <c r="A883" s="5" t="inlineStr">
        <is>
          <t>CHATGPT-S3-F047</t>
        </is>
      </c>
      <c r="B883" s="5" t="inlineStr">
        <is>
          <t>CHATGPT</t>
        </is>
      </c>
      <c r="C883" s="5" t="inlineStr">
        <is>
          <t>S3</t>
        </is>
      </c>
      <c r="D883" s="21" t="str">
        <f>IFERROR(VLOOKUP($G883,'02_REFERENCE'!$A$2:$S$99,4,FALSE),"N/A")</f>
        <v>N/A</v>
      </c>
      <c r="E883" s="21" t="str">
        <f>IFERROR(VLOOKUP($G883,'02_REFERENCE'!$A$2:$S$99,15,FALSE),"N/A")</f>
        <v>N/A</v>
      </c>
      <c r="F883" s="21" t="str">
        <f>IFERROR(VLOOKUP($G883,'02_REFERENCE'!$A$2:$S$99,17,FALSE),"N/A")</f>
        <v>N/A</v>
      </c>
      <c r="G883" s="21" t="inlineStr"/>
      <c r="H883" s="21" t="inlineStr">
        <is>
          <t>False Positive</t>
        </is>
      </c>
      <c r="I883" s="21" t="inlineStr">
        <is>
          <t>FP</t>
        </is>
      </c>
      <c r="J883" s="21" t="inlineStr">
        <is>
          <t>M</t>
        </is>
      </c>
      <c r="K883" s="21" t="inlineStr">
        <is>
          <t>N</t>
        </is>
      </c>
      <c r="L883" s="21" t="inlineStr">
        <is>
          <t>No</t>
        </is>
      </c>
      <c r="M883" s="21" t="inlineStr"/>
      <c r="N883" s="22" t="inlineStr">
        <is>
          <t>No reference threat corresponds to this finding's mechanism (scoring found no class with sufficient evidence).</t>
        </is>
      </c>
      <c r="O883" s="5" t="inlineStr"/>
      <c r="P883" s="16" t="inlineStr">
        <is>
          <t>AI Authority Impersonation</t>
        </is>
      </c>
      <c r="Q883" s="16" t="inlineStr">
        <is>
          <t>P4 → P1 → EE1</t>
        </is>
      </c>
      <c r="R883" s="16" t="inlineStr"/>
      <c r="S883" s="5" t="inlineStr">
        <is>
          <t>Confirmed</t>
        </is>
      </c>
    </row>
    <row r="884" ht="16" customHeight="1">
      <c r="A884" s="5" t="inlineStr">
        <is>
          <t>CHATGPT-S3-F048</t>
        </is>
      </c>
      <c r="B884" s="5" t="inlineStr">
        <is>
          <t>CHATGPT</t>
        </is>
      </c>
      <c r="C884" s="5" t="inlineStr">
        <is>
          <t>S3</t>
        </is>
      </c>
      <c r="D884" s="21" t="str">
        <f>IFERROR(VLOOKUP($G884,'02_REFERENCE'!$A$2:$S$99,4,FALSE),"N/A")</f>
        <v>Denial of Service</v>
      </c>
      <c r="E884" s="21" t="str">
        <f>IFERROR(VLOOKUP($G884,'02_REFERENCE'!$A$2:$S$99,15,FALSE),"N/A")</f>
        <v>Medium</v>
      </c>
      <c r="F884" s="21" t="str">
        <f>IFERROR(VLOOKUP($G884,'02_REFERENCE'!$A$2:$S$99,17,FALSE),"N/A")</f>
        <v>No</v>
      </c>
      <c r="G884" s="21" t="inlineStr">
        <is>
          <t>S3-RT-031</t>
        </is>
      </c>
      <c r="H884" s="21" t="inlineStr">
        <is>
          <t>Primary TP</t>
        </is>
      </c>
      <c r="I884" s="21" t="inlineStr">
        <is>
          <t>TP</t>
        </is>
      </c>
      <c r="J884" s="21" t="inlineStr">
        <is>
          <t>M</t>
        </is>
      </c>
      <c r="K884" s="21" t="inlineStr">
        <is>
          <t>Y</t>
        </is>
      </c>
      <c r="L884" s="21" t="inlineStr">
        <is>
          <t>No</t>
        </is>
      </c>
      <c r="M884" s="21" t="inlineStr"/>
      <c r="N884" s="22" t="inlineStr">
        <is>
          <t>Mechanism class session_store_tamper; evidence: Token Validation Bypass An attacker manipulat</t>
        </is>
      </c>
      <c r="O884" s="5" t="inlineStr">
        <is>
          <t>session_store_tamper</t>
        </is>
      </c>
      <c r="P884" s="16" t="inlineStr">
        <is>
          <t>Token Validation Bypass</t>
        </is>
      </c>
      <c r="Q884" s="16" t="inlineStr">
        <is>
          <t>EE1 → P1 → P2 → DS2</t>
        </is>
      </c>
      <c r="R884" s="16" t="inlineStr"/>
      <c r="S884" s="5" t="inlineStr">
        <is>
          <t>Confirmed</t>
        </is>
      </c>
    </row>
    <row r="885" ht="16" customHeight="1">
      <c r="A885" s="5" t="inlineStr">
        <is>
          <t>CHATGPT-S3-F049</t>
        </is>
      </c>
      <c r="B885" s="5" t="inlineStr">
        <is>
          <t>CHATGPT</t>
        </is>
      </c>
      <c r="C885" s="5" t="inlineStr">
        <is>
          <t>S3</t>
        </is>
      </c>
      <c r="D885" s="21" t="str">
        <f>IFERROR(VLOOKUP($G885,'02_REFERENCE'!$A$2:$S$99,4,FALSE),"N/A")</f>
        <v>N/A</v>
      </c>
      <c r="E885" s="21" t="str">
        <f>IFERROR(VLOOKUP($G885,'02_REFERENCE'!$A$2:$S$99,15,FALSE),"N/A")</f>
        <v>N/A</v>
      </c>
      <c r="F885" s="21" t="str">
        <f>IFERROR(VLOOKUP($G885,'02_REFERENCE'!$A$2:$S$99,17,FALSE),"N/A")</f>
        <v>N/A</v>
      </c>
      <c r="G885" s="21" t="inlineStr"/>
      <c r="H885" s="21" t="inlineStr">
        <is>
          <t>False Positive</t>
        </is>
      </c>
      <c r="I885" s="21" t="inlineStr">
        <is>
          <t>FP</t>
        </is>
      </c>
      <c r="J885" s="21" t="inlineStr">
        <is>
          <t>M</t>
        </is>
      </c>
      <c r="K885" s="21" t="inlineStr">
        <is>
          <t>N</t>
        </is>
      </c>
      <c r="L885" s="21" t="inlineStr">
        <is>
          <t>No</t>
        </is>
      </c>
      <c r="M885" s="21" t="inlineStr"/>
      <c r="N885" s="22" t="inlineStr">
        <is>
          <t>No reference threat corresponds to this finding's mechanism (scoring found no class with sufficient evidence).</t>
        </is>
      </c>
      <c r="O885" s="5" t="inlineStr"/>
      <c r="P885" s="16" t="inlineStr">
        <is>
          <t>Recovery-to-Persistence Attack</t>
        </is>
      </c>
      <c r="Q885" s="16" t="inlineStr">
        <is>
          <t>EE1 → P1 → P2 → P3 → DS1</t>
        </is>
      </c>
      <c r="R885" s="16" t="inlineStr"/>
      <c r="S885" s="5" t="inlineStr">
        <is>
          <t>Confirmed</t>
        </is>
      </c>
    </row>
    <row r="886" ht="16" customHeight="1">
      <c r="A886" s="5" t="inlineStr">
        <is>
          <t>OLLAMA-S3-F001</t>
        </is>
      </c>
      <c r="B886" s="5" t="inlineStr">
        <is>
          <t>OLLAMA</t>
        </is>
      </c>
      <c r="C886" s="5" t="inlineStr">
        <is>
          <t>S3</t>
        </is>
      </c>
      <c r="D886" s="21" t="str">
        <f>IFERROR(VLOOKUP($G886,'02_REFERENCE'!$A$2:$S$99,4,FALSE),"N/A")</f>
        <v>N/A</v>
      </c>
      <c r="E886" s="21" t="str">
        <f>IFERROR(VLOOKUP($G886,'02_REFERENCE'!$A$2:$S$99,15,FALSE),"N/A")</f>
        <v>N/A</v>
      </c>
      <c r="F886" s="21" t="str">
        <f>IFERROR(VLOOKUP($G886,'02_REFERENCE'!$A$2:$S$99,17,FALSE),"N/A")</f>
        <v>N/A</v>
      </c>
      <c r="G886" s="21" t="inlineStr"/>
      <c r="H886" s="21" t="inlineStr">
        <is>
          <t>False Positive</t>
        </is>
      </c>
      <c r="I886" s="21" t="inlineStr">
        <is>
          <t>FP</t>
        </is>
      </c>
      <c r="J886" s="21" t="inlineStr">
        <is>
          <t>H</t>
        </is>
      </c>
      <c r="K886" s="21" t="inlineStr">
        <is>
          <t>N</t>
        </is>
      </c>
      <c r="L886" s="21" t="inlineStr">
        <is>
          <t>No</t>
        </is>
      </c>
      <c r="M886" s="21" t="inlineStr"/>
      <c r="N886" s="22" t="inlineStr">
        <is>
          <t>Template-class brute_force (no reference threat): Brute Force; guess or crack user password</t>
        </is>
      </c>
      <c r="O886" s="5" t="inlineStr">
        <is>
          <t>brute_force</t>
        </is>
      </c>
      <c r="P886" s="16" t="inlineStr">
        <is>
          <t>Brute Force Attack on User Authentication</t>
        </is>
      </c>
      <c r="Q886" s="16" t="inlineStr">
        <is>
          <t>EE1, P1, DS1</t>
        </is>
      </c>
      <c r="R886" s="16" t="inlineStr"/>
      <c r="S886" s="5" t="inlineStr">
        <is>
          <t>Confirmed</t>
        </is>
      </c>
    </row>
    <row r="887" ht="16" customHeight="1">
      <c r="A887" s="5" t="inlineStr">
        <is>
          <t>OLLAMA-S3-F002</t>
        </is>
      </c>
      <c r="B887" s="5" t="inlineStr">
        <is>
          <t>OLLAMA</t>
        </is>
      </c>
      <c r="C887" s="5" t="inlineStr">
        <is>
          <t>S3</t>
        </is>
      </c>
      <c r="D887" s="21" t="str">
        <f>IFERROR(VLOOKUP($G887,'02_REFERENCE'!$A$2:$S$99,4,FALSE),"N/A")</f>
        <v>Denial of Service</v>
      </c>
      <c r="E887" s="21" t="str">
        <f>IFERROR(VLOOKUP($G887,'02_REFERENCE'!$A$2:$S$99,15,FALSE),"N/A")</f>
        <v>Medium</v>
      </c>
      <c r="F887" s="21" t="str">
        <f>IFERROR(VLOOKUP($G887,'02_REFERENCE'!$A$2:$S$99,17,FALSE),"N/A")</f>
        <v>No</v>
      </c>
      <c r="G887" s="21" t="inlineStr">
        <is>
          <t>S3-RT-031</t>
        </is>
      </c>
      <c r="H887" s="21" t="inlineStr">
        <is>
          <t>Primary TP</t>
        </is>
      </c>
      <c r="I887" s="21" t="inlineStr">
        <is>
          <t>TP</t>
        </is>
      </c>
      <c r="J887" s="21" t="inlineStr">
        <is>
          <t>L</t>
        </is>
      </c>
      <c r="K887" s="21" t="inlineStr">
        <is>
          <t>Y</t>
        </is>
      </c>
      <c r="L887" s="21" t="inlineStr">
        <is>
          <t>No</t>
        </is>
      </c>
      <c r="M887" s="21" t="inlineStr"/>
      <c r="N887" s="22" t="inlineStr">
        <is>
          <t>Mechanism class session_store_tamper; evidence: token and uses it to access or modif</t>
        </is>
      </c>
      <c r="O887" s="5" t="inlineStr">
        <is>
          <t>session_store_tamper</t>
        </is>
      </c>
      <c r="P887" s="16" t="inlineStr">
        <is>
          <t>Recovery Token Misuse</t>
        </is>
      </c>
      <c r="Q887" s="16" t="inlineStr">
        <is>
          <t>P2, DS2</t>
        </is>
      </c>
      <c r="R887" s="16" t="inlineStr"/>
      <c r="S887" s="5" t="inlineStr">
        <is>
          <t>Manual review</t>
        </is>
      </c>
    </row>
    <row r="888" ht="16" customHeight="1">
      <c r="A888" s="5" t="inlineStr">
        <is>
          <t>OLLAMA-S3-F003</t>
        </is>
      </c>
      <c r="B888" s="5" t="inlineStr">
        <is>
          <t>OLLAMA</t>
        </is>
      </c>
      <c r="C888" s="5" t="inlineStr">
        <is>
          <t>S3</t>
        </is>
      </c>
      <c r="D888" s="21" t="str">
        <f>IFERROR(VLOOKUP($G888,'02_REFERENCE'!$A$2:$S$99,4,FALSE),"N/A")</f>
        <v>Spoofing</v>
      </c>
      <c r="E888" s="21" t="str">
        <f>IFERROR(VLOOKUP($G888,'02_REFERENCE'!$A$2:$S$99,15,FALSE),"N/A")</f>
        <v>High</v>
      </c>
      <c r="F888" s="21" t="str">
        <f>IFERROR(VLOOKUP($G888,'02_REFERENCE'!$A$2:$S$99,17,FALSE),"N/A")</f>
        <v>No</v>
      </c>
      <c r="G888" s="21" t="inlineStr">
        <is>
          <t>S3-RT-004</t>
        </is>
      </c>
      <c r="H888" s="21" t="inlineStr">
        <is>
          <t>Primary TP</t>
        </is>
      </c>
      <c r="I888" s="21" t="inlineStr">
        <is>
          <t>TP</t>
        </is>
      </c>
      <c r="J888" s="21" t="inlineStr">
        <is>
          <t>M</t>
        </is>
      </c>
      <c r="K888" s="21" t="inlineStr">
        <is>
          <t>Y</t>
        </is>
      </c>
      <c r="L888" s="21" t="inlineStr">
        <is>
          <t>No</t>
        </is>
      </c>
      <c r="M888" s="21" t="inlineStr"/>
      <c r="N888" s="22" t="inlineStr">
        <is>
          <t>Mechanism class token_replay; evidence: Replay</t>
        </is>
      </c>
      <c r="O888" s="5" t="inlineStr">
        <is>
          <t>token_replay</t>
        </is>
      </c>
      <c r="P888" s="16" t="inlineStr">
        <is>
          <t>Recovery Token Replay Attack</t>
        </is>
      </c>
      <c r="Q888" s="16" t="inlineStr">
        <is>
          <t>P2, DS2, EE1</t>
        </is>
      </c>
      <c r="R888" s="16" t="inlineStr"/>
      <c r="S888" s="5" t="inlineStr">
        <is>
          <t>Confirmed</t>
        </is>
      </c>
    </row>
    <row r="889" ht="16" customHeight="1">
      <c r="A889" s="5" t="inlineStr">
        <is>
          <t>OLLAMA-S3-F004</t>
        </is>
      </c>
      <c r="B889" s="5" t="inlineStr">
        <is>
          <t>OLLAMA</t>
        </is>
      </c>
      <c r="C889" s="5" t="inlineStr">
        <is>
          <t>S3</t>
        </is>
      </c>
      <c r="D889" s="21" t="str">
        <f>IFERROR(VLOOKUP($G889,'02_REFERENCE'!$A$2:$S$99,4,FALSE),"N/A")</f>
        <v>Spoofing</v>
      </c>
      <c r="E889" s="21" t="str">
        <f>IFERROR(VLOOKUP($G889,'02_REFERENCE'!$A$2:$S$99,15,FALSE),"N/A")</f>
        <v>High</v>
      </c>
      <c r="F889" s="21" t="str">
        <f>IFERROR(VLOOKUP($G889,'02_REFERENCE'!$A$2:$S$99,17,FALSE),"N/A")</f>
        <v>No</v>
      </c>
      <c r="G889" s="21" t="inlineStr">
        <is>
          <t>S3-RT-003</t>
        </is>
      </c>
      <c r="H889" s="21" t="inlineStr">
        <is>
          <t>Primary TP</t>
        </is>
      </c>
      <c r="I889" s="21" t="inlineStr">
        <is>
          <t>TP</t>
        </is>
      </c>
      <c r="J889" s="21" t="inlineStr">
        <is>
          <t>H</t>
        </is>
      </c>
      <c r="K889" s="21" t="inlineStr">
        <is>
          <t>Y</t>
        </is>
      </c>
      <c r="L889" s="21" t="inlineStr">
        <is>
          <t>No</t>
        </is>
      </c>
      <c r="M889" s="21" t="inlineStr"/>
      <c r="N889" s="22" t="inlineStr">
        <is>
          <t>Mechanism class transit_token; evidence: Token Exposure A recovery token is exposed or leak; Exposure A recovery token</t>
        </is>
      </c>
      <c r="O889" s="5" t="inlineStr">
        <is>
          <t>transit_token</t>
        </is>
      </c>
      <c r="P889" s="16" t="inlineStr">
        <is>
          <t>Recovery Token Exposure</t>
        </is>
      </c>
      <c r="Q889" s="16" t="inlineStr">
        <is>
          <t>P2, DS2</t>
        </is>
      </c>
      <c r="R889" s="16" t="inlineStr"/>
      <c r="S889" s="5" t="inlineStr">
        <is>
          <t>Confirmed</t>
        </is>
      </c>
    </row>
    <row r="890" ht="16" customHeight="1">
      <c r="A890" s="5" t="inlineStr">
        <is>
          <t>OLLAMA-S3-F005</t>
        </is>
      </c>
      <c r="B890" s="5" t="inlineStr">
        <is>
          <t>OLLAMA</t>
        </is>
      </c>
      <c r="C890" s="5" t="inlineStr">
        <is>
          <t>S3</t>
        </is>
      </c>
      <c r="D890" s="21" t="str">
        <f>IFERROR(VLOOKUP($G890,'02_REFERENCE'!$A$2:$S$99,4,FALSE),"N/A")</f>
        <v>Elevation of Privilege</v>
      </c>
      <c r="E890" s="21" t="str">
        <f>IFERROR(VLOOKUP($G890,'02_REFERENCE'!$A$2:$S$99,15,FALSE),"N/A")</f>
        <v>High</v>
      </c>
      <c r="F890" s="21" t="str">
        <f>IFERROR(VLOOKUP($G890,'02_REFERENCE'!$A$2:$S$99,17,FALSE),"N/A")</f>
        <v>No</v>
      </c>
      <c r="G890" s="21" t="inlineStr">
        <is>
          <t>S3-RT-034</t>
        </is>
      </c>
      <c r="H890" s="21" t="inlineStr">
        <is>
          <t>Primary TP</t>
        </is>
      </c>
      <c r="I890" s="21" t="inlineStr">
        <is>
          <t>TP</t>
        </is>
      </c>
      <c r="J890" s="21" t="inlineStr">
        <is>
          <t>H</t>
        </is>
      </c>
      <c r="K890" s="21" t="inlineStr">
        <is>
          <t>Y</t>
        </is>
      </c>
      <c r="L890" s="21" t="inlineStr">
        <is>
          <t>No</t>
        </is>
      </c>
      <c r="M890" s="21" t="inlineStr"/>
      <c r="N890" s="22" t="inlineStr">
        <is>
          <t>Mechanism class access_bypass_logic; evidence: Bypassing Recovery Authorization; Authorization An attacker bypass</t>
        </is>
      </c>
      <c r="O890" s="5" t="inlineStr">
        <is>
          <t>access_bypass_logic</t>
        </is>
      </c>
      <c r="P890" s="16" t="inlineStr">
        <is>
          <t>Bypassing Recovery Authorization</t>
        </is>
      </c>
      <c r="Q890" s="16" t="inlineStr">
        <is>
          <t>P2, DS1</t>
        </is>
      </c>
      <c r="R890" s="16" t="inlineStr"/>
      <c r="S890" s="5" t="inlineStr">
        <is>
          <t>Confirmed</t>
        </is>
      </c>
    </row>
    <row r="891" ht="16" customHeight="1">
      <c r="A891" s="5" t="inlineStr">
        <is>
          <t>OLLAMA-S3-F006</t>
        </is>
      </c>
      <c r="B891" s="5" t="inlineStr">
        <is>
          <t>OLLAMA</t>
        </is>
      </c>
      <c r="C891" s="5" t="inlineStr">
        <is>
          <t>S3</t>
        </is>
      </c>
      <c r="D891" s="21" t="str">
        <f>IFERROR(VLOOKUP($G891,'02_REFERENCE'!$A$2:$S$99,4,FALSE),"N/A")</f>
        <v>N/A</v>
      </c>
      <c r="E891" s="21" t="str">
        <f>IFERROR(VLOOKUP($G891,'02_REFERENCE'!$A$2:$S$99,15,FALSE),"N/A")</f>
        <v>N/A</v>
      </c>
      <c r="F891" s="21" t="str">
        <f>IFERROR(VLOOKUP($G891,'02_REFERENCE'!$A$2:$S$99,17,FALSE),"N/A")</f>
        <v>N/A</v>
      </c>
      <c r="G891" s="21" t="inlineStr"/>
      <c r="H891" s="21" t="inlineStr">
        <is>
          <t>False Positive</t>
        </is>
      </c>
      <c r="I891" s="21" t="inlineStr">
        <is>
          <t>FP</t>
        </is>
      </c>
      <c r="J891" s="21" t="inlineStr">
        <is>
          <t>M</t>
        </is>
      </c>
      <c r="K891" s="21" t="inlineStr">
        <is>
          <t>N</t>
        </is>
      </c>
      <c r="L891" s="21" t="inlineStr">
        <is>
          <t>No</t>
        </is>
      </c>
      <c r="M891" s="21" t="inlineStr"/>
      <c r="N891" s="22" t="inlineStr">
        <is>
          <t>No reference threat corresponds to this finding's mechanism (scoring found no class with sufficient evidence).</t>
        </is>
      </c>
      <c r="O891" s="5" t="inlineStr"/>
      <c r="P891" s="16" t="inlineStr">
        <is>
          <t>Unauthorized Account Access or Modification</t>
        </is>
      </c>
      <c r="Q891" s="16" t="inlineStr">
        <is>
          <t>P3, DS1</t>
        </is>
      </c>
      <c r="R891" s="16" t="inlineStr"/>
      <c r="S891" s="5" t="inlineStr">
        <is>
          <t>Confirmed</t>
        </is>
      </c>
    </row>
    <row r="892" ht="16" customHeight="1">
      <c r="A892" s="5" t="inlineStr">
        <is>
          <t>OLLAMA-S3-F007</t>
        </is>
      </c>
      <c r="B892" s="5" t="inlineStr">
        <is>
          <t>OLLAMA</t>
        </is>
      </c>
      <c r="C892" s="5" t="inlineStr">
        <is>
          <t>S3</t>
        </is>
      </c>
      <c r="D892" s="21" t="str">
        <f>IFERROR(VLOOKUP($G892,'02_REFERENCE'!$A$2:$S$99,4,FALSE),"N/A")</f>
        <v>Elevation of Privilege</v>
      </c>
      <c r="E892" s="21" t="str">
        <f>IFERROR(VLOOKUP($G892,'02_REFERENCE'!$A$2:$S$99,15,FALSE),"N/A")</f>
        <v>High</v>
      </c>
      <c r="F892" s="21" t="str">
        <f>IFERROR(VLOOKUP($G892,'02_REFERENCE'!$A$2:$S$99,17,FALSE),"N/A")</f>
        <v>No</v>
      </c>
      <c r="G892" s="21" t="inlineStr">
        <is>
          <t>S3-RT-034</t>
        </is>
      </c>
      <c r="H892" s="21" t="inlineStr">
        <is>
          <t>Duplicate</t>
        </is>
      </c>
      <c r="I892" s="21" t="inlineStr">
        <is>
          <t>TP</t>
        </is>
      </c>
      <c r="J892" s="21" t="inlineStr">
        <is>
          <t>L</t>
        </is>
      </c>
      <c r="K892" s="21" t="inlineStr">
        <is>
          <t>N</t>
        </is>
      </c>
      <c r="L892" s="21" t="inlineStr">
        <is>
          <t>Yes</t>
        </is>
      </c>
      <c r="M892" s="21" t="inlineStr">
        <is>
          <t>OLLAMA-S3-F005</t>
        </is>
      </c>
      <c r="N892" s="22" t="inlineStr">
        <is>
          <t>Mechanism class access_bypass_logic; evidence: modifies user account information without proper authoriz [Equivalence: restates OLLAMA-S3-F005 — one-to-one rule applied.]</t>
        </is>
      </c>
      <c r="O892" s="5" t="inlineStr">
        <is>
          <t>access_bypass_logic</t>
        </is>
      </c>
      <c r="P892" s="16" t="inlineStr">
        <is>
          <t>Unauthenticated Account Information Update</t>
        </is>
      </c>
      <c r="Q892" s="16" t="inlineStr">
        <is>
          <t>P3, DS1</t>
        </is>
      </c>
      <c r="R892" s="16" t="inlineStr"/>
      <c r="S892" s="5" t="inlineStr">
        <is>
          <t>Manual review</t>
        </is>
      </c>
    </row>
    <row r="893" ht="16" customHeight="1">
      <c r="A893" s="5" t="inlineStr">
        <is>
          <t>OLLAMA-S3-F008</t>
        </is>
      </c>
      <c r="B893" s="5" t="inlineStr">
        <is>
          <t>OLLAMA</t>
        </is>
      </c>
      <c r="C893" s="5" t="inlineStr">
        <is>
          <t>S3</t>
        </is>
      </c>
      <c r="D893" s="21" t="str">
        <f>IFERROR(VLOOKUP($G893,'02_REFERENCE'!$A$2:$S$99,4,FALSE),"N/A")</f>
        <v>Tampering</v>
      </c>
      <c r="E893" s="21" t="str">
        <f>IFERROR(VLOOKUP($G893,'02_REFERENCE'!$A$2:$S$99,15,FALSE),"N/A")</f>
        <v>High</v>
      </c>
      <c r="F893" s="21" t="str">
        <f>IFERROR(VLOOKUP($G893,'02_REFERENCE'!$A$2:$S$99,17,FALSE),"N/A")</f>
        <v>Yes</v>
      </c>
      <c r="G893" s="21" t="inlineStr">
        <is>
          <t>S3-RT-019</t>
        </is>
      </c>
      <c r="H893" s="21" t="inlineStr">
        <is>
          <t>Duplicate</t>
        </is>
      </c>
      <c r="I893" s="21" t="inlineStr">
        <is>
          <t>TP</t>
        </is>
      </c>
      <c r="J893" s="21" t="inlineStr">
        <is>
          <t>L</t>
        </is>
      </c>
      <c r="K893" s="21" t="inlineStr">
        <is>
          <t>N</t>
        </is>
      </c>
      <c r="L893" s="21" t="inlineStr">
        <is>
          <t>Yes</t>
        </is>
      </c>
      <c r="M893" s="21" t="inlineStr">
        <is>
          <t>OLLAMA-S3-F020</t>
        </is>
      </c>
      <c r="N893" s="22" t="inlineStr">
        <is>
          <t>Mechanism class prompt_injection_direct; evidence: injects malicious prompt [Equivalence: restates OLLAMA-S3-F020 — one-to-one rule applied.]</t>
        </is>
      </c>
      <c r="O893" s="5" t="inlineStr">
        <is>
          <t>prompt_injection_direct</t>
        </is>
      </c>
      <c r="P893" s="16" t="inlineStr">
        <is>
          <t>External LLM Input Manipulation</t>
        </is>
      </c>
      <c r="Q893" s="16" t="inlineStr">
        <is>
          <t>P5, EE2</t>
        </is>
      </c>
      <c r="R893" s="16" t="inlineStr"/>
      <c r="S893" s="5" t="inlineStr">
        <is>
          <t>Manual review</t>
        </is>
      </c>
    </row>
    <row r="894" ht="16" customHeight="1">
      <c r="A894" s="5" t="inlineStr">
        <is>
          <t>OLLAMA-S3-F009</t>
        </is>
      </c>
      <c r="B894" s="5" t="inlineStr">
        <is>
          <t>OLLAMA</t>
        </is>
      </c>
      <c r="C894" s="5" t="inlineStr">
        <is>
          <t>S3</t>
        </is>
      </c>
      <c r="D894" s="21" t="str">
        <f>IFERROR(VLOOKUP($G894,'02_REFERENCE'!$A$2:$S$99,4,FALSE),"N/A")</f>
        <v>Spoofing</v>
      </c>
      <c r="E894" s="21" t="str">
        <f>IFERROR(VLOOKUP($G894,'02_REFERENCE'!$A$2:$S$99,15,FALSE),"N/A")</f>
        <v>High</v>
      </c>
      <c r="F894" s="21" t="str">
        <f>IFERROR(VLOOKUP($G894,'02_REFERENCE'!$A$2:$S$99,17,FALSE),"N/A")</f>
        <v>No</v>
      </c>
      <c r="G894" s="21" t="inlineStr">
        <is>
          <t>S3-RT-003</t>
        </is>
      </c>
      <c r="H894" s="21" t="inlineStr">
        <is>
          <t>Duplicate</t>
        </is>
      </c>
      <c r="I894" s="21" t="inlineStr">
        <is>
          <t>TP</t>
        </is>
      </c>
      <c r="J894" s="21" t="inlineStr">
        <is>
          <t>H</t>
        </is>
      </c>
      <c r="K894" s="21" t="inlineStr">
        <is>
          <t>N</t>
        </is>
      </c>
      <c r="L894" s="21" t="inlineStr">
        <is>
          <t>Yes</t>
        </is>
      </c>
      <c r="M894" s="21" t="inlineStr">
        <is>
          <t>OLLAMA-S3-F004</t>
        </is>
      </c>
      <c r="N894" s="22" t="inlineStr">
        <is>
          <t>Mechanism class transit_token; evidence: Tokens or Account Data An attacker exposes or leak; Exposure of Recovery Token [Equivalence: restates OLLAMA-S3-F004 — one-to-one rule applied.]</t>
        </is>
      </c>
      <c r="O894" s="5" t="inlineStr">
        <is>
          <t>transit_token</t>
        </is>
      </c>
      <c r="P894" s="16" t="inlineStr">
        <is>
          <t>Unintended Exposure of Recovery Tokens or Account Data</t>
        </is>
      </c>
      <c r="Q894" s="16" t="inlineStr">
        <is>
          <t>P2, DS2, EE1</t>
        </is>
      </c>
      <c r="R894" s="16" t="inlineStr"/>
      <c r="S894" s="5" t="inlineStr">
        <is>
          <t>Confirmed</t>
        </is>
      </c>
    </row>
    <row r="895" ht="16" customHeight="1">
      <c r="A895" s="5" t="inlineStr">
        <is>
          <t>OLLAMA-S3-F010</t>
        </is>
      </c>
      <c r="B895" s="5" t="inlineStr">
        <is>
          <t>OLLAMA</t>
        </is>
      </c>
      <c r="C895" s="5" t="inlineStr">
        <is>
          <t>S3</t>
        </is>
      </c>
      <c r="D895" s="21" t="str">
        <f>IFERROR(VLOOKUP($G895,'02_REFERENCE'!$A$2:$S$99,4,FALSE),"N/A")</f>
        <v>Tampering</v>
      </c>
      <c r="E895" s="21" t="str">
        <f>IFERROR(VLOOKUP($G895,'02_REFERENCE'!$A$2:$S$99,15,FALSE),"N/A")</f>
        <v>Critical</v>
      </c>
      <c r="F895" s="21" t="str">
        <f>IFERROR(VLOOKUP($G895,'02_REFERENCE'!$A$2:$S$99,17,FALSE),"N/A")</f>
        <v>Yes</v>
      </c>
      <c r="G895" s="21" t="inlineStr">
        <is>
          <t>S3-RT-027</t>
        </is>
      </c>
      <c r="H895" s="21" t="inlineStr">
        <is>
          <t>Primary TP</t>
        </is>
      </c>
      <c r="I895" s="21" t="inlineStr">
        <is>
          <t>TP</t>
        </is>
      </c>
      <c r="J895" s="21" t="inlineStr">
        <is>
          <t>L</t>
        </is>
      </c>
      <c r="K895" s="21" t="inlineStr">
        <is>
          <t>Y</t>
        </is>
      </c>
      <c r="L895" s="21" t="inlineStr">
        <is>
          <t>No</t>
        </is>
      </c>
      <c r="M895" s="21" t="inlineStr"/>
      <c r="N895" s="22" t="inlineStr">
        <is>
          <t>Mechanism class unsafe_output; evidence: malicious output from the external LLM</t>
        </is>
      </c>
      <c r="O895" s="5" t="inlineStr">
        <is>
          <t>unsafe_output</t>
        </is>
      </c>
      <c r="P895" s="16" t="inlineStr">
        <is>
          <t>Unvalidated or Malicious External LLM Output</t>
        </is>
      </c>
      <c r="Q895" s="16" t="inlineStr">
        <is>
          <t>P5, EE2</t>
        </is>
      </c>
      <c r="R895" s="16" t="inlineStr"/>
      <c r="S895" s="5" t="inlineStr">
        <is>
          <t>Manual review</t>
        </is>
      </c>
    </row>
    <row r="896" ht="16" customHeight="1">
      <c r="A896" s="5" t="inlineStr">
        <is>
          <t>OLLAMA-S3-F011</t>
        </is>
      </c>
      <c r="B896" s="5" t="inlineStr">
        <is>
          <t>OLLAMA</t>
        </is>
      </c>
      <c r="C896" s="5" t="inlineStr">
        <is>
          <t>S3</t>
        </is>
      </c>
      <c r="D896" s="21" t="str">
        <f>IFERROR(VLOOKUP($G896,'02_REFERENCE'!$A$2:$S$99,4,FALSE),"N/A")</f>
        <v>N/A</v>
      </c>
      <c r="E896" s="21" t="str">
        <f>IFERROR(VLOOKUP($G896,'02_REFERENCE'!$A$2:$S$99,15,FALSE),"N/A")</f>
        <v>N/A</v>
      </c>
      <c r="F896" s="21" t="str">
        <f>IFERROR(VLOOKUP($G896,'02_REFERENCE'!$A$2:$S$99,17,FALSE),"N/A")</f>
        <v>N/A</v>
      </c>
      <c r="G896" s="21" t="inlineStr"/>
      <c r="H896" s="21" t="inlineStr">
        <is>
          <t>False Positive</t>
        </is>
      </c>
      <c r="I896" s="21" t="inlineStr">
        <is>
          <t>FP</t>
        </is>
      </c>
      <c r="J896" s="21" t="inlineStr">
        <is>
          <t>M</t>
        </is>
      </c>
      <c r="K896" s="21" t="inlineStr">
        <is>
          <t>N</t>
        </is>
      </c>
      <c r="L896" s="21" t="inlineStr">
        <is>
          <t>No</t>
        </is>
      </c>
      <c r="M896" s="21" t="inlineStr"/>
      <c r="N896" s="22" t="inlineStr">
        <is>
          <t>No reference threat corresponds to this finding's mechanism (scoring found no class with sufficient evidence).</t>
        </is>
      </c>
      <c r="O896" s="5" t="inlineStr"/>
      <c r="P896" s="16" t="inlineStr">
        <is>
          <t>Unintended Behavior or Influence due to External LLM Output</t>
        </is>
      </c>
      <c r="Q896" s="16" t="inlineStr">
        <is>
          <t>P4, EE2</t>
        </is>
      </c>
      <c r="R896" s="16" t="inlineStr"/>
      <c r="S896" s="5" t="inlineStr">
        <is>
          <t>Confirmed</t>
        </is>
      </c>
    </row>
    <row r="897" ht="16" customHeight="1">
      <c r="A897" s="5" t="inlineStr">
        <is>
          <t>OLLAMA-S3-F012</t>
        </is>
      </c>
      <c r="B897" s="5" t="inlineStr">
        <is>
          <t>OLLAMA</t>
        </is>
      </c>
      <c r="C897" s="5" t="inlineStr">
        <is>
          <t>S3</t>
        </is>
      </c>
      <c r="D897" s="21" t="str">
        <f>IFERROR(VLOOKUP($G897,'02_REFERENCE'!$A$2:$S$99,4,FALSE),"N/A")</f>
        <v>N/A</v>
      </c>
      <c r="E897" s="21" t="str">
        <f>IFERROR(VLOOKUP($G897,'02_REFERENCE'!$A$2:$S$99,15,FALSE),"N/A")</f>
        <v>N/A</v>
      </c>
      <c r="F897" s="21" t="str">
        <f>IFERROR(VLOOKUP($G897,'02_REFERENCE'!$A$2:$S$99,17,FALSE),"N/A")</f>
        <v>N/A</v>
      </c>
      <c r="G897" s="21" t="inlineStr"/>
      <c r="H897" s="21" t="inlineStr">
        <is>
          <t>False Positive</t>
        </is>
      </c>
      <c r="I897" s="21" t="inlineStr">
        <is>
          <t>FP</t>
        </is>
      </c>
      <c r="J897" s="21" t="inlineStr">
        <is>
          <t>M</t>
        </is>
      </c>
      <c r="K897" s="21" t="inlineStr">
        <is>
          <t>N</t>
        </is>
      </c>
      <c r="L897" s="21" t="inlineStr">
        <is>
          <t>No</t>
        </is>
      </c>
      <c r="M897" s="21" t="inlineStr"/>
      <c r="N897" s="22" t="inlineStr">
        <is>
          <t>No reference threat corresponds to this finding's mechanism (scoring found no class with sufficient evidence).</t>
        </is>
      </c>
      <c r="O897" s="5" t="inlineStr"/>
      <c r="P897" s="16" t="inlineStr">
        <is>
          <t>Unintended Behavior or Security Vulnerabilities due to External LLM Provider</t>
        </is>
      </c>
      <c r="Q897" s="16" t="inlineStr">
        <is>
          <t>EE2, P5</t>
        </is>
      </c>
      <c r="R897" s="16" t="inlineStr"/>
      <c r="S897" s="5" t="inlineStr">
        <is>
          <t>Confirmed</t>
        </is>
      </c>
    </row>
    <row r="898" ht="16" customHeight="1">
      <c r="A898" s="5" t="inlineStr">
        <is>
          <t>OLLAMA-S3-F013</t>
        </is>
      </c>
      <c r="B898" s="5" t="inlineStr">
        <is>
          <t>OLLAMA</t>
        </is>
      </c>
      <c r="C898" s="5" t="inlineStr">
        <is>
          <t>S3</t>
        </is>
      </c>
      <c r="D898" s="21" t="str">
        <f>IFERROR(VLOOKUP($G898,'02_REFERENCE'!$A$2:$S$99,4,FALSE),"N/A")</f>
        <v>N/A</v>
      </c>
      <c r="E898" s="21" t="str">
        <f>IFERROR(VLOOKUP($G898,'02_REFERENCE'!$A$2:$S$99,15,FALSE),"N/A")</f>
        <v>N/A</v>
      </c>
      <c r="F898" s="21" t="str">
        <f>IFERROR(VLOOKUP($G898,'02_REFERENCE'!$A$2:$S$99,17,FALSE),"N/A")</f>
        <v>N/A</v>
      </c>
      <c r="G898" s="21" t="inlineStr"/>
      <c r="H898" s="21" t="inlineStr">
        <is>
          <t>False Positive</t>
        </is>
      </c>
      <c r="I898" s="21" t="inlineStr">
        <is>
          <t>FP</t>
        </is>
      </c>
      <c r="J898" s="21" t="inlineStr">
        <is>
          <t>M</t>
        </is>
      </c>
      <c r="K898" s="21" t="inlineStr">
        <is>
          <t>N</t>
        </is>
      </c>
      <c r="L898" s="21" t="inlineStr">
        <is>
          <t>No</t>
        </is>
      </c>
      <c r="M898" s="21" t="inlineStr"/>
      <c r="N898" s="22" t="inlineStr">
        <is>
          <t>No reference threat corresponds to this finding's mechanism (scoring found no class with sufficient evidence).</t>
        </is>
      </c>
      <c r="O898" s="5" t="inlineStr"/>
      <c r="P898" s="16" t="inlineStr">
        <is>
          <t>Account Takeover via User Input Tampering</t>
        </is>
      </c>
      <c r="Q898" s="16" t="inlineStr">
        <is>
          <t>EE1, P1, DS1</t>
        </is>
      </c>
      <c r="R898" s="16" t="inlineStr"/>
      <c r="S898" s="5" t="inlineStr">
        <is>
          <t>Confirmed</t>
        </is>
      </c>
    </row>
    <row r="899" ht="16" customHeight="1">
      <c r="A899" s="5" t="inlineStr">
        <is>
          <t>OLLAMA-S3-F014</t>
        </is>
      </c>
      <c r="B899" s="5" t="inlineStr">
        <is>
          <t>OLLAMA</t>
        </is>
      </c>
      <c r="C899" s="5" t="inlineStr">
        <is>
          <t>S3</t>
        </is>
      </c>
      <c r="D899" s="21" t="str">
        <f>IFERROR(VLOOKUP($G899,'02_REFERENCE'!$A$2:$S$99,4,FALSE),"N/A")</f>
        <v>N/A</v>
      </c>
      <c r="E899" s="21" t="str">
        <f>IFERROR(VLOOKUP($G899,'02_REFERENCE'!$A$2:$S$99,15,FALSE),"N/A")</f>
        <v>N/A</v>
      </c>
      <c r="F899" s="21" t="str">
        <f>IFERROR(VLOOKUP($G899,'02_REFERENCE'!$A$2:$S$99,17,FALSE),"N/A")</f>
        <v>N/A</v>
      </c>
      <c r="G899" s="21" t="inlineStr"/>
      <c r="H899" s="21" t="inlineStr">
        <is>
          <t>False Positive</t>
        </is>
      </c>
      <c r="I899" s="21" t="inlineStr">
        <is>
          <t>FP</t>
        </is>
      </c>
      <c r="J899" s="21" t="inlineStr">
        <is>
          <t>M</t>
        </is>
      </c>
      <c r="K899" s="21" t="inlineStr">
        <is>
          <t>N</t>
        </is>
      </c>
      <c r="L899" s="21" t="inlineStr">
        <is>
          <t>No</t>
        </is>
      </c>
      <c r="M899" s="21" t="inlineStr"/>
      <c r="N899" s="22" t="inlineStr">
        <is>
          <t>No reference threat corresponds to this finding's mechanism (scoring found no class with sufficient evidence).</t>
        </is>
      </c>
      <c r="O899" s="5" t="inlineStr"/>
      <c r="P899" s="16" t="inlineStr">
        <is>
          <t>Recovery Token Abuse via P2 Exploitation</t>
        </is>
      </c>
      <c r="Q899" s="16" t="inlineStr">
        <is>
          <t>P2, DS2</t>
        </is>
      </c>
      <c r="R899" s="16" t="inlineStr"/>
      <c r="S899" s="5" t="inlineStr">
        <is>
          <t>Confirmed</t>
        </is>
      </c>
    </row>
    <row r="900" ht="16" customHeight="1">
      <c r="A900" s="5" t="inlineStr">
        <is>
          <t>OLLAMA-S3-F015</t>
        </is>
      </c>
      <c r="B900" s="5" t="inlineStr">
        <is>
          <t>OLLAMA</t>
        </is>
      </c>
      <c r="C900" s="5" t="inlineStr">
        <is>
          <t>S3</t>
        </is>
      </c>
      <c r="D900" s="21" t="str">
        <f>IFERROR(VLOOKUP($G900,'02_REFERENCE'!$A$2:$S$99,4,FALSE),"N/A")</f>
        <v>Spoofing</v>
      </c>
      <c r="E900" s="21" t="str">
        <f>IFERROR(VLOOKUP($G900,'02_REFERENCE'!$A$2:$S$99,15,FALSE),"N/A")</f>
        <v>High</v>
      </c>
      <c r="F900" s="21" t="str">
        <f>IFERROR(VLOOKUP($G900,'02_REFERENCE'!$A$2:$S$99,17,FALSE),"N/A")</f>
        <v>No</v>
      </c>
      <c r="G900" s="21" t="inlineStr">
        <is>
          <t>S3-RT-004</t>
        </is>
      </c>
      <c r="H900" s="21" t="inlineStr">
        <is>
          <t>Duplicate</t>
        </is>
      </c>
      <c r="I900" s="21" t="inlineStr">
        <is>
          <t>TP</t>
        </is>
      </c>
      <c r="J900" s="21" t="inlineStr">
        <is>
          <t>M</t>
        </is>
      </c>
      <c r="K900" s="21" t="inlineStr">
        <is>
          <t>N</t>
        </is>
      </c>
      <c r="L900" s="21" t="inlineStr">
        <is>
          <t>Yes</t>
        </is>
      </c>
      <c r="M900" s="21" t="inlineStr">
        <is>
          <t>OLLAMA-S3-F003</t>
        </is>
      </c>
      <c r="N900" s="22" t="inlineStr">
        <is>
          <t>Mechanism class token_replay; evidence: Replay [Equivalence: restates OLLAMA-S3-F003 — one-to-one rule applied.]</t>
        </is>
      </c>
      <c r="O900" s="5" t="inlineStr">
        <is>
          <t>token_replay</t>
        </is>
      </c>
      <c r="P900" s="16" t="inlineStr">
        <is>
          <t>Token Replay via DS2 Exploitation</t>
        </is>
      </c>
      <c r="Q900" s="16" t="inlineStr">
        <is>
          <t>DS2, P2</t>
        </is>
      </c>
      <c r="R900" s="16" t="inlineStr"/>
      <c r="S900" s="5" t="inlineStr">
        <is>
          <t>Confirmed</t>
        </is>
      </c>
    </row>
    <row r="901" ht="16" customHeight="1">
      <c r="A901" s="5" t="inlineStr">
        <is>
          <t>OLLAMA-S3-F016</t>
        </is>
      </c>
      <c r="B901" s="5" t="inlineStr">
        <is>
          <t>OLLAMA</t>
        </is>
      </c>
      <c r="C901" s="5" t="inlineStr">
        <is>
          <t>S3</t>
        </is>
      </c>
      <c r="D901" s="21" t="str">
        <f>IFERROR(VLOOKUP($G901,'02_REFERENCE'!$A$2:$S$99,4,FALSE),"N/A")</f>
        <v>Spoofing</v>
      </c>
      <c r="E901" s="21" t="str">
        <f>IFERROR(VLOOKUP($G901,'02_REFERENCE'!$A$2:$S$99,15,FALSE),"N/A")</f>
        <v>High</v>
      </c>
      <c r="F901" s="21" t="str">
        <f>IFERROR(VLOOKUP($G901,'02_REFERENCE'!$A$2:$S$99,17,FALSE),"N/A")</f>
        <v>No</v>
      </c>
      <c r="G901" s="21" t="inlineStr">
        <is>
          <t>S3-RT-003</t>
        </is>
      </c>
      <c r="H901" s="21" t="inlineStr">
        <is>
          <t>Duplicate</t>
        </is>
      </c>
      <c r="I901" s="21" t="inlineStr">
        <is>
          <t>TP</t>
        </is>
      </c>
      <c r="J901" s="21" t="inlineStr">
        <is>
          <t>M</t>
        </is>
      </c>
      <c r="K901" s="21" t="inlineStr">
        <is>
          <t>N</t>
        </is>
      </c>
      <c r="L901" s="21" t="inlineStr">
        <is>
          <t>Yes</t>
        </is>
      </c>
      <c r="M901" s="21" t="inlineStr">
        <is>
          <t>OLLAMA-S3-F004</t>
        </is>
      </c>
      <c r="N901" s="22" t="inlineStr">
        <is>
          <t>Mechanism class transit_token; evidence: Token Leak [Equivalence: restates OLLAMA-S3-F004 — one-to-one rule applied.]</t>
        </is>
      </c>
      <c r="O901" s="5" t="inlineStr">
        <is>
          <t>transit_token</t>
        </is>
      </c>
      <c r="P901" s="16" t="inlineStr">
        <is>
          <t>Token Leakage via P5 Exploitation</t>
        </is>
      </c>
      <c r="Q901" s="16" t="inlineStr">
        <is>
          <t>P5, EE2</t>
        </is>
      </c>
      <c r="R901" s="16" t="inlineStr"/>
      <c r="S901" s="5" t="inlineStr">
        <is>
          <t>Confirmed</t>
        </is>
      </c>
    </row>
    <row r="902" ht="16" customHeight="1">
      <c r="A902" s="5" t="inlineStr">
        <is>
          <t>OLLAMA-S3-F017</t>
        </is>
      </c>
      <c r="B902" s="5" t="inlineStr">
        <is>
          <t>OLLAMA</t>
        </is>
      </c>
      <c r="C902" s="5" t="inlineStr">
        <is>
          <t>S3</t>
        </is>
      </c>
      <c r="D902" s="21" t="str">
        <f>IFERROR(VLOOKUP($G902,'02_REFERENCE'!$A$2:$S$99,4,FALSE),"N/A")</f>
        <v>Spoofing</v>
      </c>
      <c r="E902" s="21" t="str">
        <f>IFERROR(VLOOKUP($G902,'02_REFERENCE'!$A$2:$S$99,15,FALSE),"N/A")</f>
        <v>Critical</v>
      </c>
      <c r="F902" s="21" t="str">
        <f>IFERROR(VLOOKUP($G902,'02_REFERENCE'!$A$2:$S$99,17,FALSE),"N/A")</f>
        <v>No</v>
      </c>
      <c r="G902" s="21" t="inlineStr">
        <is>
          <t>S3-RT-001</t>
        </is>
      </c>
      <c r="H902" s="21" t="inlineStr">
        <is>
          <t>Primary TP</t>
        </is>
      </c>
      <c r="I902" s="21" t="inlineStr">
        <is>
          <t>TP</t>
        </is>
      </c>
      <c r="J902" s="21" t="inlineStr">
        <is>
          <t>L</t>
        </is>
      </c>
      <c r="K902" s="21" t="inlineStr">
        <is>
          <t>Y</t>
        </is>
      </c>
      <c r="L902" s="21" t="inlineStr">
        <is>
          <t>No</t>
        </is>
      </c>
      <c r="M902" s="21" t="inlineStr"/>
      <c r="N902" s="22" t="inlineStr">
        <is>
          <t>Mechanism class verif_bypass_guessable; evidence: Recovery Service (P2) to bypass</t>
        </is>
      </c>
      <c r="O902" s="5" t="inlineStr">
        <is>
          <t>verif_bypass_guessable</t>
        </is>
      </c>
      <c r="P902" s="16" t="inlineStr">
        <is>
          <t>Identity Verification Bypass via P2 Exploitation</t>
        </is>
      </c>
      <c r="Q902" s="16" t="inlineStr">
        <is>
          <t>P2</t>
        </is>
      </c>
      <c r="R902" s="16" t="inlineStr"/>
      <c r="S902" s="5" t="inlineStr">
        <is>
          <t>Manual review</t>
        </is>
      </c>
    </row>
    <row r="903" ht="16" customHeight="1">
      <c r="A903" s="5" t="inlineStr">
        <is>
          <t>OLLAMA-S3-F018</t>
        </is>
      </c>
      <c r="B903" s="5" t="inlineStr">
        <is>
          <t>OLLAMA</t>
        </is>
      </c>
      <c r="C903" s="5" t="inlineStr">
        <is>
          <t>S3</t>
        </is>
      </c>
      <c r="D903" s="21" t="str">
        <f>IFERROR(VLOOKUP($G903,'02_REFERENCE'!$A$2:$S$99,4,FALSE),"N/A")</f>
        <v>N/A</v>
      </c>
      <c r="E903" s="21" t="str">
        <f>IFERROR(VLOOKUP($G903,'02_REFERENCE'!$A$2:$S$99,15,FALSE),"N/A")</f>
        <v>N/A</v>
      </c>
      <c r="F903" s="21" t="str">
        <f>IFERROR(VLOOKUP($G903,'02_REFERENCE'!$A$2:$S$99,17,FALSE),"N/A")</f>
        <v>N/A</v>
      </c>
      <c r="G903" s="21" t="inlineStr"/>
      <c r="H903" s="21" t="inlineStr">
        <is>
          <t>False Positive</t>
        </is>
      </c>
      <c r="I903" s="21" t="inlineStr">
        <is>
          <t>FP</t>
        </is>
      </c>
      <c r="J903" s="21" t="inlineStr">
        <is>
          <t>M</t>
        </is>
      </c>
      <c r="K903" s="21" t="inlineStr">
        <is>
          <t>N</t>
        </is>
      </c>
      <c r="L903" s="21" t="inlineStr">
        <is>
          <t>No</t>
        </is>
      </c>
      <c r="M903" s="21" t="inlineStr"/>
      <c r="N903" s="22" t="inlineStr">
        <is>
          <t>No reference threat corresponds to this finding's mechanism (scoring found no class with sufficient evidence).</t>
        </is>
      </c>
      <c r="O903" s="5" t="inlineStr"/>
      <c r="P903" s="16" t="inlineStr">
        <is>
          <t>Privilege Escalation via EE1 Manipulation</t>
        </is>
      </c>
      <c r="Q903" s="16" t="inlineStr">
        <is>
          <t>EE1, DS1</t>
        </is>
      </c>
      <c r="R903" s="16" t="inlineStr"/>
      <c r="S903" s="5" t="inlineStr">
        <is>
          <t>Confirmed</t>
        </is>
      </c>
    </row>
    <row r="904" ht="16" customHeight="1">
      <c r="A904" s="5" t="inlineStr">
        <is>
          <t>OLLAMA-S3-F019</t>
        </is>
      </c>
      <c r="B904" s="5" t="inlineStr">
        <is>
          <t>OLLAMA</t>
        </is>
      </c>
      <c r="C904" s="5" t="inlineStr">
        <is>
          <t>S3</t>
        </is>
      </c>
      <c r="D904" s="21" t="str">
        <f>IFERROR(VLOOKUP($G904,'02_REFERENCE'!$A$2:$S$99,4,FALSE),"N/A")</f>
        <v>N/A</v>
      </c>
      <c r="E904" s="21" t="str">
        <f>IFERROR(VLOOKUP($G904,'02_REFERENCE'!$A$2:$S$99,15,FALSE),"N/A")</f>
        <v>N/A</v>
      </c>
      <c r="F904" s="21" t="str">
        <f>IFERROR(VLOOKUP($G904,'02_REFERENCE'!$A$2:$S$99,17,FALSE),"N/A")</f>
        <v>N/A</v>
      </c>
      <c r="G904" s="21" t="inlineStr"/>
      <c r="H904" s="21" t="inlineStr">
        <is>
          <t>False Positive</t>
        </is>
      </c>
      <c r="I904" s="21" t="inlineStr">
        <is>
          <t>FP</t>
        </is>
      </c>
      <c r="J904" s="21" t="inlineStr">
        <is>
          <t>M</t>
        </is>
      </c>
      <c r="K904" s="21" t="inlineStr">
        <is>
          <t>N</t>
        </is>
      </c>
      <c r="L904" s="21" t="inlineStr">
        <is>
          <t>No</t>
        </is>
      </c>
      <c r="M904" s="21" t="inlineStr"/>
      <c r="N904" s="22" t="inlineStr">
        <is>
          <t>No reference threat corresponds to this finding's mechanism (scoring found no class with sufficient evidence).</t>
        </is>
      </c>
      <c r="O904" s="5" t="inlineStr"/>
      <c r="P904" s="16" t="inlineStr">
        <is>
          <t>Unauthorized Profile Modification via P3 Exploitation</t>
        </is>
      </c>
      <c r="Q904" s="16" t="inlineStr">
        <is>
          <t>P3, DS1</t>
        </is>
      </c>
      <c r="R904" s="16" t="inlineStr"/>
      <c r="S904" s="5" t="inlineStr">
        <is>
          <t>Confirmed</t>
        </is>
      </c>
    </row>
    <row r="905" ht="16" customHeight="1">
      <c r="A905" s="5" t="inlineStr">
        <is>
          <t>OLLAMA-S3-F020</t>
        </is>
      </c>
      <c r="B905" s="5" t="inlineStr">
        <is>
          <t>OLLAMA</t>
        </is>
      </c>
      <c r="C905" s="5" t="inlineStr">
        <is>
          <t>S3</t>
        </is>
      </c>
      <c r="D905" s="21" t="str">
        <f>IFERROR(VLOOKUP($G905,'02_REFERENCE'!$A$2:$S$99,4,FALSE),"N/A")</f>
        <v>Tampering</v>
      </c>
      <c r="E905" s="21" t="str">
        <f>IFERROR(VLOOKUP($G905,'02_REFERENCE'!$A$2:$S$99,15,FALSE),"N/A")</f>
        <v>High</v>
      </c>
      <c r="F905" s="21" t="str">
        <f>IFERROR(VLOOKUP($G905,'02_REFERENCE'!$A$2:$S$99,17,FALSE),"N/A")</f>
        <v>Yes</v>
      </c>
      <c r="G905" s="21" t="inlineStr">
        <is>
          <t>S3-RT-019</t>
        </is>
      </c>
      <c r="H905" s="21" t="inlineStr">
        <is>
          <t>Primary TP</t>
        </is>
      </c>
      <c r="I905" s="21" t="inlineStr">
        <is>
          <t>TP</t>
        </is>
      </c>
      <c r="J905" s="21" t="inlineStr">
        <is>
          <t>H</t>
        </is>
      </c>
      <c r="K905" s="21" t="inlineStr">
        <is>
          <t>Y</t>
        </is>
      </c>
      <c r="L905" s="21" t="inlineStr">
        <is>
          <t>No</t>
        </is>
      </c>
      <c r="M905" s="21" t="inlineStr"/>
      <c r="N905" s="22" t="inlineStr">
        <is>
          <t>Mechanism class prompt_injection_direct; evidence: Prompt Injection; Prompt Inject; inject malicious prompt; Prompt Injection via EE1 Manipulat</t>
        </is>
      </c>
      <c r="O905" s="5" t="inlineStr">
        <is>
          <t>prompt_injection_direct</t>
        </is>
      </c>
      <c r="P905" s="16" t="inlineStr">
        <is>
          <t>Prompt Injection via EE1 Manipulation</t>
        </is>
      </c>
      <c r="Q905" s="16" t="inlineStr">
        <is>
          <t>EE1, P5</t>
        </is>
      </c>
      <c r="R905" s="16" t="inlineStr"/>
      <c r="S905" s="5" t="inlineStr">
        <is>
          <t>Confirmed</t>
        </is>
      </c>
    </row>
    <row r="906" ht="16" customHeight="1">
      <c r="A906" s="5" t="inlineStr">
        <is>
          <t>OLLAMA-S3-F021</t>
        </is>
      </c>
      <c r="B906" s="5" t="inlineStr">
        <is>
          <t>OLLAMA</t>
        </is>
      </c>
      <c r="C906" s="5" t="inlineStr">
        <is>
          <t>S3</t>
        </is>
      </c>
      <c r="D906" s="21" t="str">
        <f>IFERROR(VLOOKUP($G906,'02_REFERENCE'!$A$2:$S$99,4,FALSE),"N/A")</f>
        <v>N/A</v>
      </c>
      <c r="E906" s="21" t="str">
        <f>IFERROR(VLOOKUP($G906,'02_REFERENCE'!$A$2:$S$99,15,FALSE),"N/A")</f>
        <v>N/A</v>
      </c>
      <c r="F906" s="21" t="str">
        <f>IFERROR(VLOOKUP($G906,'02_REFERENCE'!$A$2:$S$99,17,FALSE),"N/A")</f>
        <v>N/A</v>
      </c>
      <c r="G906" s="21" t="inlineStr"/>
      <c r="H906" s="21" t="inlineStr">
        <is>
          <t>False Positive</t>
        </is>
      </c>
      <c r="I906" s="21" t="inlineStr">
        <is>
          <t>FP</t>
        </is>
      </c>
      <c r="J906" s="21" t="inlineStr">
        <is>
          <t>M</t>
        </is>
      </c>
      <c r="K906" s="21" t="inlineStr">
        <is>
          <t>N</t>
        </is>
      </c>
      <c r="L906" s="21" t="inlineStr">
        <is>
          <t>No</t>
        </is>
      </c>
      <c r="M906" s="21" t="inlineStr"/>
      <c r="N906" s="22" t="inlineStr">
        <is>
          <t>No reference threat corresponds to this finding's mechanism (scoring found no class with sufficient evidence).</t>
        </is>
      </c>
      <c r="O906" s="5" t="inlineStr"/>
      <c r="P906" s="16" t="inlineStr">
        <is>
          <t>Sensitive Information Disclosure via P5 Exploitation</t>
        </is>
      </c>
      <c r="Q906" s="16" t="inlineStr">
        <is>
          <t>P5, EE2</t>
        </is>
      </c>
      <c r="R906" s="16" t="inlineStr"/>
      <c r="S906" s="5" t="inlineStr">
        <is>
          <t>Confirmed</t>
        </is>
      </c>
    </row>
    <row r="907" ht="16" customHeight="1">
      <c r="A907" s="5" t="inlineStr">
        <is>
          <t>OLLAMA-S3-F022</t>
        </is>
      </c>
      <c r="B907" s="5" t="inlineStr">
        <is>
          <t>OLLAMA</t>
        </is>
      </c>
      <c r="C907" s="5" t="inlineStr">
        <is>
          <t>S3</t>
        </is>
      </c>
      <c r="D907" s="21" t="str">
        <f>IFERROR(VLOOKUP($G907,'02_REFERENCE'!$A$2:$S$99,4,FALSE),"N/A")</f>
        <v>N/A</v>
      </c>
      <c r="E907" s="21" t="str">
        <f>IFERROR(VLOOKUP($G907,'02_REFERENCE'!$A$2:$S$99,15,FALSE),"N/A")</f>
        <v>N/A</v>
      </c>
      <c r="F907" s="21" t="str">
        <f>IFERROR(VLOOKUP($G907,'02_REFERENCE'!$A$2:$S$99,17,FALSE),"N/A")</f>
        <v>N/A</v>
      </c>
      <c r="G907" s="21" t="inlineStr"/>
      <c r="H907" s="21" t="inlineStr">
        <is>
          <t>False Positive</t>
        </is>
      </c>
      <c r="I907" s="21" t="inlineStr">
        <is>
          <t>FP</t>
        </is>
      </c>
      <c r="J907" s="21" t="inlineStr">
        <is>
          <t>M</t>
        </is>
      </c>
      <c r="K907" s="21" t="inlineStr">
        <is>
          <t>N</t>
        </is>
      </c>
      <c r="L907" s="21" t="inlineStr">
        <is>
          <t>No</t>
        </is>
      </c>
      <c r="M907" s="21" t="inlineStr"/>
      <c r="N907" s="22" t="inlineStr">
        <is>
          <t>No reference threat corresponds to this finding's mechanism (scoring found no class with sufficient evidence).</t>
        </is>
      </c>
      <c r="O907" s="5" t="inlineStr"/>
      <c r="P907" s="16" t="inlineStr">
        <is>
          <t>Insecure Output Handling via EE2 Exploitation</t>
        </is>
      </c>
      <c r="Q907" s="16" t="inlineStr">
        <is>
          <t>EE2</t>
        </is>
      </c>
      <c r="R907" s="16" t="inlineStr"/>
      <c r="S907" s="5" t="inlineStr">
        <is>
          <t>Confirmed</t>
        </is>
      </c>
    </row>
    <row r="908" ht="16" customHeight="1">
      <c r="A908" s="5" t="inlineStr">
        <is>
          <t>OLLAMA-S3-F023</t>
        </is>
      </c>
      <c r="B908" s="5" t="inlineStr">
        <is>
          <t>OLLAMA</t>
        </is>
      </c>
      <c r="C908" s="5" t="inlineStr">
        <is>
          <t>S3</t>
        </is>
      </c>
      <c r="D908" s="21" t="str">
        <f>IFERROR(VLOOKUP($G908,'02_REFERENCE'!$A$2:$S$99,4,FALSE),"N/A")</f>
        <v>N/A</v>
      </c>
      <c r="E908" s="21" t="str">
        <f>IFERROR(VLOOKUP($G908,'02_REFERENCE'!$A$2:$S$99,15,FALSE),"N/A")</f>
        <v>N/A</v>
      </c>
      <c r="F908" s="21" t="str">
        <f>IFERROR(VLOOKUP($G908,'02_REFERENCE'!$A$2:$S$99,17,FALSE),"N/A")</f>
        <v>N/A</v>
      </c>
      <c r="G908" s="21" t="inlineStr"/>
      <c r="H908" s="21" t="inlineStr">
        <is>
          <t>False Positive</t>
        </is>
      </c>
      <c r="I908" s="21" t="inlineStr">
        <is>
          <t>FP</t>
        </is>
      </c>
      <c r="J908" s="21" t="inlineStr">
        <is>
          <t>M</t>
        </is>
      </c>
      <c r="K908" s="21" t="inlineStr">
        <is>
          <t>N</t>
        </is>
      </c>
      <c r="L908" s="21" t="inlineStr">
        <is>
          <t>No</t>
        </is>
      </c>
      <c r="M908" s="21" t="inlineStr"/>
      <c r="N908" s="22" t="inlineStr">
        <is>
          <t>No reference threat corresponds to this finding's mechanism (scoring found no class with sufficient evidence).</t>
        </is>
      </c>
      <c r="O908" s="5" t="inlineStr"/>
      <c r="P908" s="16" t="inlineStr">
        <is>
          <t>Excessive AI Agency via P4 Exploitation</t>
        </is>
      </c>
      <c r="Q908" s="16" t="inlineStr">
        <is>
          <t>P4</t>
        </is>
      </c>
      <c r="R908" s="16" t="inlineStr"/>
      <c r="S908" s="5" t="inlineStr">
        <is>
          <t>Confirmed</t>
        </is>
      </c>
    </row>
    <row r="909" ht="16" customHeight="1">
      <c r="A909" s="5" t="inlineStr">
        <is>
          <t>OLLAMA-S3-F024</t>
        </is>
      </c>
      <c r="B909" s="5" t="inlineStr">
        <is>
          <t>OLLAMA</t>
        </is>
      </c>
      <c r="C909" s="5" t="inlineStr">
        <is>
          <t>S3</t>
        </is>
      </c>
      <c r="D909" s="21" t="str">
        <f>IFERROR(VLOOKUP($G909,'02_REFERENCE'!$A$2:$S$99,4,FALSE),"N/A")</f>
        <v>N/A</v>
      </c>
      <c r="E909" s="21" t="str">
        <f>IFERROR(VLOOKUP($G909,'02_REFERENCE'!$A$2:$S$99,15,FALSE),"N/A")</f>
        <v>N/A</v>
      </c>
      <c r="F909" s="21" t="str">
        <f>IFERROR(VLOOKUP($G909,'02_REFERENCE'!$A$2:$S$99,17,FALSE),"N/A")</f>
        <v>N/A</v>
      </c>
      <c r="G909" s="21" t="inlineStr"/>
      <c r="H909" s="21" t="inlineStr">
        <is>
          <t>False Positive</t>
        </is>
      </c>
      <c r="I909" s="21" t="inlineStr">
        <is>
          <t>FP</t>
        </is>
      </c>
      <c r="J909" s="21" t="inlineStr">
        <is>
          <t>M</t>
        </is>
      </c>
      <c r="K909" s="21" t="inlineStr">
        <is>
          <t>N</t>
        </is>
      </c>
      <c r="L909" s="21" t="inlineStr">
        <is>
          <t>No</t>
        </is>
      </c>
      <c r="M909" s="21" t="inlineStr"/>
      <c r="N909" s="22" t="inlineStr">
        <is>
          <t>No reference threat corresponds to this finding's mechanism (scoring found no class with sufficient evidence).</t>
        </is>
      </c>
      <c r="O909" s="5" t="inlineStr"/>
      <c r="P909" s="16" t="inlineStr">
        <is>
          <t>External LLM Risks via EE2 Exploitation</t>
        </is>
      </c>
      <c r="Q909" s="16" t="inlineStr">
        <is>
          <t>EE2</t>
        </is>
      </c>
      <c r="R909" s="16" t="inlineStr"/>
      <c r="S909" s="5" t="inlineStr">
        <is>
          <t>Confirmed</t>
        </is>
      </c>
    </row>
    <row r="910" ht="16" customHeight="1">
      <c r="A910" s="5" t="inlineStr">
        <is>
          <t>THREMOLIA-S3-F001</t>
        </is>
      </c>
      <c r="B910" s="5" t="inlineStr">
        <is>
          <t>THREMOLIA</t>
        </is>
      </c>
      <c r="C910" s="5" t="inlineStr">
        <is>
          <t>S3</t>
        </is>
      </c>
      <c r="D910" s="21" t="str">
        <f>IFERROR(VLOOKUP($G910,'02_REFERENCE'!$A$2:$S$99,4,FALSE),"N/A")</f>
        <v>N/A</v>
      </c>
      <c r="E910" s="21" t="str">
        <f>IFERROR(VLOOKUP($G910,'02_REFERENCE'!$A$2:$S$99,15,FALSE),"N/A")</f>
        <v>N/A</v>
      </c>
      <c r="F910" s="21" t="str">
        <f>IFERROR(VLOOKUP($G910,'02_REFERENCE'!$A$2:$S$99,17,FALSE),"N/A")</f>
        <v>N/A</v>
      </c>
      <c r="G910" s="21" t="inlineStr"/>
      <c r="H910" s="21" t="inlineStr">
        <is>
          <t>False Positive</t>
        </is>
      </c>
      <c r="I910" s="21" t="inlineStr">
        <is>
          <t>FP</t>
        </is>
      </c>
      <c r="J910" s="21" t="inlineStr">
        <is>
          <t>M</t>
        </is>
      </c>
      <c r="K910" s="21" t="inlineStr">
        <is>
          <t>N</t>
        </is>
      </c>
      <c r="L910" s="21" t="inlineStr">
        <is>
          <t>No</t>
        </is>
      </c>
      <c r="M910" s="21" t="inlineStr"/>
      <c r="N910" s="22" t="inlineStr">
        <is>
          <t>No reference threat corresponds to this finding's mechanism (scoring found no class with sufficient evidence).</t>
        </is>
      </c>
      <c r="O910" s="5" t="inlineStr"/>
      <c r="P910" s="16" t="inlineStr"/>
      <c r="Q910" s="16" t="inlineStr">
        <is>
          <t>EE1: End User</t>
        </is>
      </c>
      <c r="R910" s="16" t="inlineStr"/>
      <c r="S910" s="5" t="inlineStr">
        <is>
          <t>Confirmed</t>
        </is>
      </c>
    </row>
    <row r="911" ht="16" customHeight="1">
      <c r="A911" s="5" t="inlineStr">
        <is>
          <t>THREMOLIA-S3-F002</t>
        </is>
      </c>
      <c r="B911" s="5" t="inlineStr">
        <is>
          <t>THREMOLIA</t>
        </is>
      </c>
      <c r="C911" s="5" t="inlineStr">
        <is>
          <t>S3</t>
        </is>
      </c>
      <c r="D911" s="21" t="str">
        <f>IFERROR(VLOOKUP($G911,'02_REFERENCE'!$A$2:$S$99,4,FALSE),"N/A")</f>
        <v>Repudiation</v>
      </c>
      <c r="E911" s="21" t="str">
        <f>IFERROR(VLOOKUP($G911,'02_REFERENCE'!$A$2:$S$99,15,FALSE),"N/A")</f>
        <v>Medium</v>
      </c>
      <c r="F911" s="21" t="str">
        <f>IFERROR(VLOOKUP($G911,'02_REFERENCE'!$A$2:$S$99,17,FALSE),"N/A")</f>
        <v>No</v>
      </c>
      <c r="G911" s="21" t="inlineStr">
        <is>
          <t>S3-RT-018</t>
        </is>
      </c>
      <c r="H911" s="21" t="inlineStr">
        <is>
          <t>Duplicate</t>
        </is>
      </c>
      <c r="I911" s="21" t="inlineStr">
        <is>
          <t>TP</t>
        </is>
      </c>
      <c r="J911" s="21" t="inlineStr">
        <is>
          <t>M</t>
        </is>
      </c>
      <c r="K911" s="21" t="inlineStr">
        <is>
          <t>N</t>
        </is>
      </c>
      <c r="L911" s="21" t="inlineStr">
        <is>
          <t>Yes</t>
        </is>
      </c>
      <c r="M911" s="21" t="inlineStr">
        <is>
          <t>THREMOLIA-S3-F019</t>
        </is>
      </c>
      <c r="N911" s="22" t="inlineStr">
        <is>
          <t>Mechanism class repudiation; evidence: denies initiating account recovery, claiming [Equivalence: restates THREMOLIA-S3-F019 — one-to-one rule applied.]</t>
        </is>
      </c>
      <c r="O911" s="5" t="inlineStr">
        <is>
          <t>repudiation</t>
        </is>
      </c>
      <c r="P911" s="16" t="inlineStr"/>
      <c r="Q911" s="16" t="inlineStr">
        <is>
          <t>EE1: End User</t>
        </is>
      </c>
      <c r="R911" s="16" t="inlineStr"/>
      <c r="S911" s="5" t="inlineStr">
        <is>
          <t>Confirmed</t>
        </is>
      </c>
    </row>
    <row r="912" ht="16" customHeight="1">
      <c r="A912" s="5" t="inlineStr">
        <is>
          <t>THREMOLIA-S3-F003</t>
        </is>
      </c>
      <c r="B912" s="5" t="inlineStr">
        <is>
          <t>THREMOLIA</t>
        </is>
      </c>
      <c r="C912" s="5" t="inlineStr">
        <is>
          <t>S3</t>
        </is>
      </c>
      <c r="D912" s="21" t="str">
        <f>IFERROR(VLOOKUP($G912,'02_REFERENCE'!$A$2:$S$99,4,FALSE),"N/A")</f>
        <v>Spoofing</v>
      </c>
      <c r="E912" s="21" t="str">
        <f>IFERROR(VLOOKUP($G912,'02_REFERENCE'!$A$2:$S$99,15,FALSE),"N/A")</f>
        <v>High</v>
      </c>
      <c r="F912" s="21" t="str">
        <f>IFERROR(VLOOKUP($G912,'02_REFERENCE'!$A$2:$S$99,17,FALSE),"N/A")</f>
        <v>Yes</v>
      </c>
      <c r="G912" s="21" t="inlineStr">
        <is>
          <t>S3-RT-029</t>
        </is>
      </c>
      <c r="H912" s="21" t="inlineStr">
        <is>
          <t>Primary TP</t>
        </is>
      </c>
      <c r="I912" s="21" t="inlineStr">
        <is>
          <t>TP</t>
        </is>
      </c>
      <c r="J912" s="21" t="inlineStr">
        <is>
          <t>H</t>
        </is>
      </c>
      <c r="K912" s="21" t="inlineStr">
        <is>
          <t>Y</t>
        </is>
      </c>
      <c r="L912" s="21" t="inlineStr">
        <is>
          <t>No</t>
        </is>
      </c>
      <c r="M912" s="21" t="inlineStr"/>
      <c r="N912" s="22" t="inlineStr">
        <is>
          <t>Mechanism class model_substitution; evidence: Rogue endpoint; endpoint or DNS spoofing impersonat</t>
        </is>
      </c>
      <c r="O912" s="5" t="inlineStr">
        <is>
          <t>model_substitution</t>
        </is>
      </c>
      <c r="P912" s="16" t="inlineStr"/>
      <c r="Q912" s="16" t="inlineStr">
        <is>
          <t>EE2: External LLM Provider</t>
        </is>
      </c>
      <c r="R912" s="16" t="inlineStr"/>
      <c r="S912" s="5" t="inlineStr">
        <is>
          <t>Confirmed</t>
        </is>
      </c>
    </row>
    <row r="913" ht="16" customHeight="1">
      <c r="A913" s="5" t="inlineStr">
        <is>
          <t>THREMOLIA-S3-F004</t>
        </is>
      </c>
      <c r="B913" s="5" t="inlineStr">
        <is>
          <t>THREMOLIA</t>
        </is>
      </c>
      <c r="C913" s="5" t="inlineStr">
        <is>
          <t>S3</t>
        </is>
      </c>
      <c r="D913" s="21" t="str">
        <f>IFERROR(VLOOKUP($G913,'02_REFERENCE'!$A$2:$S$99,4,FALSE),"N/A")</f>
        <v>N/A</v>
      </c>
      <c r="E913" s="21" t="str">
        <f>IFERROR(VLOOKUP($G913,'02_REFERENCE'!$A$2:$S$99,15,FALSE),"N/A")</f>
        <v>N/A</v>
      </c>
      <c r="F913" s="21" t="str">
        <f>IFERROR(VLOOKUP($G913,'02_REFERENCE'!$A$2:$S$99,17,FALSE),"N/A")</f>
        <v>N/A</v>
      </c>
      <c r="G913" s="21" t="inlineStr"/>
      <c r="H913" s="21" t="inlineStr">
        <is>
          <t>False Positive</t>
        </is>
      </c>
      <c r="I913" s="21" t="inlineStr">
        <is>
          <t>FP</t>
        </is>
      </c>
      <c r="J913" s="21" t="inlineStr">
        <is>
          <t>M</t>
        </is>
      </c>
      <c r="K913" s="21" t="inlineStr">
        <is>
          <t>N</t>
        </is>
      </c>
      <c r="L913" s="21" t="inlineStr">
        <is>
          <t>No</t>
        </is>
      </c>
      <c r="M913" s="21" t="inlineStr"/>
      <c r="N913" s="22" t="inlineStr">
        <is>
          <t>No reference threat corresponds to this finding's mechanism (scoring found no class with sufficient evidence).</t>
        </is>
      </c>
      <c r="O913" s="5" t="inlineStr"/>
      <c r="P913" s="16" t="inlineStr"/>
      <c r="Q913" s="16" t="inlineStr">
        <is>
          <t>EE2: External LLM Provider</t>
        </is>
      </c>
      <c r="R913" s="16" t="inlineStr"/>
      <c r="S913" s="5" t="inlineStr">
        <is>
          <t>Confirmed</t>
        </is>
      </c>
    </row>
    <row r="914" ht="16" customHeight="1">
      <c r="A914" s="5" t="inlineStr">
        <is>
          <t>THREMOLIA-S3-F005</t>
        </is>
      </c>
      <c r="B914" s="5" t="inlineStr">
        <is>
          <t>THREMOLIA</t>
        </is>
      </c>
      <c r="C914" s="5" t="inlineStr">
        <is>
          <t>S3</t>
        </is>
      </c>
      <c r="D914" s="21" t="str">
        <f>IFERROR(VLOOKUP($G914,'02_REFERENCE'!$A$2:$S$99,4,FALSE),"N/A")</f>
        <v>Spoofing</v>
      </c>
      <c r="E914" s="21" t="str">
        <f>IFERROR(VLOOKUP($G914,'02_REFERENCE'!$A$2:$S$99,15,FALSE),"N/A")</f>
        <v>High</v>
      </c>
      <c r="F914" s="21" t="str">
        <f>IFERROR(VLOOKUP($G914,'02_REFERENCE'!$A$2:$S$99,17,FALSE),"N/A")</f>
        <v>No</v>
      </c>
      <c r="G914" s="21" t="inlineStr">
        <is>
          <t>S3-RT-003</t>
        </is>
      </c>
      <c r="H914" s="21" t="inlineStr">
        <is>
          <t>Primary TP</t>
        </is>
      </c>
      <c r="I914" s="21" t="inlineStr">
        <is>
          <t>TP</t>
        </is>
      </c>
      <c r="J914" s="21" t="inlineStr">
        <is>
          <t>M</t>
        </is>
      </c>
      <c r="K914" s="21" t="inlineStr">
        <is>
          <t>Y</t>
        </is>
      </c>
      <c r="L914" s="21" t="inlineStr">
        <is>
          <t>No</t>
        </is>
      </c>
      <c r="M914" s="21" t="inlineStr"/>
      <c r="N914" s="22" t="inlineStr">
        <is>
          <t>Mechanism class phishing; evidence: Phishing</t>
        </is>
      </c>
      <c r="O914" s="5" t="inlineStr">
        <is>
          <t>phishing</t>
        </is>
      </c>
      <c r="P914" s="16" t="inlineStr"/>
      <c r="Q914" s="16" t="inlineStr">
        <is>
          <t>P1: Web Frontend Interface</t>
        </is>
      </c>
      <c r="R914" s="16" t="inlineStr"/>
      <c r="S914" s="5" t="inlineStr">
        <is>
          <t>Confirmed</t>
        </is>
      </c>
    </row>
    <row r="915" ht="16" customHeight="1">
      <c r="A915" s="5" t="inlineStr">
        <is>
          <t>THREMOLIA-S3-F006</t>
        </is>
      </c>
      <c r="B915" s="5" t="inlineStr">
        <is>
          <t>THREMOLIA</t>
        </is>
      </c>
      <c r="C915" s="5" t="inlineStr">
        <is>
          <t>S3</t>
        </is>
      </c>
      <c r="D915" s="21" t="str">
        <f>IFERROR(VLOOKUP($G915,'02_REFERENCE'!$A$2:$S$99,4,FALSE),"N/A")</f>
        <v>Denial of Service</v>
      </c>
      <c r="E915" s="21" t="str">
        <f>IFERROR(VLOOKUP($G915,'02_REFERENCE'!$A$2:$S$99,15,FALSE),"N/A")</f>
        <v>Medium</v>
      </c>
      <c r="F915" s="21" t="str">
        <f>IFERROR(VLOOKUP($G915,'02_REFERENCE'!$A$2:$S$99,17,FALSE),"N/A")</f>
        <v>No</v>
      </c>
      <c r="G915" s="21" t="inlineStr">
        <is>
          <t>S3-RT-031</t>
        </is>
      </c>
      <c r="H915" s="21" t="inlineStr">
        <is>
          <t>Primary TP</t>
        </is>
      </c>
      <c r="I915" s="21" t="inlineStr">
        <is>
          <t>TP</t>
        </is>
      </c>
      <c r="J915" s="21" t="inlineStr">
        <is>
          <t>M</t>
        </is>
      </c>
      <c r="K915" s="21" t="inlineStr">
        <is>
          <t>Y</t>
        </is>
      </c>
      <c r="L915" s="21" t="inlineStr">
        <is>
          <t>No</t>
        </is>
      </c>
      <c r="M915" s="21" t="inlineStr"/>
      <c r="N915" s="22" t="inlineStr">
        <is>
          <t>Mechanism class session_store_tamper; evidence: tokens or tamper</t>
        </is>
      </c>
      <c r="O915" s="5" t="inlineStr">
        <is>
          <t>session_store_tamper</t>
        </is>
      </c>
      <c r="P915" s="16" t="inlineStr"/>
      <c r="Q915" s="16" t="inlineStr">
        <is>
          <t>P1: Web Frontend Interface</t>
        </is>
      </c>
      <c r="R915" s="16" t="inlineStr"/>
      <c r="S915" s="5" t="inlineStr">
        <is>
          <t>Confirmed</t>
        </is>
      </c>
    </row>
    <row r="916" ht="16" customHeight="1">
      <c r="A916" s="5" t="inlineStr">
        <is>
          <t>THREMOLIA-S3-F007</t>
        </is>
      </c>
      <c r="B916" s="5" t="inlineStr">
        <is>
          <t>THREMOLIA</t>
        </is>
      </c>
      <c r="C916" s="5" t="inlineStr">
        <is>
          <t>S3</t>
        </is>
      </c>
      <c r="D916" s="21" t="str">
        <f>IFERROR(VLOOKUP($G916,'02_REFERENCE'!$A$2:$S$99,4,FALSE),"N/A")</f>
        <v>N/A</v>
      </c>
      <c r="E916" s="21" t="str">
        <f>IFERROR(VLOOKUP($G916,'02_REFERENCE'!$A$2:$S$99,15,FALSE),"N/A")</f>
        <v>N/A</v>
      </c>
      <c r="F916" s="21" t="str">
        <f>IFERROR(VLOOKUP($G916,'02_REFERENCE'!$A$2:$S$99,17,FALSE),"N/A")</f>
        <v>N/A</v>
      </c>
      <c r="G916" s="21" t="inlineStr"/>
      <c r="H916" s="21" t="inlineStr">
        <is>
          <t>False Positive</t>
        </is>
      </c>
      <c r="I916" s="21" t="inlineStr">
        <is>
          <t>FP</t>
        </is>
      </c>
      <c r="J916" s="21" t="inlineStr">
        <is>
          <t>M</t>
        </is>
      </c>
      <c r="K916" s="21" t="inlineStr">
        <is>
          <t>N</t>
        </is>
      </c>
      <c r="L916" s="21" t="inlineStr">
        <is>
          <t>No</t>
        </is>
      </c>
      <c r="M916" s="21" t="inlineStr"/>
      <c r="N916" s="22" t="inlineStr">
        <is>
          <t>No reference threat corresponds to this finding's mechanism (scoring found no class with sufficient evidence).</t>
        </is>
      </c>
      <c r="O916" s="5" t="inlineStr"/>
      <c r="P916" s="16" t="inlineStr"/>
      <c r="Q916" s="16" t="inlineStr">
        <is>
          <t>P1: Web Frontend Interface</t>
        </is>
      </c>
      <c r="R916" s="16" t="inlineStr"/>
      <c r="S916" s="5" t="inlineStr">
        <is>
          <t>Confirmed</t>
        </is>
      </c>
    </row>
    <row r="917" ht="16" customHeight="1">
      <c r="A917" s="5" t="inlineStr">
        <is>
          <t>THREMOLIA-S3-F008</t>
        </is>
      </c>
      <c r="B917" s="5" t="inlineStr">
        <is>
          <t>THREMOLIA</t>
        </is>
      </c>
      <c r="C917" s="5" t="inlineStr">
        <is>
          <t>S3</t>
        </is>
      </c>
      <c r="D917" s="21" t="str">
        <f>IFERROR(VLOOKUP($G917,'02_REFERENCE'!$A$2:$S$99,4,FALSE),"N/A")</f>
        <v>Spoofing</v>
      </c>
      <c r="E917" s="21" t="str">
        <f>IFERROR(VLOOKUP($G917,'02_REFERENCE'!$A$2:$S$99,15,FALSE),"N/A")</f>
        <v>High</v>
      </c>
      <c r="F917" s="21" t="str">
        <f>IFERROR(VLOOKUP($G917,'02_REFERENCE'!$A$2:$S$99,17,FALSE),"N/A")</f>
        <v>No</v>
      </c>
      <c r="G917" s="21" t="inlineStr">
        <is>
          <t>S3-RT-003</t>
        </is>
      </c>
      <c r="H917" s="21" t="inlineStr">
        <is>
          <t>Duplicate</t>
        </is>
      </c>
      <c r="I917" s="21" t="inlineStr">
        <is>
          <t>TP</t>
        </is>
      </c>
      <c r="J917" s="21" t="inlineStr">
        <is>
          <t>L</t>
        </is>
      </c>
      <c r="K917" s="21" t="inlineStr">
        <is>
          <t>N</t>
        </is>
      </c>
      <c r="L917" s="21" t="inlineStr">
        <is>
          <t>Yes</t>
        </is>
      </c>
      <c r="M917" s="21" t="inlineStr">
        <is>
          <t>THREMOLIA-S3-F005</t>
        </is>
      </c>
      <c r="N917" s="22" t="inlineStr">
        <is>
          <t>Mechanism class transit_token; evidence: leaks recovery token [Equivalence: restates THREMOLIA-S3-F005 — one-to-one rule applied.]</t>
        </is>
      </c>
      <c r="O917" s="5" t="inlineStr">
        <is>
          <t>transit_token</t>
        </is>
      </c>
      <c r="P917" s="16" t="inlineStr"/>
      <c r="Q917" s="16" t="inlineStr">
        <is>
          <t>P1: Web Frontend Interface</t>
        </is>
      </c>
      <c r="R917" s="16" t="inlineStr"/>
      <c r="S917" s="5" t="inlineStr">
        <is>
          <t>Manual review</t>
        </is>
      </c>
    </row>
    <row r="918" ht="16" customHeight="1">
      <c r="A918" s="5" t="inlineStr">
        <is>
          <t>THREMOLIA-S3-F009</t>
        </is>
      </c>
      <c r="B918" s="5" t="inlineStr">
        <is>
          <t>THREMOLIA</t>
        </is>
      </c>
      <c r="C918" s="5" t="inlineStr">
        <is>
          <t>S3</t>
        </is>
      </c>
      <c r="D918" s="21" t="str">
        <f>IFERROR(VLOOKUP($G918,'02_REFERENCE'!$A$2:$S$99,4,FALSE),"N/A")</f>
        <v>N/A</v>
      </c>
      <c r="E918" s="21" t="str">
        <f>IFERROR(VLOOKUP($G918,'02_REFERENCE'!$A$2:$S$99,15,FALSE),"N/A")</f>
        <v>N/A</v>
      </c>
      <c r="F918" s="21" t="str">
        <f>IFERROR(VLOOKUP($G918,'02_REFERENCE'!$A$2:$S$99,17,FALSE),"N/A")</f>
        <v>N/A</v>
      </c>
      <c r="G918" s="21" t="inlineStr"/>
      <c r="H918" s="21" t="inlineStr">
        <is>
          <t>False Positive</t>
        </is>
      </c>
      <c r="I918" s="21" t="inlineStr">
        <is>
          <t>FP</t>
        </is>
      </c>
      <c r="J918" s="21" t="inlineStr">
        <is>
          <t>M</t>
        </is>
      </c>
      <c r="K918" s="21" t="inlineStr">
        <is>
          <t>N</t>
        </is>
      </c>
      <c r="L918" s="21" t="inlineStr">
        <is>
          <t>No</t>
        </is>
      </c>
      <c r="M918" s="21" t="inlineStr"/>
      <c r="N918" s="22" t="inlineStr">
        <is>
          <t>No reference threat corresponds to this finding's mechanism (scoring found no class with sufficient evidence).</t>
        </is>
      </c>
      <c r="O918" s="5" t="inlineStr"/>
      <c r="P918" s="16" t="inlineStr"/>
      <c r="Q918" s="16" t="inlineStr">
        <is>
          <t>P1: Web Frontend Interface</t>
        </is>
      </c>
      <c r="R918" s="16" t="inlineStr"/>
      <c r="S918" s="5" t="inlineStr">
        <is>
          <t>Confirmed</t>
        </is>
      </c>
    </row>
    <row r="919" ht="16" customHeight="1">
      <c r="A919" s="5" t="inlineStr">
        <is>
          <t>THREMOLIA-S3-F010</t>
        </is>
      </c>
      <c r="B919" s="5" t="inlineStr">
        <is>
          <t>THREMOLIA</t>
        </is>
      </c>
      <c r="C919" s="5" t="inlineStr">
        <is>
          <t>S3</t>
        </is>
      </c>
      <c r="D919" s="21" t="str">
        <f>IFERROR(VLOOKUP($G919,'02_REFERENCE'!$A$2:$S$99,4,FALSE),"N/A")</f>
        <v>N/A</v>
      </c>
      <c r="E919" s="21" t="str">
        <f>IFERROR(VLOOKUP($G919,'02_REFERENCE'!$A$2:$S$99,15,FALSE),"N/A")</f>
        <v>N/A</v>
      </c>
      <c r="F919" s="21" t="str">
        <f>IFERROR(VLOOKUP($G919,'02_REFERENCE'!$A$2:$S$99,17,FALSE),"N/A")</f>
        <v>N/A</v>
      </c>
      <c r="G919" s="21" t="inlineStr"/>
      <c r="H919" s="21" t="inlineStr">
        <is>
          <t>False Positive</t>
        </is>
      </c>
      <c r="I919" s="21" t="inlineStr">
        <is>
          <t>FP</t>
        </is>
      </c>
      <c r="J919" s="21" t="inlineStr">
        <is>
          <t>M</t>
        </is>
      </c>
      <c r="K919" s="21" t="inlineStr">
        <is>
          <t>N</t>
        </is>
      </c>
      <c r="L919" s="21" t="inlineStr">
        <is>
          <t>No</t>
        </is>
      </c>
      <c r="M919" s="21" t="inlineStr"/>
      <c r="N919" s="22" t="inlineStr">
        <is>
          <t>No reference threat corresponds to this finding's mechanism (scoring found no class with sufficient evidence).</t>
        </is>
      </c>
      <c r="O919" s="5" t="inlineStr"/>
      <c r="P919" s="16" t="inlineStr"/>
      <c r="Q919" s="16" t="inlineStr">
        <is>
          <t>P1: Web Frontend Interface</t>
        </is>
      </c>
      <c r="R919" s="16" t="inlineStr"/>
      <c r="S919" s="5" t="inlineStr">
        <is>
          <t>Confirmed</t>
        </is>
      </c>
    </row>
    <row r="920" ht="16" customHeight="1">
      <c r="A920" s="5" t="inlineStr">
        <is>
          <t>THREMOLIA-S3-F011</t>
        </is>
      </c>
      <c r="B920" s="5" t="inlineStr">
        <is>
          <t>THREMOLIA</t>
        </is>
      </c>
      <c r="C920" s="5" t="inlineStr">
        <is>
          <t>S3</t>
        </is>
      </c>
      <c r="D920" s="21" t="str">
        <f>IFERROR(VLOOKUP($G920,'02_REFERENCE'!$A$2:$S$99,4,FALSE),"N/A")</f>
        <v>Spoofing</v>
      </c>
      <c r="E920" s="21" t="str">
        <f>IFERROR(VLOOKUP($G920,'02_REFERENCE'!$A$2:$S$99,15,FALSE),"N/A")</f>
        <v>Critical</v>
      </c>
      <c r="F920" s="21" t="str">
        <f>IFERROR(VLOOKUP($G920,'02_REFERENCE'!$A$2:$S$99,17,FALSE),"N/A")</f>
        <v>No</v>
      </c>
      <c r="G920" s="21" t="inlineStr">
        <is>
          <t>S3-RT-005</t>
        </is>
      </c>
      <c r="H920" s="21" t="inlineStr">
        <is>
          <t>Primary TP</t>
        </is>
      </c>
      <c r="I920" s="21" t="inlineStr">
        <is>
          <t>TP</t>
        </is>
      </c>
      <c r="J920" s="21" t="inlineStr">
        <is>
          <t>H</t>
        </is>
      </c>
      <c r="K920" s="21" t="inlineStr">
        <is>
          <t>Y</t>
        </is>
      </c>
      <c r="L920" s="21" t="inlineStr">
        <is>
          <t>No</t>
        </is>
      </c>
      <c r="M920" s="21" t="inlineStr"/>
      <c r="N920" s="22" t="inlineStr">
        <is>
          <t>Mechanism class predictable_token; evidence: predicts; token validation endpoints or predict</t>
        </is>
      </c>
      <c r="O920" s="5" t="inlineStr">
        <is>
          <t>predictable_token</t>
        </is>
      </c>
      <c r="P920" s="16" t="inlineStr"/>
      <c r="Q920" s="16" t="inlineStr">
        <is>
          <t>P2: Account Recovery Service</t>
        </is>
      </c>
      <c r="R920" s="16" t="inlineStr"/>
      <c r="S920" s="5" t="inlineStr">
        <is>
          <t>Confirmed</t>
        </is>
      </c>
    </row>
    <row r="921" ht="16" customHeight="1">
      <c r="A921" s="5" t="inlineStr">
        <is>
          <t>THREMOLIA-S3-F012</t>
        </is>
      </c>
      <c r="B921" s="5" t="inlineStr">
        <is>
          <t>THREMOLIA</t>
        </is>
      </c>
      <c r="C921" s="5" t="inlineStr">
        <is>
          <t>S3</t>
        </is>
      </c>
      <c r="D921" s="21" t="str">
        <f>IFERROR(VLOOKUP($G921,'02_REFERENCE'!$A$2:$S$99,4,FALSE),"N/A")</f>
        <v>Spoofing</v>
      </c>
      <c r="E921" s="21" t="str">
        <f>IFERROR(VLOOKUP($G921,'02_REFERENCE'!$A$2:$S$99,15,FALSE),"N/A")</f>
        <v>High</v>
      </c>
      <c r="F921" s="21" t="str">
        <f>IFERROR(VLOOKUP($G921,'02_REFERENCE'!$A$2:$S$99,17,FALSE),"N/A")</f>
        <v>No</v>
      </c>
      <c r="G921" s="21" t="inlineStr">
        <is>
          <t>S3-RT-004</t>
        </is>
      </c>
      <c r="H921" s="21" t="inlineStr">
        <is>
          <t>Duplicate</t>
        </is>
      </c>
      <c r="I921" s="21" t="inlineStr">
        <is>
          <t>TP</t>
        </is>
      </c>
      <c r="J921" s="21" t="inlineStr">
        <is>
          <t>L</t>
        </is>
      </c>
      <c r="K921" s="21" t="inlineStr">
        <is>
          <t>N</t>
        </is>
      </c>
      <c r="L921" s="21" t="inlineStr">
        <is>
          <t>Yes</t>
        </is>
      </c>
      <c r="M921" s="21" t="inlineStr">
        <is>
          <t>THREMOLIA-S3-F076</t>
        </is>
      </c>
      <c r="N921" s="22" t="inlineStr">
        <is>
          <t>Mechanism class token_replay; evidence: replay [Equivalence: restates THREMOLIA-S3-F076 — one-to-one rule applied.]</t>
        </is>
      </c>
      <c r="O921" s="5" t="inlineStr">
        <is>
          <t>token_replay</t>
        </is>
      </c>
      <c r="P921" s="16" t="inlineStr"/>
      <c r="Q921" s="16" t="inlineStr">
        <is>
          <t>P2: Account Recovery Service</t>
        </is>
      </c>
      <c r="R921" s="16" t="inlineStr"/>
      <c r="S921" s="5" t="inlineStr">
        <is>
          <t>Manual review</t>
        </is>
      </c>
    </row>
    <row r="922" ht="16" customHeight="1">
      <c r="A922" s="5" t="inlineStr">
        <is>
          <t>THREMOLIA-S3-F013</t>
        </is>
      </c>
      <c r="B922" s="5" t="inlineStr">
        <is>
          <t>THREMOLIA</t>
        </is>
      </c>
      <c r="C922" s="5" t="inlineStr">
        <is>
          <t>S3</t>
        </is>
      </c>
      <c r="D922" s="21" t="str">
        <f>IFERROR(VLOOKUP($G922,'02_REFERENCE'!$A$2:$S$99,4,FALSE),"N/A")</f>
        <v>N/A</v>
      </c>
      <c r="E922" s="21" t="str">
        <f>IFERROR(VLOOKUP($G922,'02_REFERENCE'!$A$2:$S$99,15,FALSE),"N/A")</f>
        <v>N/A</v>
      </c>
      <c r="F922" s="21" t="str">
        <f>IFERROR(VLOOKUP($G922,'02_REFERENCE'!$A$2:$S$99,17,FALSE),"N/A")</f>
        <v>N/A</v>
      </c>
      <c r="G922" s="21" t="inlineStr"/>
      <c r="H922" s="21" t="inlineStr">
        <is>
          <t>False Positive</t>
        </is>
      </c>
      <c r="I922" s="21" t="inlineStr">
        <is>
          <t>FP</t>
        </is>
      </c>
      <c r="J922" s="21" t="inlineStr">
        <is>
          <t>M</t>
        </is>
      </c>
      <c r="K922" s="21" t="inlineStr">
        <is>
          <t>N</t>
        </is>
      </c>
      <c r="L922" s="21" t="inlineStr">
        <is>
          <t>No</t>
        </is>
      </c>
      <c r="M922" s="21" t="inlineStr"/>
      <c r="N922" s="22" t="inlineStr">
        <is>
          <t>No reference threat corresponds to this finding's mechanism (scoring found no class with sufficient evidence).</t>
        </is>
      </c>
      <c r="O922" s="5" t="inlineStr"/>
      <c r="P922" s="16" t="inlineStr"/>
      <c r="Q922" s="16" t="inlineStr">
        <is>
          <t>P2: Account Recovery Service</t>
        </is>
      </c>
      <c r="R922" s="16" t="inlineStr"/>
      <c r="S922" s="5" t="inlineStr">
        <is>
          <t>Confirmed</t>
        </is>
      </c>
    </row>
    <row r="923" ht="16" customHeight="1">
      <c r="A923" s="5" t="inlineStr">
        <is>
          <t>THREMOLIA-S3-F014</t>
        </is>
      </c>
      <c r="B923" s="5" t="inlineStr">
        <is>
          <t>THREMOLIA</t>
        </is>
      </c>
      <c r="C923" s="5" t="inlineStr">
        <is>
          <t>S3</t>
        </is>
      </c>
      <c r="D923" s="21" t="str">
        <f>IFERROR(VLOOKUP($G923,'02_REFERENCE'!$A$2:$S$99,4,FALSE),"N/A")</f>
        <v>Information Disclosure</v>
      </c>
      <c r="E923" s="21" t="str">
        <f>IFERROR(VLOOKUP($G923,'02_REFERENCE'!$A$2:$S$99,15,FALSE),"N/A")</f>
        <v>Medium</v>
      </c>
      <c r="F923" s="21" t="str">
        <f>IFERROR(VLOOKUP($G923,'02_REFERENCE'!$A$2:$S$99,17,FALSE),"N/A")</f>
        <v>No</v>
      </c>
      <c r="G923" s="21" t="inlineStr">
        <is>
          <t>S3-RT-015</t>
        </is>
      </c>
      <c r="H923" s="21" t="inlineStr">
        <is>
          <t>Duplicate</t>
        </is>
      </c>
      <c r="I923" s="21" t="inlineStr">
        <is>
          <t>TP</t>
        </is>
      </c>
      <c r="J923" s="21" t="inlineStr">
        <is>
          <t>M</t>
        </is>
      </c>
      <c r="K923" s="21" t="inlineStr">
        <is>
          <t>N</t>
        </is>
      </c>
      <c r="L923" s="21" t="inlineStr">
        <is>
          <t>Yes</t>
        </is>
      </c>
      <c r="M923" s="21" t="inlineStr">
        <is>
          <t>THREMOLIA-S3-F086</t>
        </is>
      </c>
      <c r="N923" s="22" t="inlineStr">
        <is>
          <t>Mechanism class enumeration; evidence: distinct error response [Equivalence: restates THREMOLIA-S3-F086 — one-to-one rule applied.]</t>
        </is>
      </c>
      <c r="O923" s="5" t="inlineStr">
        <is>
          <t>enumeration</t>
        </is>
      </c>
      <c r="P923" s="16" t="inlineStr"/>
      <c r="Q923" s="16" t="inlineStr">
        <is>
          <t>P2: Account Recovery Service</t>
        </is>
      </c>
      <c r="R923" s="16" t="inlineStr"/>
      <c r="S923" s="5" t="inlineStr">
        <is>
          <t>Confirmed</t>
        </is>
      </c>
    </row>
    <row r="924" ht="16" customHeight="1">
      <c r="A924" s="5" t="inlineStr">
        <is>
          <t>THREMOLIA-S3-F015</t>
        </is>
      </c>
      <c r="B924" s="5" t="inlineStr">
        <is>
          <t>THREMOLIA</t>
        </is>
      </c>
      <c r="C924" s="5" t="inlineStr">
        <is>
          <t>S3</t>
        </is>
      </c>
      <c r="D924" s="21" t="str">
        <f>IFERROR(VLOOKUP($G924,'02_REFERENCE'!$A$2:$S$99,4,FALSE),"N/A")</f>
        <v>Denial of Service</v>
      </c>
      <c r="E924" s="21" t="str">
        <f>IFERROR(VLOOKUP($G924,'02_REFERENCE'!$A$2:$S$99,15,FALSE),"N/A")</f>
        <v>High</v>
      </c>
      <c r="F924" s="21" t="str">
        <f>IFERROR(VLOOKUP($G924,'02_REFERENCE'!$A$2:$S$99,17,FALSE),"N/A")</f>
        <v>No</v>
      </c>
      <c r="G924" s="21" t="inlineStr">
        <is>
          <t>S3-RT-030</t>
        </is>
      </c>
      <c r="H924" s="21" t="inlineStr">
        <is>
          <t>Duplicate</t>
        </is>
      </c>
      <c r="I924" s="21" t="inlineStr">
        <is>
          <t>TP</t>
        </is>
      </c>
      <c r="J924" s="21" t="inlineStr">
        <is>
          <t>M</t>
        </is>
      </c>
      <c r="K924" s="21" t="inlineStr">
        <is>
          <t>N</t>
        </is>
      </c>
      <c r="L924" s="21" t="inlineStr">
        <is>
          <t>Yes</t>
        </is>
      </c>
      <c r="M924" s="21" t="inlineStr">
        <is>
          <t>THREMOLIA-S3-F069</t>
        </is>
      </c>
      <c r="N924" s="22" t="inlineStr">
        <is>
          <t>Mechanism class dos_service (victim-based DoS routing); evidence: exhaust [Equivalence: restates THREMOLIA-S3-F069 — one-to-one rule applied.]</t>
        </is>
      </c>
      <c r="O924" s="5" t="inlineStr">
        <is>
          <t>dos_service</t>
        </is>
      </c>
      <c r="P924" s="16" t="inlineStr"/>
      <c r="Q924" s="16" t="inlineStr">
        <is>
          <t>P2: Account Recovery Service</t>
        </is>
      </c>
      <c r="R924" s="16" t="inlineStr"/>
      <c r="S924" s="5" t="inlineStr">
        <is>
          <t>Confirmed</t>
        </is>
      </c>
    </row>
    <row r="925" ht="16" customHeight="1">
      <c r="A925" s="5" t="inlineStr">
        <is>
          <t>THREMOLIA-S3-F016</t>
        </is>
      </c>
      <c r="B925" s="5" t="inlineStr">
        <is>
          <t>THREMOLIA</t>
        </is>
      </c>
      <c r="C925" s="5" t="inlineStr">
        <is>
          <t>S3</t>
        </is>
      </c>
      <c r="D925" s="21" t="str">
        <f>IFERROR(VLOOKUP($G925,'02_REFERENCE'!$A$2:$S$99,4,FALSE),"N/A")</f>
        <v>N/A</v>
      </c>
      <c r="E925" s="21" t="str">
        <f>IFERROR(VLOOKUP($G925,'02_REFERENCE'!$A$2:$S$99,15,FALSE),"N/A")</f>
        <v>N/A</v>
      </c>
      <c r="F925" s="21" t="str">
        <f>IFERROR(VLOOKUP($G925,'02_REFERENCE'!$A$2:$S$99,17,FALSE),"N/A")</f>
        <v>N/A</v>
      </c>
      <c r="G925" s="21" t="inlineStr"/>
      <c r="H925" s="21" t="inlineStr">
        <is>
          <t>False Positive</t>
        </is>
      </c>
      <c r="I925" s="21" t="inlineStr">
        <is>
          <t>FP</t>
        </is>
      </c>
      <c r="J925" s="21" t="inlineStr">
        <is>
          <t>M</t>
        </is>
      </c>
      <c r="K925" s="21" t="inlineStr">
        <is>
          <t>N</t>
        </is>
      </c>
      <c r="L925" s="21" t="inlineStr">
        <is>
          <t>No</t>
        </is>
      </c>
      <c r="M925" s="21" t="inlineStr"/>
      <c r="N925" s="22" t="inlineStr">
        <is>
          <t>No reference threat corresponds to this finding's mechanism (scoring found no class with sufficient evidence).</t>
        </is>
      </c>
      <c r="O925" s="5" t="inlineStr"/>
      <c r="P925" s="16" t="inlineStr"/>
      <c r="Q925" s="16" t="inlineStr">
        <is>
          <t>P2: Account Recovery Service</t>
        </is>
      </c>
      <c r="R925" s="16" t="inlineStr"/>
      <c r="S925" s="5" t="inlineStr">
        <is>
          <t>Confirmed</t>
        </is>
      </c>
    </row>
    <row r="926" ht="16" customHeight="1">
      <c r="A926" s="5" t="inlineStr">
        <is>
          <t>THREMOLIA-S3-F017</t>
        </is>
      </c>
      <c r="B926" s="5" t="inlineStr">
        <is>
          <t>THREMOLIA</t>
        </is>
      </c>
      <c r="C926" s="5" t="inlineStr">
        <is>
          <t>S3</t>
        </is>
      </c>
      <c r="D926" s="21" t="str">
        <f>IFERROR(VLOOKUP($G926,'02_REFERENCE'!$A$2:$S$99,4,FALSE),"N/A")</f>
        <v>N/A</v>
      </c>
      <c r="E926" s="21" t="str">
        <f>IFERROR(VLOOKUP($G926,'02_REFERENCE'!$A$2:$S$99,15,FALSE),"N/A")</f>
        <v>N/A</v>
      </c>
      <c r="F926" s="21" t="str">
        <f>IFERROR(VLOOKUP($G926,'02_REFERENCE'!$A$2:$S$99,17,FALSE),"N/A")</f>
        <v>N/A</v>
      </c>
      <c r="G926" s="21" t="inlineStr"/>
      <c r="H926" s="21" t="inlineStr">
        <is>
          <t>False Positive</t>
        </is>
      </c>
      <c r="I926" s="21" t="inlineStr">
        <is>
          <t>FP</t>
        </is>
      </c>
      <c r="J926" s="21" t="inlineStr">
        <is>
          <t>M</t>
        </is>
      </c>
      <c r="K926" s="21" t="inlineStr">
        <is>
          <t>N</t>
        </is>
      </c>
      <c r="L926" s="21" t="inlineStr">
        <is>
          <t>No</t>
        </is>
      </c>
      <c r="M926" s="21" t="inlineStr"/>
      <c r="N926" s="22" t="inlineStr">
        <is>
          <t>No reference threat corresponds to this finding's mechanism (scoring found no class with sufficient evidence).</t>
        </is>
      </c>
      <c r="O926" s="5" t="inlineStr"/>
      <c r="P926" s="16" t="inlineStr"/>
      <c r="Q926" s="16" t="inlineStr">
        <is>
          <t>P3: Profile Management Service</t>
        </is>
      </c>
      <c r="R926" s="16" t="inlineStr"/>
      <c r="S926" s="5" t="inlineStr">
        <is>
          <t>Confirmed</t>
        </is>
      </c>
    </row>
    <row r="927" ht="16" customHeight="1">
      <c r="A927" s="5" t="inlineStr">
        <is>
          <t>THREMOLIA-S3-F018</t>
        </is>
      </c>
      <c r="B927" s="5" t="inlineStr">
        <is>
          <t>THREMOLIA</t>
        </is>
      </c>
      <c r="C927" s="5" t="inlineStr">
        <is>
          <t>S3</t>
        </is>
      </c>
      <c r="D927" s="21" t="str">
        <f>IFERROR(VLOOKUP($G927,'02_REFERENCE'!$A$2:$S$99,4,FALSE),"N/A")</f>
        <v>Elevation of Privilege</v>
      </c>
      <c r="E927" s="21" t="str">
        <f>IFERROR(VLOOKUP($G927,'02_REFERENCE'!$A$2:$S$99,15,FALSE),"N/A")</f>
        <v>Critical</v>
      </c>
      <c r="F927" s="21" t="str">
        <f>IFERROR(VLOOKUP($G927,'02_REFERENCE'!$A$2:$S$99,17,FALSE),"N/A")</f>
        <v>No</v>
      </c>
      <c r="G927" s="21" t="inlineStr">
        <is>
          <t>S3-RT-008</t>
        </is>
      </c>
      <c r="H927" s="21" t="inlineStr">
        <is>
          <t>Primary TP</t>
        </is>
      </c>
      <c r="I927" s="21" t="inlineStr">
        <is>
          <t>TP</t>
        </is>
      </c>
      <c r="J927" s="21" t="inlineStr">
        <is>
          <t>L</t>
        </is>
      </c>
      <c r="K927" s="21" t="inlineStr">
        <is>
          <t>Y</t>
        </is>
      </c>
      <c r="L927" s="21" t="inlineStr">
        <is>
          <t>No</t>
        </is>
      </c>
      <c r="M927" s="21" t="inlineStr"/>
      <c r="N927" s="22" t="inlineStr">
        <is>
          <t>Mechanism class mass_assignment; evidence: Mass assignment</t>
        </is>
      </c>
      <c r="O927" s="5" t="inlineStr">
        <is>
          <t>mass_assignment</t>
        </is>
      </c>
      <c r="P927" s="16" t="inlineStr"/>
      <c r="Q927" s="16" t="inlineStr">
        <is>
          <t>P3: Profile Management Service</t>
        </is>
      </c>
      <c r="R927" s="16" t="inlineStr"/>
      <c r="S927" s="5" t="inlineStr">
        <is>
          <t>Manual review</t>
        </is>
      </c>
    </row>
    <row r="928" ht="16" customHeight="1">
      <c r="A928" s="5" t="inlineStr">
        <is>
          <t>THREMOLIA-S3-F019</t>
        </is>
      </c>
      <c r="B928" s="5" t="inlineStr">
        <is>
          <t>THREMOLIA</t>
        </is>
      </c>
      <c r="C928" s="5" t="inlineStr">
        <is>
          <t>S3</t>
        </is>
      </c>
      <c r="D928" s="21" t="str">
        <f>IFERROR(VLOOKUP($G928,'02_REFERENCE'!$A$2:$S$99,4,FALSE),"N/A")</f>
        <v>Repudiation</v>
      </c>
      <c r="E928" s="21" t="str">
        <f>IFERROR(VLOOKUP($G928,'02_REFERENCE'!$A$2:$S$99,15,FALSE),"N/A")</f>
        <v>Medium</v>
      </c>
      <c r="F928" s="21" t="str">
        <f>IFERROR(VLOOKUP($G928,'02_REFERENCE'!$A$2:$S$99,17,FALSE),"N/A")</f>
        <v>No</v>
      </c>
      <c r="G928" s="21" t="inlineStr">
        <is>
          <t>S3-RT-018</t>
        </is>
      </c>
      <c r="H928" s="21" t="inlineStr">
        <is>
          <t>Primary TP</t>
        </is>
      </c>
      <c r="I928" s="21" t="inlineStr">
        <is>
          <t>TP</t>
        </is>
      </c>
      <c r="J928" s="21" t="inlineStr">
        <is>
          <t>H</t>
        </is>
      </c>
      <c r="K928" s="21" t="inlineStr">
        <is>
          <t>Y</t>
        </is>
      </c>
      <c r="L928" s="21" t="inlineStr">
        <is>
          <t>No</t>
        </is>
      </c>
      <c r="M928" s="21" t="inlineStr"/>
      <c r="N928" s="22" t="inlineStr">
        <is>
          <t>Mechanism class repudiation; evidence: audit logging, preventing; without audit</t>
        </is>
      </c>
      <c r="O928" s="5" t="inlineStr">
        <is>
          <t>repudiation</t>
        </is>
      </c>
      <c r="P928" s="16" t="inlineStr"/>
      <c r="Q928" s="16" t="inlineStr">
        <is>
          <t>P3: Profile Management Service</t>
        </is>
      </c>
      <c r="R928" s="16" t="inlineStr"/>
      <c r="S928" s="5" t="inlineStr">
        <is>
          <t>Confirmed</t>
        </is>
      </c>
    </row>
    <row r="929" ht="16" customHeight="1">
      <c r="A929" s="5" t="inlineStr">
        <is>
          <t>THREMOLIA-S3-F020</t>
        </is>
      </c>
      <c r="B929" s="5" t="inlineStr">
        <is>
          <t>THREMOLIA</t>
        </is>
      </c>
      <c r="C929" s="5" t="inlineStr">
        <is>
          <t>S3</t>
        </is>
      </c>
      <c r="D929" s="21" t="str">
        <f>IFERROR(VLOOKUP($G929,'02_REFERENCE'!$A$2:$S$99,4,FALSE),"N/A")</f>
        <v>N/A</v>
      </c>
      <c r="E929" s="21" t="str">
        <f>IFERROR(VLOOKUP($G929,'02_REFERENCE'!$A$2:$S$99,15,FALSE),"N/A")</f>
        <v>N/A</v>
      </c>
      <c r="F929" s="21" t="str">
        <f>IFERROR(VLOOKUP($G929,'02_REFERENCE'!$A$2:$S$99,17,FALSE),"N/A")</f>
        <v>N/A</v>
      </c>
      <c r="G929" s="21" t="inlineStr"/>
      <c r="H929" s="21" t="inlineStr">
        <is>
          <t>False Positive</t>
        </is>
      </c>
      <c r="I929" s="21" t="inlineStr">
        <is>
          <t>FP</t>
        </is>
      </c>
      <c r="J929" s="21" t="inlineStr">
        <is>
          <t>M</t>
        </is>
      </c>
      <c r="K929" s="21" t="inlineStr">
        <is>
          <t>N</t>
        </is>
      </c>
      <c r="L929" s="21" t="inlineStr">
        <is>
          <t>No</t>
        </is>
      </c>
      <c r="M929" s="21" t="inlineStr"/>
      <c r="N929" s="22" t="inlineStr">
        <is>
          <t>No reference threat corresponds to this finding's mechanism (scoring found no class with sufficient evidence).</t>
        </is>
      </c>
      <c r="O929" s="5" t="inlineStr"/>
      <c r="P929" s="16" t="inlineStr"/>
      <c r="Q929" s="16" t="inlineStr">
        <is>
          <t>P3: Profile Management Service</t>
        </is>
      </c>
      <c r="R929" s="16" t="inlineStr"/>
      <c r="S929" s="5" t="inlineStr">
        <is>
          <t>Confirmed</t>
        </is>
      </c>
    </row>
    <row r="930" ht="16" customHeight="1">
      <c r="A930" s="5" t="inlineStr">
        <is>
          <t>THREMOLIA-S3-F021</t>
        </is>
      </c>
      <c r="B930" s="5" t="inlineStr">
        <is>
          <t>THREMOLIA</t>
        </is>
      </c>
      <c r="C930" s="5" t="inlineStr">
        <is>
          <t>S3</t>
        </is>
      </c>
      <c r="D930" s="21" t="str">
        <f>IFERROR(VLOOKUP($G930,'02_REFERENCE'!$A$2:$S$99,4,FALSE),"N/A")</f>
        <v>Denial of Service</v>
      </c>
      <c r="E930" s="21" t="str">
        <f>IFERROR(VLOOKUP($G930,'02_REFERENCE'!$A$2:$S$99,15,FALSE),"N/A")</f>
        <v>High</v>
      </c>
      <c r="F930" s="21" t="str">
        <f>IFERROR(VLOOKUP($G930,'02_REFERENCE'!$A$2:$S$99,17,FALSE),"N/A")</f>
        <v>No</v>
      </c>
      <c r="G930" s="21" t="inlineStr">
        <is>
          <t>S3-RT-030</t>
        </is>
      </c>
      <c r="H930" s="21" t="inlineStr">
        <is>
          <t>Duplicate</t>
        </is>
      </c>
      <c r="I930" s="21" t="inlineStr">
        <is>
          <t>TP</t>
        </is>
      </c>
      <c r="J930" s="21" t="inlineStr">
        <is>
          <t>M</t>
        </is>
      </c>
      <c r="K930" s="21" t="inlineStr">
        <is>
          <t>N</t>
        </is>
      </c>
      <c r="L930" s="21" t="inlineStr">
        <is>
          <t>Yes</t>
        </is>
      </c>
      <c r="M930" s="21" t="inlineStr">
        <is>
          <t>THREMOLIA-S3-F069</t>
        </is>
      </c>
      <c r="N930" s="22" t="inlineStr">
        <is>
          <t>Mechanism class dos_service (victim-based DoS routing); evidence: exhaust [Equivalence: restates THREMOLIA-S3-F069 — one-to-one rule applied.]</t>
        </is>
      </c>
      <c r="O930" s="5" t="inlineStr">
        <is>
          <t>dos_service</t>
        </is>
      </c>
      <c r="P930" s="16" t="inlineStr"/>
      <c r="Q930" s="16" t="inlineStr">
        <is>
          <t>P3: Profile Management Service</t>
        </is>
      </c>
      <c r="R930" s="16" t="inlineStr"/>
      <c r="S930" s="5" t="inlineStr">
        <is>
          <t>Confirmed</t>
        </is>
      </c>
    </row>
    <row r="931" ht="16" customHeight="1">
      <c r="A931" s="5" t="inlineStr">
        <is>
          <t>THREMOLIA-S3-F022</t>
        </is>
      </c>
      <c r="B931" s="5" t="inlineStr">
        <is>
          <t>THREMOLIA</t>
        </is>
      </c>
      <c r="C931" s="5" t="inlineStr">
        <is>
          <t>S3</t>
        </is>
      </c>
      <c r="D931" s="21" t="str">
        <f>IFERROR(VLOOKUP($G931,'02_REFERENCE'!$A$2:$S$99,4,FALSE),"N/A")</f>
        <v>N/A</v>
      </c>
      <c r="E931" s="21" t="str">
        <f>IFERROR(VLOOKUP($G931,'02_REFERENCE'!$A$2:$S$99,15,FALSE),"N/A")</f>
        <v>N/A</v>
      </c>
      <c r="F931" s="21" t="str">
        <f>IFERROR(VLOOKUP($G931,'02_REFERENCE'!$A$2:$S$99,17,FALSE),"N/A")</f>
        <v>N/A</v>
      </c>
      <c r="G931" s="21" t="inlineStr"/>
      <c r="H931" s="21" t="inlineStr">
        <is>
          <t>False Positive</t>
        </is>
      </c>
      <c r="I931" s="21" t="inlineStr">
        <is>
          <t>FP</t>
        </is>
      </c>
      <c r="J931" s="21" t="inlineStr">
        <is>
          <t>M</t>
        </is>
      </c>
      <c r="K931" s="21" t="inlineStr">
        <is>
          <t>N</t>
        </is>
      </c>
      <c r="L931" s="21" t="inlineStr">
        <is>
          <t>No</t>
        </is>
      </c>
      <c r="M931" s="21" t="inlineStr"/>
      <c r="N931" s="22" t="inlineStr">
        <is>
          <t>No reference threat corresponds to this finding's mechanism (scoring found no class with sufficient evidence).</t>
        </is>
      </c>
      <c r="O931" s="5" t="inlineStr"/>
      <c r="P931" s="16" t="inlineStr"/>
      <c r="Q931" s="16" t="inlineStr">
        <is>
          <t>P3: Profile Management Service</t>
        </is>
      </c>
      <c r="R931" s="16" t="inlineStr"/>
      <c r="S931" s="5" t="inlineStr">
        <is>
          <t>Confirmed</t>
        </is>
      </c>
    </row>
    <row r="932" ht="16" customHeight="1">
      <c r="A932" s="5" t="inlineStr">
        <is>
          <t>THREMOLIA-S3-F023</t>
        </is>
      </c>
      <c r="B932" s="5" t="inlineStr">
        <is>
          <t>THREMOLIA</t>
        </is>
      </c>
      <c r="C932" s="5" t="inlineStr">
        <is>
          <t>S3</t>
        </is>
      </c>
      <c r="D932" s="21" t="str">
        <f>IFERROR(VLOOKUP($G932,'02_REFERENCE'!$A$2:$S$99,4,FALSE),"N/A")</f>
        <v>Tampering</v>
      </c>
      <c r="E932" s="21" t="str">
        <f>IFERROR(VLOOKUP($G932,'02_REFERENCE'!$A$2:$S$99,15,FALSE),"N/A")</f>
        <v>High</v>
      </c>
      <c r="F932" s="21" t="str">
        <f>IFERROR(VLOOKUP($G932,'02_REFERENCE'!$A$2:$S$99,17,FALSE),"N/A")</f>
        <v>Yes</v>
      </c>
      <c r="G932" s="21" t="inlineStr">
        <is>
          <t>S3-RT-020</t>
        </is>
      </c>
      <c r="H932" s="21" t="inlineStr">
        <is>
          <t>Primary TP</t>
        </is>
      </c>
      <c r="I932" s="21" t="inlineStr">
        <is>
          <t>TP</t>
        </is>
      </c>
      <c r="J932" s="21" t="inlineStr">
        <is>
          <t>L</t>
        </is>
      </c>
      <c r="K932" s="21" t="inlineStr">
        <is>
          <t>Y</t>
        </is>
      </c>
      <c r="L932" s="21" t="inlineStr">
        <is>
          <t>No</t>
        </is>
      </c>
      <c r="M932" s="21" t="inlineStr"/>
      <c r="N932" s="22" t="inlineStr">
        <is>
          <t>Mechanism class prompt_injection_indirect; evidence: injects forged session context</t>
        </is>
      </c>
      <c r="O932" s="5" t="inlineStr">
        <is>
          <t>prompt_injection_indirect</t>
        </is>
      </c>
      <c r="P932" s="16" t="inlineStr"/>
      <c r="Q932" s="16" t="inlineStr">
        <is>
          <t>P4: AI Account Support Assistant</t>
        </is>
      </c>
      <c r="R932" s="16" t="inlineStr"/>
      <c r="S932" s="5" t="inlineStr">
        <is>
          <t>Manual review</t>
        </is>
      </c>
    </row>
    <row r="933" ht="16" customHeight="1">
      <c r="A933" s="5" t="inlineStr">
        <is>
          <t>THREMOLIA-S3-F024</t>
        </is>
      </c>
      <c r="B933" s="5" t="inlineStr">
        <is>
          <t>THREMOLIA</t>
        </is>
      </c>
      <c r="C933" s="5" t="inlineStr">
        <is>
          <t>S3</t>
        </is>
      </c>
      <c r="D933" s="21" t="str">
        <f>IFERROR(VLOOKUP($G933,'02_REFERENCE'!$A$2:$S$99,4,FALSE),"N/A")</f>
        <v>Tampering</v>
      </c>
      <c r="E933" s="21" t="str">
        <f>IFERROR(VLOOKUP($G933,'02_REFERENCE'!$A$2:$S$99,15,FALSE),"N/A")</f>
        <v>High</v>
      </c>
      <c r="F933" s="21" t="str">
        <f>IFERROR(VLOOKUP($G933,'02_REFERENCE'!$A$2:$S$99,17,FALSE),"N/A")</f>
        <v>Yes</v>
      </c>
      <c r="G933" s="21" t="inlineStr">
        <is>
          <t>S3-RT-019</t>
        </is>
      </c>
      <c r="H933" s="21" t="inlineStr">
        <is>
          <t>Primary TP</t>
        </is>
      </c>
      <c r="I933" s="21" t="inlineStr">
        <is>
          <t>TP</t>
        </is>
      </c>
      <c r="J933" s="21" t="inlineStr">
        <is>
          <t>H</t>
        </is>
      </c>
      <c r="K933" s="21" t="inlineStr">
        <is>
          <t>Y</t>
        </is>
      </c>
      <c r="L933" s="21" t="inlineStr">
        <is>
          <t>No</t>
        </is>
      </c>
      <c r="M933" s="21" t="inlineStr"/>
      <c r="N933" s="22" t="inlineStr">
        <is>
          <t>Mechanism class prompt_injection_direct; evidence: Direct prompt injection; prompt inject; injection via user support question; prompt inject</t>
        </is>
      </c>
      <c r="O933" s="5" t="inlineStr">
        <is>
          <t>prompt_injection_direct</t>
        </is>
      </c>
      <c r="P933" s="16" t="inlineStr"/>
      <c r="Q933" s="16" t="inlineStr">
        <is>
          <t>P4: AI Account Support Assistant</t>
        </is>
      </c>
      <c r="R933" s="16" t="inlineStr"/>
      <c r="S933" s="5" t="inlineStr">
        <is>
          <t>Confirmed</t>
        </is>
      </c>
    </row>
    <row r="934" ht="16" customHeight="1">
      <c r="A934" s="5" t="inlineStr">
        <is>
          <t>THREMOLIA-S3-F025</t>
        </is>
      </c>
      <c r="B934" s="5" t="inlineStr">
        <is>
          <t>THREMOLIA</t>
        </is>
      </c>
      <c r="C934" s="5" t="inlineStr">
        <is>
          <t>S3</t>
        </is>
      </c>
      <c r="D934" s="21" t="str">
        <f>IFERROR(VLOOKUP($G934,'02_REFERENCE'!$A$2:$S$99,4,FALSE),"N/A")</f>
        <v>Repudiation</v>
      </c>
      <c r="E934" s="21" t="str">
        <f>IFERROR(VLOOKUP($G934,'02_REFERENCE'!$A$2:$S$99,15,FALSE),"N/A")</f>
        <v>Medium</v>
      </c>
      <c r="F934" s="21" t="str">
        <f>IFERROR(VLOOKUP($G934,'02_REFERENCE'!$A$2:$S$99,17,FALSE),"N/A")</f>
        <v>No</v>
      </c>
      <c r="G934" s="21" t="inlineStr">
        <is>
          <t>S3-RT-018</t>
        </is>
      </c>
      <c r="H934" s="21" t="inlineStr">
        <is>
          <t>Duplicate</t>
        </is>
      </c>
      <c r="I934" s="21" t="inlineStr">
        <is>
          <t>TP</t>
        </is>
      </c>
      <c r="J934" s="21" t="inlineStr">
        <is>
          <t>M</t>
        </is>
      </c>
      <c r="K934" s="21" t="inlineStr">
        <is>
          <t>N</t>
        </is>
      </c>
      <c r="L934" s="21" t="inlineStr">
        <is>
          <t>Yes</t>
        </is>
      </c>
      <c r="M934" s="21" t="inlineStr">
        <is>
          <t>THREMOLIA-S3-F019</t>
        </is>
      </c>
      <c r="N934" s="22" t="inlineStr">
        <is>
          <t>Mechanism class repudiation; evidence: Missing audit [Equivalence: restates THREMOLIA-S3-F019 — one-to-one rule applied.]</t>
        </is>
      </c>
      <c r="O934" s="5" t="inlineStr">
        <is>
          <t>repudiation</t>
        </is>
      </c>
      <c r="P934" s="16" t="inlineStr"/>
      <c r="Q934" s="16" t="inlineStr">
        <is>
          <t>P4: AI Account Support Assistant</t>
        </is>
      </c>
      <c r="R934" s="16" t="inlineStr"/>
      <c r="S934" s="5" t="inlineStr">
        <is>
          <t>Confirmed</t>
        </is>
      </c>
    </row>
    <row r="935" ht="16" customHeight="1">
      <c r="A935" s="5" t="inlineStr">
        <is>
          <t>THREMOLIA-S3-F026</t>
        </is>
      </c>
      <c r="B935" s="5" t="inlineStr">
        <is>
          <t>THREMOLIA</t>
        </is>
      </c>
      <c r="C935" s="5" t="inlineStr">
        <is>
          <t>S3</t>
        </is>
      </c>
      <c r="D935" s="21" t="str">
        <f>IFERROR(VLOOKUP($G935,'02_REFERENCE'!$A$2:$S$99,4,FALSE),"N/A")</f>
        <v>N/A</v>
      </c>
      <c r="E935" s="21" t="str">
        <f>IFERROR(VLOOKUP($G935,'02_REFERENCE'!$A$2:$S$99,15,FALSE),"N/A")</f>
        <v>N/A</v>
      </c>
      <c r="F935" s="21" t="str">
        <f>IFERROR(VLOOKUP($G935,'02_REFERENCE'!$A$2:$S$99,17,FALSE),"N/A")</f>
        <v>N/A</v>
      </c>
      <c r="G935" s="21" t="inlineStr"/>
      <c r="H935" s="21" t="inlineStr">
        <is>
          <t>False Positive</t>
        </is>
      </c>
      <c r="I935" s="21" t="inlineStr">
        <is>
          <t>FP</t>
        </is>
      </c>
      <c r="J935" s="21" t="inlineStr">
        <is>
          <t>M</t>
        </is>
      </c>
      <c r="K935" s="21" t="inlineStr">
        <is>
          <t>N</t>
        </is>
      </c>
      <c r="L935" s="21" t="inlineStr">
        <is>
          <t>No</t>
        </is>
      </c>
      <c r="M935" s="21" t="inlineStr"/>
      <c r="N935" s="22" t="inlineStr">
        <is>
          <t>No reference threat corresponds to this finding's mechanism (scoring found no class with sufficient evidence).</t>
        </is>
      </c>
      <c r="O935" s="5" t="inlineStr"/>
      <c r="P935" s="16" t="inlineStr"/>
      <c r="Q935" s="16" t="inlineStr">
        <is>
          <t>P4: AI Account Support Assistant</t>
        </is>
      </c>
      <c r="R935" s="16" t="inlineStr"/>
      <c r="S935" s="5" t="inlineStr">
        <is>
          <t>Confirmed</t>
        </is>
      </c>
    </row>
    <row r="936" ht="16" customHeight="1">
      <c r="A936" s="5" t="inlineStr">
        <is>
          <t>THREMOLIA-S3-F027</t>
        </is>
      </c>
      <c r="B936" s="5" t="inlineStr">
        <is>
          <t>THREMOLIA</t>
        </is>
      </c>
      <c r="C936" s="5" t="inlineStr">
        <is>
          <t>S3</t>
        </is>
      </c>
      <c r="D936" s="21" t="str">
        <f>IFERROR(VLOOKUP($G936,'02_REFERENCE'!$A$2:$S$99,4,FALSE),"N/A")</f>
        <v>Denial of Service</v>
      </c>
      <c r="E936" s="21" t="str">
        <f>IFERROR(VLOOKUP($G936,'02_REFERENCE'!$A$2:$S$99,15,FALSE),"N/A")</f>
        <v>Medium</v>
      </c>
      <c r="F936" s="21" t="str">
        <f>IFERROR(VLOOKUP($G936,'02_REFERENCE'!$A$2:$S$99,17,FALSE),"N/A")</f>
        <v>Yes</v>
      </c>
      <c r="G936" s="21" t="inlineStr">
        <is>
          <t>S3-RT-033</t>
        </is>
      </c>
      <c r="H936" s="21" t="inlineStr">
        <is>
          <t>Primary TP</t>
        </is>
      </c>
      <c r="I936" s="21" t="inlineStr">
        <is>
          <t>TP</t>
        </is>
      </c>
      <c r="J936" s="21" t="inlineStr">
        <is>
          <t>H</t>
        </is>
      </c>
      <c r="K936" s="21" t="inlineStr">
        <is>
          <t>Y</t>
        </is>
      </c>
      <c r="L936" s="21" t="inlineStr">
        <is>
          <t>No</t>
        </is>
      </c>
      <c r="M936" s="21" t="inlineStr"/>
      <c r="N936" s="22" t="inlineStr">
        <is>
          <t>Mechanism class llm_consumption (victim-based DoS routing); evidence: Excessive support queries; queries sent to AI assistant exhaust</t>
        </is>
      </c>
      <c r="O936" s="5" t="inlineStr">
        <is>
          <t>dos_service</t>
        </is>
      </c>
      <c r="P936" s="16" t="inlineStr"/>
      <c r="Q936" s="16" t="inlineStr">
        <is>
          <t>P4: AI Account Support Assistant</t>
        </is>
      </c>
      <c r="R936" s="16" t="inlineStr"/>
      <c r="S936" s="5" t="inlineStr">
        <is>
          <t>Confirmed</t>
        </is>
      </c>
    </row>
    <row r="937" ht="16" customHeight="1">
      <c r="A937" s="5" t="inlineStr">
        <is>
          <t>THREMOLIA-S3-F028</t>
        </is>
      </c>
      <c r="B937" s="5" t="inlineStr">
        <is>
          <t>THREMOLIA</t>
        </is>
      </c>
      <c r="C937" s="5" t="inlineStr">
        <is>
          <t>S3</t>
        </is>
      </c>
      <c r="D937" s="21" t="str">
        <f>IFERROR(VLOOKUP($G937,'02_REFERENCE'!$A$2:$S$99,4,FALSE),"N/A")</f>
        <v>N/A</v>
      </c>
      <c r="E937" s="21" t="str">
        <f>IFERROR(VLOOKUP($G937,'02_REFERENCE'!$A$2:$S$99,15,FALSE),"N/A")</f>
        <v>N/A</v>
      </c>
      <c r="F937" s="21" t="str">
        <f>IFERROR(VLOOKUP($G937,'02_REFERENCE'!$A$2:$S$99,17,FALSE),"N/A")</f>
        <v>N/A</v>
      </c>
      <c r="G937" s="21" t="inlineStr"/>
      <c r="H937" s="21" t="inlineStr">
        <is>
          <t>False Positive</t>
        </is>
      </c>
      <c r="I937" s="21" t="inlineStr">
        <is>
          <t>FP</t>
        </is>
      </c>
      <c r="J937" s="21" t="inlineStr">
        <is>
          <t>M</t>
        </is>
      </c>
      <c r="K937" s="21" t="inlineStr">
        <is>
          <t>N</t>
        </is>
      </c>
      <c r="L937" s="21" t="inlineStr">
        <is>
          <t>No</t>
        </is>
      </c>
      <c r="M937" s="21" t="inlineStr"/>
      <c r="N937" s="22" t="inlineStr">
        <is>
          <t>No reference threat corresponds to this finding's mechanism (scoring found no class with sufficient evidence).</t>
        </is>
      </c>
      <c r="O937" s="5" t="inlineStr"/>
      <c r="P937" s="16" t="inlineStr"/>
      <c r="Q937" s="16" t="inlineStr">
        <is>
          <t>P4: AI Account Support Assistant</t>
        </is>
      </c>
      <c r="R937" s="16" t="inlineStr"/>
      <c r="S937" s="5" t="inlineStr">
        <is>
          <t>Confirmed</t>
        </is>
      </c>
    </row>
    <row r="938" ht="16" customHeight="1">
      <c r="A938" s="5" t="inlineStr">
        <is>
          <t>THREMOLIA-S3-F029</t>
        </is>
      </c>
      <c r="B938" s="5" t="inlineStr">
        <is>
          <t>THREMOLIA</t>
        </is>
      </c>
      <c r="C938" s="5" t="inlineStr">
        <is>
          <t>S3</t>
        </is>
      </c>
      <c r="D938" s="21" t="str">
        <f>IFERROR(VLOOKUP($G938,'02_REFERENCE'!$A$2:$S$99,4,FALSE),"N/A")</f>
        <v>Information Disclosure</v>
      </c>
      <c r="E938" s="21" t="str">
        <f>IFERROR(VLOOKUP($G938,'02_REFERENCE'!$A$2:$S$99,15,FALSE),"N/A")</f>
        <v>High</v>
      </c>
      <c r="F938" s="21" t="str">
        <f>IFERROR(VLOOKUP($G938,'02_REFERENCE'!$A$2:$S$99,17,FALSE),"N/A")</f>
        <v>Yes</v>
      </c>
      <c r="G938" s="21" t="inlineStr">
        <is>
          <t>S3-RT-021</t>
        </is>
      </c>
      <c r="H938" s="21" t="inlineStr">
        <is>
          <t>Duplicate</t>
        </is>
      </c>
      <c r="I938" s="21" t="inlineStr">
        <is>
          <t>TP</t>
        </is>
      </c>
      <c r="J938" s="21" t="inlineStr">
        <is>
          <t>L</t>
        </is>
      </c>
      <c r="K938" s="21" t="inlineStr">
        <is>
          <t>N</t>
        </is>
      </c>
      <c r="L938" s="21" t="inlineStr">
        <is>
          <t>Yes</t>
        </is>
      </c>
      <c r="M938" s="21" t="inlineStr">
        <is>
          <t>THREMOLIA-S3-F101</t>
        </is>
      </c>
      <c r="N938" s="22" t="inlineStr">
        <is>
          <t>Mechanism class sensitive_to_llm; evidence: send arbitrary prompt generation requests to LLM [Equivalence: restates THREMOLIA-S3-F101 — one-to-one rule applied.]</t>
        </is>
      </c>
      <c r="O938" s="5" t="inlineStr">
        <is>
          <t>sensitive_to_llm</t>
        </is>
      </c>
      <c r="P938" s="16" t="inlineStr"/>
      <c r="Q938" s="16" t="inlineStr">
        <is>
          <t>P5: LLM Integration Service</t>
        </is>
      </c>
      <c r="R938" s="16" t="inlineStr"/>
      <c r="S938" s="5" t="inlineStr">
        <is>
          <t>Manual review</t>
        </is>
      </c>
    </row>
    <row r="939" ht="16" customHeight="1">
      <c r="A939" s="5" t="inlineStr">
        <is>
          <t>THREMOLIA-S3-F030</t>
        </is>
      </c>
      <c r="B939" s="5" t="inlineStr">
        <is>
          <t>THREMOLIA</t>
        </is>
      </c>
      <c r="C939" s="5" t="inlineStr">
        <is>
          <t>S3</t>
        </is>
      </c>
      <c r="D939" s="21" t="str">
        <f>IFERROR(VLOOKUP($G939,'02_REFERENCE'!$A$2:$S$99,4,FALSE),"N/A")</f>
        <v>Tampering</v>
      </c>
      <c r="E939" s="21" t="str">
        <f>IFERROR(VLOOKUP($G939,'02_REFERENCE'!$A$2:$S$99,15,FALSE),"N/A")</f>
        <v>High</v>
      </c>
      <c r="F939" s="21" t="str">
        <f>IFERROR(VLOOKUP($G939,'02_REFERENCE'!$A$2:$S$99,17,FALSE),"N/A")</f>
        <v>Yes</v>
      </c>
      <c r="G939" s="21" t="inlineStr">
        <is>
          <t>S3-RT-019</t>
        </is>
      </c>
      <c r="H939" s="21" t="inlineStr">
        <is>
          <t>Duplicate</t>
        </is>
      </c>
      <c r="I939" s="21" t="inlineStr">
        <is>
          <t>TP</t>
        </is>
      </c>
      <c r="J939" s="21" t="inlineStr">
        <is>
          <t>M</t>
        </is>
      </c>
      <c r="K939" s="21" t="inlineStr">
        <is>
          <t>N</t>
        </is>
      </c>
      <c r="L939" s="21" t="inlineStr">
        <is>
          <t>Yes</t>
        </is>
      </c>
      <c r="M939" s="21" t="inlineStr">
        <is>
          <t>THREMOLIA-S3-F024</t>
        </is>
      </c>
      <c r="N939" s="22" t="inlineStr">
        <is>
          <t>Mechanism class prompt_injection_direct; evidence: jailbreak [Equivalence: restates THREMOLIA-S3-F024 — one-to-one rule applied.]</t>
        </is>
      </c>
      <c r="O939" s="5" t="inlineStr">
        <is>
          <t>prompt_injection_direct</t>
        </is>
      </c>
      <c r="P939" s="16" t="inlineStr"/>
      <c r="Q939" s="16" t="inlineStr">
        <is>
          <t>P5: LLM Integration Service</t>
        </is>
      </c>
      <c r="R939" s="16" t="inlineStr"/>
      <c r="S939" s="5" t="inlineStr">
        <is>
          <t>Confirmed</t>
        </is>
      </c>
    </row>
    <row r="940" ht="16" customHeight="1">
      <c r="A940" s="5" t="inlineStr">
        <is>
          <t>THREMOLIA-S3-F031</t>
        </is>
      </c>
      <c r="B940" s="5" t="inlineStr">
        <is>
          <t>THREMOLIA</t>
        </is>
      </c>
      <c r="C940" s="5" t="inlineStr">
        <is>
          <t>S3</t>
        </is>
      </c>
      <c r="D940" s="21" t="str">
        <f>IFERROR(VLOOKUP($G940,'02_REFERENCE'!$A$2:$S$99,4,FALSE),"N/A")</f>
        <v>Denial of Service</v>
      </c>
      <c r="E940" s="21" t="str">
        <f>IFERROR(VLOOKUP($G940,'02_REFERENCE'!$A$2:$S$99,15,FALSE),"N/A")</f>
        <v>Medium</v>
      </c>
      <c r="F940" s="21" t="str">
        <f>IFERROR(VLOOKUP($G940,'02_REFERENCE'!$A$2:$S$99,17,FALSE),"N/A")</f>
        <v>Yes</v>
      </c>
      <c r="G940" s="21" t="inlineStr">
        <is>
          <t>S3-RT-032</t>
        </is>
      </c>
      <c r="H940" s="21" t="inlineStr">
        <is>
          <t>Duplicate</t>
        </is>
      </c>
      <c r="I940" s="21" t="inlineStr">
        <is>
          <t>TP</t>
        </is>
      </c>
      <c r="J940" s="21" t="inlineStr">
        <is>
          <t>L</t>
        </is>
      </c>
      <c r="K940" s="21" t="inlineStr">
        <is>
          <t>N</t>
        </is>
      </c>
      <c r="L940" s="21" t="inlineStr">
        <is>
          <t>Yes</t>
        </is>
      </c>
      <c r="M940" s="21" t="inlineStr">
        <is>
          <t>THREMOLIA-S3-F108</t>
        </is>
      </c>
      <c r="N940" s="22" t="inlineStr">
        <is>
          <t>Mechanism class llm_unavailable; evidence: latency, and error responses from provider [Equivalence: restates THREMOLIA-S3-F108 — one-to-one rule applied.]</t>
        </is>
      </c>
      <c r="O940" s="5" t="inlineStr">
        <is>
          <t>llm_unavailable</t>
        </is>
      </c>
      <c r="P940" s="16" t="inlineStr"/>
      <c r="Q940" s="16" t="inlineStr">
        <is>
          <t>P5: LLM Integration Service</t>
        </is>
      </c>
      <c r="R940" s="16" t="inlineStr"/>
      <c r="S940" s="5" t="inlineStr">
        <is>
          <t>Manual review</t>
        </is>
      </c>
    </row>
    <row r="941" ht="16" customHeight="1">
      <c r="A941" s="5" t="inlineStr">
        <is>
          <t>THREMOLIA-S3-F032</t>
        </is>
      </c>
      <c r="B941" s="5" t="inlineStr">
        <is>
          <t>THREMOLIA</t>
        </is>
      </c>
      <c r="C941" s="5" t="inlineStr">
        <is>
          <t>S3</t>
        </is>
      </c>
      <c r="D941" s="21" t="str">
        <f>IFERROR(VLOOKUP($G941,'02_REFERENCE'!$A$2:$S$99,4,FALSE),"N/A")</f>
        <v>Information Disclosure</v>
      </c>
      <c r="E941" s="21" t="str">
        <f>IFERROR(VLOOKUP($G941,'02_REFERENCE'!$A$2:$S$99,15,FALSE),"N/A")</f>
        <v>High</v>
      </c>
      <c r="F941" s="21" t="str">
        <f>IFERROR(VLOOKUP($G941,'02_REFERENCE'!$A$2:$S$99,17,FALSE),"N/A")</f>
        <v>No</v>
      </c>
      <c r="G941" s="21" t="inlineStr">
        <is>
          <t>S3-RT-017</t>
        </is>
      </c>
      <c r="H941" s="21" t="inlineStr">
        <is>
          <t>Primary TP</t>
        </is>
      </c>
      <c r="I941" s="21" t="inlineStr">
        <is>
          <t>TP</t>
        </is>
      </c>
      <c r="J941" s="21" t="inlineStr">
        <is>
          <t>L</t>
        </is>
      </c>
      <c r="K941" s="21" t="inlineStr">
        <is>
          <t>Y</t>
        </is>
      </c>
      <c r="L941" s="21" t="inlineStr">
        <is>
          <t>No</t>
        </is>
      </c>
      <c r="M941" s="21" t="inlineStr"/>
      <c r="N941" s="22" t="inlineStr">
        <is>
          <t>Mechanism class api_key; evidence: credentials or confidential system prompt instructions expos</t>
        </is>
      </c>
      <c r="O941" s="5" t="inlineStr">
        <is>
          <t>api_key</t>
        </is>
      </c>
      <c r="P941" s="16" t="inlineStr"/>
      <c r="Q941" s="16" t="inlineStr">
        <is>
          <t>P5: LLM Integration Service</t>
        </is>
      </c>
      <c r="R941" s="16" t="inlineStr"/>
      <c r="S941" s="5" t="inlineStr">
        <is>
          <t>Manual review</t>
        </is>
      </c>
    </row>
    <row r="942" ht="16" customHeight="1">
      <c r="A942" s="5" t="inlineStr">
        <is>
          <t>THREMOLIA-S3-F033</t>
        </is>
      </c>
      <c r="B942" s="5" t="inlineStr">
        <is>
          <t>THREMOLIA</t>
        </is>
      </c>
      <c r="C942" s="5" t="inlineStr">
        <is>
          <t>S3</t>
        </is>
      </c>
      <c r="D942" s="21" t="str">
        <f>IFERROR(VLOOKUP($G942,'02_REFERENCE'!$A$2:$S$99,4,FALSE),"N/A")</f>
        <v>Denial of Service</v>
      </c>
      <c r="E942" s="21" t="str">
        <f>IFERROR(VLOOKUP($G942,'02_REFERENCE'!$A$2:$S$99,15,FALSE),"N/A")</f>
        <v>Medium</v>
      </c>
      <c r="F942" s="21" t="str">
        <f>IFERROR(VLOOKUP($G942,'02_REFERENCE'!$A$2:$S$99,17,FALSE),"N/A")</f>
        <v>Yes</v>
      </c>
      <c r="G942" s="21" t="inlineStr">
        <is>
          <t>S3-RT-032</t>
        </is>
      </c>
      <c r="H942" s="21" t="inlineStr">
        <is>
          <t>Duplicate</t>
        </is>
      </c>
      <c r="I942" s="21" t="inlineStr">
        <is>
          <t>TP</t>
        </is>
      </c>
      <c r="J942" s="21" t="inlineStr">
        <is>
          <t>M</t>
        </is>
      </c>
      <c r="K942" s="21" t="inlineStr">
        <is>
          <t>N</t>
        </is>
      </c>
      <c r="L942" s="21" t="inlineStr">
        <is>
          <t>Yes</t>
        </is>
      </c>
      <c r="M942" s="21" t="inlineStr">
        <is>
          <t>THREMOLIA-S3-F108</t>
        </is>
      </c>
      <c r="N942" s="22" t="inlineStr">
        <is>
          <t>Mechanism class llm_unavailable; evidence: upstream LLM API rate limit [Equivalence: restates THREMOLIA-S3-F108 — one-to-one rule applied.]</t>
        </is>
      </c>
      <c r="O942" s="5" t="inlineStr">
        <is>
          <t>llm_unavailable</t>
        </is>
      </c>
      <c r="P942" s="16" t="inlineStr"/>
      <c r="Q942" s="16" t="inlineStr">
        <is>
          <t>P5: LLM Integration Service</t>
        </is>
      </c>
      <c r="R942" s="16" t="inlineStr"/>
      <c r="S942" s="5" t="inlineStr">
        <is>
          <t>Confirmed</t>
        </is>
      </c>
    </row>
    <row r="943" ht="16" customHeight="1">
      <c r="A943" s="5" t="inlineStr">
        <is>
          <t>THREMOLIA-S3-F034</t>
        </is>
      </c>
      <c r="B943" s="5" t="inlineStr">
        <is>
          <t>THREMOLIA</t>
        </is>
      </c>
      <c r="C943" s="5" t="inlineStr">
        <is>
          <t>S3</t>
        </is>
      </c>
      <c r="D943" s="21" t="str">
        <f>IFERROR(VLOOKUP($G943,'02_REFERENCE'!$A$2:$S$99,4,FALSE),"N/A")</f>
        <v>N/A</v>
      </c>
      <c r="E943" s="21" t="str">
        <f>IFERROR(VLOOKUP($G943,'02_REFERENCE'!$A$2:$S$99,15,FALSE),"N/A")</f>
        <v>N/A</v>
      </c>
      <c r="F943" s="21" t="str">
        <f>IFERROR(VLOOKUP($G943,'02_REFERENCE'!$A$2:$S$99,17,FALSE),"N/A")</f>
        <v>N/A</v>
      </c>
      <c r="G943" s="21" t="inlineStr"/>
      <c r="H943" s="21" t="inlineStr">
        <is>
          <t>False Positive</t>
        </is>
      </c>
      <c r="I943" s="21" t="inlineStr">
        <is>
          <t>FP</t>
        </is>
      </c>
      <c r="J943" s="21" t="inlineStr">
        <is>
          <t>M</t>
        </is>
      </c>
      <c r="K943" s="21" t="inlineStr">
        <is>
          <t>N</t>
        </is>
      </c>
      <c r="L943" s="21" t="inlineStr">
        <is>
          <t>No</t>
        </is>
      </c>
      <c r="M943" s="21" t="inlineStr"/>
      <c r="N943" s="22" t="inlineStr">
        <is>
          <t>No reference threat corresponds to this finding's mechanism (scoring found no class with sufficient evidence).</t>
        </is>
      </c>
      <c r="O943" s="5" t="inlineStr"/>
      <c r="P943" s="16" t="inlineStr"/>
      <c r="Q943" s="16" t="inlineStr">
        <is>
          <t>P5: LLM Integration Service</t>
        </is>
      </c>
      <c r="R943" s="16" t="inlineStr"/>
      <c r="S943" s="5" t="inlineStr">
        <is>
          <t>Confirmed</t>
        </is>
      </c>
    </row>
    <row r="944" ht="16" customHeight="1">
      <c r="A944" s="5" t="inlineStr">
        <is>
          <t>THREMOLIA-S3-F035</t>
        </is>
      </c>
      <c r="B944" s="5" t="inlineStr">
        <is>
          <t>THREMOLIA</t>
        </is>
      </c>
      <c r="C944" s="5" t="inlineStr">
        <is>
          <t>S3</t>
        </is>
      </c>
      <c r="D944" s="21" t="str">
        <f>IFERROR(VLOOKUP($G944,'02_REFERENCE'!$A$2:$S$99,4,FALSE),"N/A")</f>
        <v>N/A</v>
      </c>
      <c r="E944" s="21" t="str">
        <f>IFERROR(VLOOKUP($G944,'02_REFERENCE'!$A$2:$S$99,15,FALSE),"N/A")</f>
        <v>N/A</v>
      </c>
      <c r="F944" s="21" t="str">
        <f>IFERROR(VLOOKUP($G944,'02_REFERENCE'!$A$2:$S$99,17,FALSE),"N/A")</f>
        <v>N/A</v>
      </c>
      <c r="G944" s="21" t="inlineStr"/>
      <c r="H944" s="21" t="inlineStr">
        <is>
          <t>False Positive</t>
        </is>
      </c>
      <c r="I944" s="21" t="inlineStr">
        <is>
          <t>FP</t>
        </is>
      </c>
      <c r="J944" s="21" t="inlineStr">
        <is>
          <t>M</t>
        </is>
      </c>
      <c r="K944" s="21" t="inlineStr">
        <is>
          <t>N</t>
        </is>
      </c>
      <c r="L944" s="21" t="inlineStr">
        <is>
          <t>No</t>
        </is>
      </c>
      <c r="M944" s="21" t="inlineStr"/>
      <c r="N944" s="22" t="inlineStr">
        <is>
          <t>No reference threat corresponds to this finding's mechanism (scoring found no class with sufficient evidence).</t>
        </is>
      </c>
      <c r="O944" s="5" t="inlineStr"/>
      <c r="P944" s="16" t="inlineStr"/>
      <c r="Q944" s="16" t="inlineStr">
        <is>
          <t>DS1: User Database</t>
        </is>
      </c>
      <c r="R944" s="16" t="inlineStr"/>
      <c r="S944" s="5" t="inlineStr">
        <is>
          <t>Confirmed</t>
        </is>
      </c>
    </row>
    <row r="945" ht="16" customHeight="1">
      <c r="A945" s="5" t="inlineStr">
        <is>
          <t>THREMOLIA-S3-F036</t>
        </is>
      </c>
      <c r="B945" s="5" t="inlineStr">
        <is>
          <t>THREMOLIA</t>
        </is>
      </c>
      <c r="C945" s="5" t="inlineStr">
        <is>
          <t>S3</t>
        </is>
      </c>
      <c r="D945" s="21" t="str">
        <f>IFERROR(VLOOKUP($G945,'02_REFERENCE'!$A$2:$S$99,4,FALSE),"N/A")</f>
        <v>N/A</v>
      </c>
      <c r="E945" s="21" t="str">
        <f>IFERROR(VLOOKUP($G945,'02_REFERENCE'!$A$2:$S$99,15,FALSE),"N/A")</f>
        <v>N/A</v>
      </c>
      <c r="F945" s="21" t="str">
        <f>IFERROR(VLOOKUP($G945,'02_REFERENCE'!$A$2:$S$99,17,FALSE),"N/A")</f>
        <v>N/A</v>
      </c>
      <c r="G945" s="21" t="inlineStr"/>
      <c r="H945" s="21" t="inlineStr">
        <is>
          <t>False Positive</t>
        </is>
      </c>
      <c r="I945" s="21" t="inlineStr">
        <is>
          <t>FP</t>
        </is>
      </c>
      <c r="J945" s="21" t="inlineStr">
        <is>
          <t>M</t>
        </is>
      </c>
      <c r="K945" s="21" t="inlineStr">
        <is>
          <t>N</t>
        </is>
      </c>
      <c r="L945" s="21" t="inlineStr">
        <is>
          <t>No</t>
        </is>
      </c>
      <c r="M945" s="21" t="inlineStr"/>
      <c r="N945" s="22" t="inlineStr">
        <is>
          <t>No reference threat corresponds to this finding's mechanism (scoring found no class with sufficient evidence).</t>
        </is>
      </c>
      <c r="O945" s="5" t="inlineStr"/>
      <c r="P945" s="16" t="inlineStr"/>
      <c r="Q945" s="16" t="inlineStr">
        <is>
          <t>DS1: User Database</t>
        </is>
      </c>
      <c r="R945" s="16" t="inlineStr"/>
      <c r="S945" s="5" t="inlineStr">
        <is>
          <t>Confirmed</t>
        </is>
      </c>
    </row>
    <row r="946" ht="16" customHeight="1">
      <c r="A946" s="5" t="inlineStr">
        <is>
          <t>THREMOLIA-S3-F037</t>
        </is>
      </c>
      <c r="B946" s="5" t="inlineStr">
        <is>
          <t>THREMOLIA</t>
        </is>
      </c>
      <c r="C946" s="5" t="inlineStr">
        <is>
          <t>S3</t>
        </is>
      </c>
      <c r="D946" s="21" t="str">
        <f>IFERROR(VLOOKUP($G946,'02_REFERENCE'!$A$2:$S$99,4,FALSE),"N/A")</f>
        <v>Information Disclosure</v>
      </c>
      <c r="E946" s="21" t="str">
        <f>IFERROR(VLOOKUP($G946,'02_REFERENCE'!$A$2:$S$99,15,FALSE),"N/A")</f>
        <v>Critical</v>
      </c>
      <c r="F946" s="21" t="str">
        <f>IFERROR(VLOOKUP($G946,'02_REFERENCE'!$A$2:$S$99,17,FALSE),"N/A")</f>
        <v>No</v>
      </c>
      <c r="G946" s="21" t="inlineStr">
        <is>
          <t>S3-RT-014</t>
        </is>
      </c>
      <c r="H946" s="21" t="inlineStr">
        <is>
          <t>Primary TP</t>
        </is>
      </c>
      <c r="I946" s="21" t="inlineStr">
        <is>
          <t>TP</t>
        </is>
      </c>
      <c r="J946" s="21" t="inlineStr">
        <is>
          <t>H</t>
        </is>
      </c>
      <c r="K946" s="21" t="inlineStr">
        <is>
          <t>Y</t>
        </is>
      </c>
      <c r="L946" s="21" t="inlineStr">
        <is>
          <t>No</t>
        </is>
      </c>
      <c r="M946" s="21" t="inlineStr"/>
      <c r="N946" s="22" t="inlineStr">
        <is>
          <t>Mechanism class mass_disclosure; evidence: database dump; SQL injection or database</t>
        </is>
      </c>
      <c r="O946" s="5" t="inlineStr">
        <is>
          <t>mass_disclosure</t>
        </is>
      </c>
      <c r="P946" s="16" t="inlineStr"/>
      <c r="Q946" s="16" t="inlineStr">
        <is>
          <t>DS1: User Database</t>
        </is>
      </c>
      <c r="R946" s="16" t="inlineStr"/>
      <c r="S946" s="5" t="inlineStr">
        <is>
          <t>Confirmed</t>
        </is>
      </c>
    </row>
    <row r="947" ht="16" customHeight="1">
      <c r="A947" s="5" t="inlineStr">
        <is>
          <t>THREMOLIA-S3-F038</t>
        </is>
      </c>
      <c r="B947" s="5" t="inlineStr">
        <is>
          <t>THREMOLIA</t>
        </is>
      </c>
      <c r="C947" s="5" t="inlineStr">
        <is>
          <t>S3</t>
        </is>
      </c>
      <c r="D947" s="21" t="str">
        <f>IFERROR(VLOOKUP($G947,'02_REFERENCE'!$A$2:$S$99,4,FALSE),"N/A")</f>
        <v>Denial of Service</v>
      </c>
      <c r="E947" s="21" t="str">
        <f>IFERROR(VLOOKUP($G947,'02_REFERENCE'!$A$2:$S$99,15,FALSE),"N/A")</f>
        <v>High</v>
      </c>
      <c r="F947" s="21" t="str">
        <f>IFERROR(VLOOKUP($G947,'02_REFERENCE'!$A$2:$S$99,17,FALSE),"N/A")</f>
        <v>No</v>
      </c>
      <c r="G947" s="21" t="inlineStr">
        <is>
          <t>S3-RT-030</t>
        </is>
      </c>
      <c r="H947" s="21" t="inlineStr">
        <is>
          <t>Duplicate</t>
        </is>
      </c>
      <c r="I947" s="21" t="inlineStr">
        <is>
          <t>TP</t>
        </is>
      </c>
      <c r="J947" s="21" t="inlineStr">
        <is>
          <t>M</t>
        </is>
      </c>
      <c r="K947" s="21" t="inlineStr">
        <is>
          <t>N</t>
        </is>
      </c>
      <c r="L947" s="21" t="inlineStr">
        <is>
          <t>Yes</t>
        </is>
      </c>
      <c r="M947" s="21" t="inlineStr">
        <is>
          <t>THREMOLIA-S3-F069</t>
        </is>
      </c>
      <c r="N947" s="22" t="inlineStr">
        <is>
          <t>Mechanism class dos_service (victim-based DoS routing); evidence: exhaust [Equivalence: restates THREMOLIA-S3-F069 — one-to-one rule applied.]</t>
        </is>
      </c>
      <c r="O947" s="5" t="inlineStr">
        <is>
          <t>dos_service</t>
        </is>
      </c>
      <c r="P947" s="16" t="inlineStr"/>
      <c r="Q947" s="16" t="inlineStr">
        <is>
          <t>DS1: User Database</t>
        </is>
      </c>
      <c r="R947" s="16" t="inlineStr"/>
      <c r="S947" s="5" t="inlineStr">
        <is>
          <t>Confirmed</t>
        </is>
      </c>
    </row>
    <row r="948" ht="16" customHeight="1">
      <c r="A948" s="5" t="inlineStr">
        <is>
          <t>THREMOLIA-S3-F039</t>
        </is>
      </c>
      <c r="B948" s="5" t="inlineStr">
        <is>
          <t>THREMOLIA</t>
        </is>
      </c>
      <c r="C948" s="5" t="inlineStr">
        <is>
          <t>S3</t>
        </is>
      </c>
      <c r="D948" s="21" t="str">
        <f>IFERROR(VLOOKUP($G948,'02_REFERENCE'!$A$2:$S$99,4,FALSE),"N/A")</f>
        <v>Spoofing</v>
      </c>
      <c r="E948" s="21" t="str">
        <f>IFERROR(VLOOKUP($G948,'02_REFERENCE'!$A$2:$S$99,15,FALSE),"N/A")</f>
        <v>High</v>
      </c>
      <c r="F948" s="21" t="str">
        <f>IFERROR(VLOOKUP($G948,'02_REFERENCE'!$A$2:$S$99,17,FALSE),"N/A")</f>
        <v>No</v>
      </c>
      <c r="G948" s="21" t="inlineStr">
        <is>
          <t>S3-RT-004</t>
        </is>
      </c>
      <c r="H948" s="21" t="inlineStr">
        <is>
          <t>Duplicate</t>
        </is>
      </c>
      <c r="I948" s="21" t="inlineStr">
        <is>
          <t>TP</t>
        </is>
      </c>
      <c r="J948" s="21" t="inlineStr">
        <is>
          <t>L</t>
        </is>
      </c>
      <c r="K948" s="21" t="inlineStr">
        <is>
          <t>N</t>
        </is>
      </c>
      <c r="L948" s="21" t="inlineStr">
        <is>
          <t>Yes</t>
        </is>
      </c>
      <c r="M948" s="21" t="inlineStr">
        <is>
          <t>THREMOLIA-S3-F076</t>
        </is>
      </c>
      <c r="N948" s="22" t="inlineStr">
        <is>
          <t>Mechanism class token_replay; evidence: expiration [Equivalence: restates THREMOLIA-S3-F076 — one-to-one rule applied.]</t>
        </is>
      </c>
      <c r="O948" s="5" t="inlineStr">
        <is>
          <t>token_replay</t>
        </is>
      </c>
      <c r="P948" s="16" t="inlineStr"/>
      <c r="Q948" s="16" t="inlineStr">
        <is>
          <t>DS2: Recovery Token Storage</t>
        </is>
      </c>
      <c r="R948" s="16" t="inlineStr"/>
      <c r="S948" s="5" t="inlineStr">
        <is>
          <t>Manual review</t>
        </is>
      </c>
    </row>
    <row r="949" ht="16" customHeight="1">
      <c r="A949" s="5" t="inlineStr">
        <is>
          <t>THREMOLIA-S3-F040</t>
        </is>
      </c>
      <c r="B949" s="5" t="inlineStr">
        <is>
          <t>THREMOLIA</t>
        </is>
      </c>
      <c r="C949" s="5" t="inlineStr">
        <is>
          <t>S3</t>
        </is>
      </c>
      <c r="D949" s="21" t="str">
        <f>IFERROR(VLOOKUP($G949,'02_REFERENCE'!$A$2:$S$99,4,FALSE),"N/A")</f>
        <v>Repudiation</v>
      </c>
      <c r="E949" s="21" t="str">
        <f>IFERROR(VLOOKUP($G949,'02_REFERENCE'!$A$2:$S$99,15,FALSE),"N/A")</f>
        <v>Medium</v>
      </c>
      <c r="F949" s="21" t="str">
        <f>IFERROR(VLOOKUP($G949,'02_REFERENCE'!$A$2:$S$99,17,FALSE),"N/A")</f>
        <v>No</v>
      </c>
      <c r="G949" s="21" t="inlineStr">
        <is>
          <t>S3-RT-018</t>
        </is>
      </c>
      <c r="H949" s="21" t="inlineStr">
        <is>
          <t>Duplicate</t>
        </is>
      </c>
      <c r="I949" s="21" t="inlineStr">
        <is>
          <t>TP</t>
        </is>
      </c>
      <c r="J949" s="21" t="inlineStr">
        <is>
          <t>M</t>
        </is>
      </c>
      <c r="K949" s="21" t="inlineStr">
        <is>
          <t>N</t>
        </is>
      </c>
      <c r="L949" s="21" t="inlineStr">
        <is>
          <t>Yes</t>
        </is>
      </c>
      <c r="M949" s="21" t="inlineStr">
        <is>
          <t>THREMOLIA-S3-F019</t>
        </is>
      </c>
      <c r="N949" s="22" t="inlineStr">
        <is>
          <t>Mechanism class repudiation; evidence: unrecorded [Equivalence: restates THREMOLIA-S3-F019 — one-to-one rule applied.]</t>
        </is>
      </c>
      <c r="O949" s="5" t="inlineStr">
        <is>
          <t>repudiation</t>
        </is>
      </c>
      <c r="P949" s="16" t="inlineStr"/>
      <c r="Q949" s="16" t="inlineStr">
        <is>
          <t>DS2: Recovery Token Storage</t>
        </is>
      </c>
      <c r="R949" s="16" t="inlineStr"/>
      <c r="S949" s="5" t="inlineStr">
        <is>
          <t>Confirmed</t>
        </is>
      </c>
    </row>
    <row r="950" ht="16" customHeight="1">
      <c r="A950" s="5" t="inlineStr">
        <is>
          <t>THREMOLIA-S3-F041</t>
        </is>
      </c>
      <c r="B950" s="5" t="inlineStr">
        <is>
          <t>THREMOLIA</t>
        </is>
      </c>
      <c r="C950" s="5" t="inlineStr">
        <is>
          <t>S3</t>
        </is>
      </c>
      <c r="D950" s="21" t="str">
        <f>IFERROR(VLOOKUP($G950,'02_REFERENCE'!$A$2:$S$99,4,FALSE),"N/A")</f>
        <v>Spoofing</v>
      </c>
      <c r="E950" s="21" t="str">
        <f>IFERROR(VLOOKUP($G950,'02_REFERENCE'!$A$2:$S$99,15,FALSE),"N/A")</f>
        <v>High</v>
      </c>
      <c r="F950" s="21" t="str">
        <f>IFERROR(VLOOKUP($G950,'02_REFERENCE'!$A$2:$S$99,17,FALSE),"N/A")</f>
        <v>No</v>
      </c>
      <c r="G950" s="21" t="inlineStr">
        <is>
          <t>S3-RT-003</t>
        </is>
      </c>
      <c r="H950" s="21" t="inlineStr">
        <is>
          <t>Duplicate</t>
        </is>
      </c>
      <c r="I950" s="21" t="inlineStr">
        <is>
          <t>TP</t>
        </is>
      </c>
      <c r="J950" s="21" t="inlineStr">
        <is>
          <t>M</t>
        </is>
      </c>
      <c r="K950" s="21" t="inlineStr">
        <is>
          <t>N</t>
        </is>
      </c>
      <c r="L950" s="21" t="inlineStr">
        <is>
          <t>Yes</t>
        </is>
      </c>
      <c r="M950" s="21" t="inlineStr">
        <is>
          <t>THREMOLIA-S3-F005</t>
        </is>
      </c>
      <c r="N950" s="22" t="inlineStr">
        <is>
          <t>Mechanism class transit_token; evidence: token cache expos; exposing active recovery token [Equivalence: restates THREMOLIA-S3-F005 — one-to-one rule applied.]</t>
        </is>
      </c>
      <c r="O950" s="5" t="inlineStr">
        <is>
          <t>transit_token</t>
        </is>
      </c>
      <c r="P950" s="16" t="inlineStr"/>
      <c r="Q950" s="16" t="inlineStr">
        <is>
          <t>DS2: Recovery Token Storage</t>
        </is>
      </c>
      <c r="R950" s="16" t="inlineStr"/>
      <c r="S950" s="5" t="inlineStr">
        <is>
          <t>Confirmed</t>
        </is>
      </c>
    </row>
    <row r="951" ht="16" customHeight="1">
      <c r="A951" s="5" t="inlineStr">
        <is>
          <t>THREMOLIA-S3-F042</t>
        </is>
      </c>
      <c r="B951" s="5" t="inlineStr">
        <is>
          <t>THREMOLIA</t>
        </is>
      </c>
      <c r="C951" s="5" t="inlineStr">
        <is>
          <t>S3</t>
        </is>
      </c>
      <c r="D951" s="21" t="str">
        <f>IFERROR(VLOOKUP($G951,'02_REFERENCE'!$A$2:$S$99,4,FALSE),"N/A")</f>
        <v>N/A</v>
      </c>
      <c r="E951" s="21" t="str">
        <f>IFERROR(VLOOKUP($G951,'02_REFERENCE'!$A$2:$S$99,15,FALSE),"N/A")</f>
        <v>N/A</v>
      </c>
      <c r="F951" s="21" t="str">
        <f>IFERROR(VLOOKUP($G951,'02_REFERENCE'!$A$2:$S$99,17,FALSE),"N/A")</f>
        <v>N/A</v>
      </c>
      <c r="G951" s="21" t="inlineStr"/>
      <c r="H951" s="21" t="inlineStr">
        <is>
          <t>False Positive</t>
        </is>
      </c>
      <c r="I951" s="21" t="inlineStr">
        <is>
          <t>FP</t>
        </is>
      </c>
      <c r="J951" s="21" t="inlineStr">
        <is>
          <t>M</t>
        </is>
      </c>
      <c r="K951" s="21" t="inlineStr">
        <is>
          <t>N</t>
        </is>
      </c>
      <c r="L951" s="21" t="inlineStr">
        <is>
          <t>No</t>
        </is>
      </c>
      <c r="M951" s="21" t="inlineStr"/>
      <c r="N951" s="22" t="inlineStr">
        <is>
          <t>No reference threat corresponds to this finding's mechanism (scoring found no class with sufficient evidence).</t>
        </is>
      </c>
      <c r="O951" s="5" t="inlineStr"/>
      <c r="P951" s="16" t="inlineStr"/>
      <c r="Q951" s="16" t="inlineStr">
        <is>
          <t>DS2: Recovery Token Storage</t>
        </is>
      </c>
      <c r="R951" s="16" t="inlineStr"/>
      <c r="S951" s="5" t="inlineStr">
        <is>
          <t>Confirmed</t>
        </is>
      </c>
    </row>
    <row r="952" ht="16" customHeight="1">
      <c r="A952" s="5" t="inlineStr">
        <is>
          <t>THREMOLIA-S3-F043</t>
        </is>
      </c>
      <c r="B952" s="5" t="inlineStr">
        <is>
          <t>THREMOLIA</t>
        </is>
      </c>
      <c r="C952" s="5" t="inlineStr">
        <is>
          <t>S3</t>
        </is>
      </c>
      <c r="D952" s="21" t="str">
        <f>IFERROR(VLOOKUP($G952,'02_REFERENCE'!$A$2:$S$99,4,FALSE),"N/A")</f>
        <v>N/A</v>
      </c>
      <c r="E952" s="21" t="str">
        <f>IFERROR(VLOOKUP($G952,'02_REFERENCE'!$A$2:$S$99,15,FALSE),"N/A")</f>
        <v>N/A</v>
      </c>
      <c r="F952" s="21" t="str">
        <f>IFERROR(VLOOKUP($G952,'02_REFERENCE'!$A$2:$S$99,17,FALSE),"N/A")</f>
        <v>N/A</v>
      </c>
      <c r="G952" s="21" t="inlineStr"/>
      <c r="H952" s="21" t="inlineStr">
        <is>
          <t>False Positive</t>
        </is>
      </c>
      <c r="I952" s="21" t="inlineStr">
        <is>
          <t>FP</t>
        </is>
      </c>
      <c r="J952" s="21" t="inlineStr">
        <is>
          <t>M</t>
        </is>
      </c>
      <c r="K952" s="21" t="inlineStr">
        <is>
          <t>N</t>
        </is>
      </c>
      <c r="L952" s="21" t="inlineStr">
        <is>
          <t>No</t>
        </is>
      </c>
      <c r="M952" s="21" t="inlineStr"/>
      <c r="N952" s="22" t="inlineStr">
        <is>
          <t>No reference threat corresponds to this finding's mechanism (scoring found no class with sufficient evidence).</t>
        </is>
      </c>
      <c r="O952" s="5" t="inlineStr"/>
      <c r="P952" s="16" t="inlineStr"/>
      <c r="Q952" s="16" t="inlineStr">
        <is>
          <t>DF1: Recovery Initiation Request</t>
        </is>
      </c>
      <c r="R952" s="16" t="inlineStr"/>
      <c r="S952" s="5" t="inlineStr">
        <is>
          <t>Confirmed</t>
        </is>
      </c>
    </row>
    <row r="953" ht="16" customHeight="1">
      <c r="A953" s="5" t="inlineStr">
        <is>
          <t>THREMOLIA-S3-F044</t>
        </is>
      </c>
      <c r="B953" s="5" t="inlineStr">
        <is>
          <t>THREMOLIA</t>
        </is>
      </c>
      <c r="C953" s="5" t="inlineStr">
        <is>
          <t>S3</t>
        </is>
      </c>
      <c r="D953" s="21" t="str">
        <f>IFERROR(VLOOKUP($G953,'02_REFERENCE'!$A$2:$S$99,4,FALSE),"N/A")</f>
        <v>Information Disclosure</v>
      </c>
      <c r="E953" s="21" t="str">
        <f>IFERROR(VLOOKUP($G953,'02_REFERENCE'!$A$2:$S$99,15,FALSE),"N/A")</f>
        <v>High</v>
      </c>
      <c r="F953" s="21" t="str">
        <f>IFERROR(VLOOKUP($G953,'02_REFERENCE'!$A$2:$S$99,17,FALSE),"N/A")</f>
        <v>No</v>
      </c>
      <c r="G953" s="21" t="inlineStr">
        <is>
          <t>S3-RT-016</t>
        </is>
      </c>
      <c r="H953" s="21" t="inlineStr">
        <is>
          <t>Duplicate</t>
        </is>
      </c>
      <c r="I953" s="21" t="inlineStr">
        <is>
          <t>TP</t>
        </is>
      </c>
      <c r="J953" s="21" t="inlineStr">
        <is>
          <t>M</t>
        </is>
      </c>
      <c r="K953" s="21" t="inlineStr">
        <is>
          <t>N</t>
        </is>
      </c>
      <c r="L953" s="21" t="inlineStr">
        <is>
          <t>Yes</t>
        </is>
      </c>
      <c r="M953" s="21" t="inlineStr">
        <is>
          <t>THREMOLIA-S3-F116</t>
        </is>
      </c>
      <c r="N953" s="22" t="inlineStr">
        <is>
          <t>Mechanism class transit_creds; evidence: Eavesdropping on unencrypted recovery requests revealing use [Equivalence: restates THREMOLIA-S3-F116 — one-to-one rule applied.]</t>
        </is>
      </c>
      <c r="O953" s="5" t="inlineStr">
        <is>
          <t>transit_creds</t>
        </is>
      </c>
      <c r="P953" s="16" t="inlineStr"/>
      <c r="Q953" s="16" t="inlineStr">
        <is>
          <t>DF1: Recovery Initiation Request</t>
        </is>
      </c>
      <c r="R953" s="16" t="inlineStr"/>
      <c r="S953" s="5" t="inlineStr">
        <is>
          <t>Confirmed</t>
        </is>
      </c>
    </row>
    <row r="954" ht="16" customHeight="1">
      <c r="A954" s="5" t="inlineStr">
        <is>
          <t>THREMOLIA-S3-F045</t>
        </is>
      </c>
      <c r="B954" s="5" t="inlineStr">
        <is>
          <t>THREMOLIA</t>
        </is>
      </c>
      <c r="C954" s="5" t="inlineStr">
        <is>
          <t>S3</t>
        </is>
      </c>
      <c r="D954" s="21" t="str">
        <f>IFERROR(VLOOKUP($G954,'02_REFERENCE'!$A$2:$S$99,4,FALSE),"N/A")</f>
        <v>Denial of Service</v>
      </c>
      <c r="E954" s="21" t="str">
        <f>IFERROR(VLOOKUP($G954,'02_REFERENCE'!$A$2:$S$99,15,FALSE),"N/A")</f>
        <v>High</v>
      </c>
      <c r="F954" s="21" t="str">
        <f>IFERROR(VLOOKUP($G954,'02_REFERENCE'!$A$2:$S$99,17,FALSE),"N/A")</f>
        <v>No</v>
      </c>
      <c r="G954" s="21" t="inlineStr">
        <is>
          <t>S3-RT-030</t>
        </is>
      </c>
      <c r="H954" s="21" t="inlineStr">
        <is>
          <t>Duplicate</t>
        </is>
      </c>
      <c r="I954" s="21" t="inlineStr">
        <is>
          <t>TP</t>
        </is>
      </c>
      <c r="J954" s="21" t="inlineStr">
        <is>
          <t>M</t>
        </is>
      </c>
      <c r="K954" s="21" t="inlineStr">
        <is>
          <t>N</t>
        </is>
      </c>
      <c r="L954" s="21" t="inlineStr">
        <is>
          <t>Yes</t>
        </is>
      </c>
      <c r="M954" s="21" t="inlineStr">
        <is>
          <t>THREMOLIA-S3-F069</t>
        </is>
      </c>
      <c r="N954" s="22" t="inlineStr">
        <is>
          <t>Mechanism class dos_service (victim-based DoS routing); evidence: flood [Equivalence: restates THREMOLIA-S3-F069 — one-to-one rule applied.]</t>
        </is>
      </c>
      <c r="O954" s="5" t="inlineStr">
        <is>
          <t>dos_service</t>
        </is>
      </c>
      <c r="P954" s="16" t="inlineStr"/>
      <c r="Q954" s="16" t="inlineStr">
        <is>
          <t>DF1: Recovery Initiation Request</t>
        </is>
      </c>
      <c r="R954" s="16" t="inlineStr"/>
      <c r="S954" s="5" t="inlineStr">
        <is>
          <t>Confirmed</t>
        </is>
      </c>
    </row>
    <row r="955" ht="16" customHeight="1">
      <c r="A955" s="5" t="inlineStr">
        <is>
          <t>THREMOLIA-S3-F046</t>
        </is>
      </c>
      <c r="B955" s="5" t="inlineStr">
        <is>
          <t>THREMOLIA</t>
        </is>
      </c>
      <c r="C955" s="5" t="inlineStr">
        <is>
          <t>S3</t>
        </is>
      </c>
      <c r="D955" s="21" t="str">
        <f>IFERROR(VLOOKUP($G955,'02_REFERENCE'!$A$2:$S$99,4,FALSE),"N/A")</f>
        <v>N/A</v>
      </c>
      <c r="E955" s="21" t="str">
        <f>IFERROR(VLOOKUP($G955,'02_REFERENCE'!$A$2:$S$99,15,FALSE),"N/A")</f>
        <v>N/A</v>
      </c>
      <c r="F955" s="21" t="str">
        <f>IFERROR(VLOOKUP($G955,'02_REFERENCE'!$A$2:$S$99,17,FALSE),"N/A")</f>
        <v>N/A</v>
      </c>
      <c r="G955" s="21" t="inlineStr"/>
      <c r="H955" s="21" t="inlineStr">
        <is>
          <t>False Positive</t>
        </is>
      </c>
      <c r="I955" s="21" t="inlineStr">
        <is>
          <t>FP</t>
        </is>
      </c>
      <c r="J955" s="21" t="inlineStr">
        <is>
          <t>M</t>
        </is>
      </c>
      <c r="K955" s="21" t="inlineStr">
        <is>
          <t>N</t>
        </is>
      </c>
      <c r="L955" s="21" t="inlineStr">
        <is>
          <t>No</t>
        </is>
      </c>
      <c r="M955" s="21" t="inlineStr"/>
      <c r="N955" s="22" t="inlineStr">
        <is>
          <t>No reference threat corresponds to this finding's mechanism (scoring found no class with sufficient evidence).</t>
        </is>
      </c>
      <c r="O955" s="5" t="inlineStr"/>
      <c r="P955" s="16" t="inlineStr"/>
      <c r="Q955" s="16" t="inlineStr">
        <is>
          <t>DF2: Forwarded Recovery Request</t>
        </is>
      </c>
      <c r="R955" s="16" t="inlineStr"/>
      <c r="S955" s="5" t="inlineStr">
        <is>
          <t>Confirmed</t>
        </is>
      </c>
    </row>
    <row r="956" ht="16" customHeight="1">
      <c r="A956" s="5" t="inlineStr">
        <is>
          <t>THREMOLIA-S3-F047</t>
        </is>
      </c>
      <c r="B956" s="5" t="inlineStr">
        <is>
          <t>THREMOLIA</t>
        </is>
      </c>
      <c r="C956" s="5" t="inlineStr">
        <is>
          <t>S3</t>
        </is>
      </c>
      <c r="D956" s="21" t="str">
        <f>IFERROR(VLOOKUP($G956,'02_REFERENCE'!$A$2:$S$99,4,FALSE),"N/A")</f>
        <v>Information Disclosure</v>
      </c>
      <c r="E956" s="21" t="str">
        <f>IFERROR(VLOOKUP($G956,'02_REFERENCE'!$A$2:$S$99,15,FALSE),"N/A")</f>
        <v>High</v>
      </c>
      <c r="F956" s="21" t="str">
        <f>IFERROR(VLOOKUP($G956,'02_REFERENCE'!$A$2:$S$99,17,FALSE),"N/A")</f>
        <v>No</v>
      </c>
      <c r="G956" s="21" t="inlineStr">
        <is>
          <t>S3-RT-016</t>
        </is>
      </c>
      <c r="H956" s="21" t="inlineStr">
        <is>
          <t>Duplicate</t>
        </is>
      </c>
      <c r="I956" s="21" t="inlineStr">
        <is>
          <t>TP</t>
        </is>
      </c>
      <c r="J956" s="21" t="inlineStr">
        <is>
          <t>M</t>
        </is>
      </c>
      <c r="K956" s="21" t="inlineStr">
        <is>
          <t>N</t>
        </is>
      </c>
      <c r="L956" s="21" t="inlineStr">
        <is>
          <t>Yes</t>
        </is>
      </c>
      <c r="M956" s="21" t="inlineStr">
        <is>
          <t>THREMOLIA-S3-F116</t>
        </is>
      </c>
      <c r="N956" s="22" t="inlineStr">
        <is>
          <t>Mechanism class transit_data_general; evidence: intercepted on internal network segment.  DF2: Forwarded Rec [Equivalence: restates THREMOLIA-S3-F116 — one-to-one rule applied.]</t>
        </is>
      </c>
      <c r="O956" s="5" t="inlineStr">
        <is>
          <t>transit_data_general</t>
        </is>
      </c>
      <c r="P956" s="16" t="inlineStr"/>
      <c r="Q956" s="16" t="inlineStr">
        <is>
          <t>DF2: Forwarded Recovery Request</t>
        </is>
      </c>
      <c r="R956" s="16" t="inlineStr"/>
      <c r="S956" s="5" t="inlineStr">
        <is>
          <t>Confirmed</t>
        </is>
      </c>
    </row>
    <row r="957" ht="16" customHeight="1">
      <c r="A957" s="5" t="inlineStr">
        <is>
          <t>THREMOLIA-S3-F048</t>
        </is>
      </c>
      <c r="B957" s="5" t="inlineStr">
        <is>
          <t>THREMOLIA</t>
        </is>
      </c>
      <c r="C957" s="5" t="inlineStr">
        <is>
          <t>S3</t>
        </is>
      </c>
      <c r="D957" s="21" t="str">
        <f>IFERROR(VLOOKUP($G957,'02_REFERENCE'!$A$2:$S$99,4,FALSE),"N/A")</f>
        <v>N/A</v>
      </c>
      <c r="E957" s="21" t="str">
        <f>IFERROR(VLOOKUP($G957,'02_REFERENCE'!$A$2:$S$99,15,FALSE),"N/A")</f>
        <v>N/A</v>
      </c>
      <c r="F957" s="21" t="str">
        <f>IFERROR(VLOOKUP($G957,'02_REFERENCE'!$A$2:$S$99,17,FALSE),"N/A")</f>
        <v>N/A</v>
      </c>
      <c r="G957" s="21" t="inlineStr"/>
      <c r="H957" s="21" t="inlineStr">
        <is>
          <t>False Positive</t>
        </is>
      </c>
      <c r="I957" s="21" t="inlineStr">
        <is>
          <t>FP</t>
        </is>
      </c>
      <c r="J957" s="21" t="inlineStr">
        <is>
          <t>M</t>
        </is>
      </c>
      <c r="K957" s="21" t="inlineStr">
        <is>
          <t>N</t>
        </is>
      </c>
      <c r="L957" s="21" t="inlineStr">
        <is>
          <t>No</t>
        </is>
      </c>
      <c r="M957" s="21" t="inlineStr"/>
      <c r="N957" s="22" t="inlineStr">
        <is>
          <t>No reference threat corresponds to this finding's mechanism (scoring found no class with sufficient evidence).</t>
        </is>
      </c>
      <c r="O957" s="5" t="inlineStr"/>
      <c r="P957" s="16" t="inlineStr"/>
      <c r="Q957" s="16" t="inlineStr">
        <is>
          <t>DF2: Forwarded Recovery Request</t>
        </is>
      </c>
      <c r="R957" s="16" t="inlineStr"/>
      <c r="S957" s="5" t="inlineStr">
        <is>
          <t>Confirmed</t>
        </is>
      </c>
    </row>
    <row r="958" ht="16" customHeight="1">
      <c r="A958" s="5" t="inlineStr">
        <is>
          <t>THREMOLIA-S3-F049</t>
        </is>
      </c>
      <c r="B958" s="5" t="inlineStr">
        <is>
          <t>THREMOLIA</t>
        </is>
      </c>
      <c r="C958" s="5" t="inlineStr">
        <is>
          <t>S3</t>
        </is>
      </c>
      <c r="D958" s="21" t="str">
        <f>IFERROR(VLOOKUP($G958,'02_REFERENCE'!$A$2:$S$99,4,FALSE),"N/A")</f>
        <v>Tampering</v>
      </c>
      <c r="E958" s="21" t="str">
        <f>IFERROR(VLOOKUP($G958,'02_REFERENCE'!$A$2:$S$99,15,FALSE),"N/A")</f>
        <v>Critical</v>
      </c>
      <c r="F958" s="21" t="str">
        <f>IFERROR(VLOOKUP($G958,'02_REFERENCE'!$A$2:$S$99,17,FALSE),"N/A")</f>
        <v>No</v>
      </c>
      <c r="G958" s="21" t="inlineStr">
        <is>
          <t>S3-RT-011</t>
        </is>
      </c>
      <c r="H958" s="21" t="inlineStr">
        <is>
          <t>Primary TP</t>
        </is>
      </c>
      <c r="I958" s="21" t="inlineStr">
        <is>
          <t>TP</t>
        </is>
      </c>
      <c r="J958" s="21" t="inlineStr">
        <is>
          <t>H</t>
        </is>
      </c>
      <c r="K958" s="21" t="inlineStr">
        <is>
          <t>Y</t>
        </is>
      </c>
      <c r="L958" s="21" t="inlineStr">
        <is>
          <t>No</t>
        </is>
      </c>
      <c r="M958" s="21" t="inlineStr"/>
      <c r="N958" s="22" t="inlineStr">
        <is>
          <t>Mechanism class injection_verification; evidence: SQL injection; injection / query manipulation on verification lookup; query manipulation</t>
        </is>
      </c>
      <c r="O958" s="5" t="inlineStr">
        <is>
          <t>injection_verification</t>
        </is>
      </c>
      <c r="P958" s="16" t="inlineStr"/>
      <c r="Q958" s="16" t="inlineStr">
        <is>
          <t>DF3: Verification Data Query</t>
        </is>
      </c>
      <c r="R958" s="16" t="inlineStr"/>
      <c r="S958" s="5" t="inlineStr">
        <is>
          <t>Confirmed</t>
        </is>
      </c>
    </row>
    <row r="959" ht="16" customHeight="1">
      <c r="A959" s="5" t="inlineStr">
        <is>
          <t>THREMOLIA-S3-F050</t>
        </is>
      </c>
      <c r="B959" s="5" t="inlineStr">
        <is>
          <t>THREMOLIA</t>
        </is>
      </c>
      <c r="C959" s="5" t="inlineStr">
        <is>
          <t>S3</t>
        </is>
      </c>
      <c r="D959" s="21" t="str">
        <f>IFERROR(VLOOKUP($G959,'02_REFERENCE'!$A$2:$S$99,4,FALSE),"N/A")</f>
        <v>N/A</v>
      </c>
      <c r="E959" s="21" t="str">
        <f>IFERROR(VLOOKUP($G959,'02_REFERENCE'!$A$2:$S$99,15,FALSE),"N/A")</f>
        <v>N/A</v>
      </c>
      <c r="F959" s="21" t="str">
        <f>IFERROR(VLOOKUP($G959,'02_REFERENCE'!$A$2:$S$99,17,FALSE),"N/A")</f>
        <v>N/A</v>
      </c>
      <c r="G959" s="21" t="inlineStr"/>
      <c r="H959" s="21" t="inlineStr">
        <is>
          <t>False Positive</t>
        </is>
      </c>
      <c r="I959" s="21" t="inlineStr">
        <is>
          <t>FP</t>
        </is>
      </c>
      <c r="J959" s="21" t="inlineStr">
        <is>
          <t>M</t>
        </is>
      </c>
      <c r="K959" s="21" t="inlineStr">
        <is>
          <t>N</t>
        </is>
      </c>
      <c r="L959" s="21" t="inlineStr">
        <is>
          <t>No</t>
        </is>
      </c>
      <c r="M959" s="21" t="inlineStr"/>
      <c r="N959" s="22" t="inlineStr">
        <is>
          <t>No reference threat corresponds to this finding's mechanism (scoring found no class with sufficient evidence).</t>
        </is>
      </c>
      <c r="O959" s="5" t="inlineStr"/>
      <c r="P959" s="16" t="inlineStr"/>
      <c r="Q959" s="16" t="inlineStr">
        <is>
          <t>DF3: Verification Data Query</t>
        </is>
      </c>
      <c r="R959" s="16" t="inlineStr"/>
      <c r="S959" s="5" t="inlineStr">
        <is>
          <t>Confirmed</t>
        </is>
      </c>
    </row>
    <row r="960" ht="16" customHeight="1">
      <c r="A960" s="5" t="inlineStr">
        <is>
          <t>THREMOLIA-S3-F051</t>
        </is>
      </c>
      <c r="B960" s="5" t="inlineStr">
        <is>
          <t>THREMOLIA</t>
        </is>
      </c>
      <c r="C960" s="5" t="inlineStr">
        <is>
          <t>S3</t>
        </is>
      </c>
      <c r="D960" s="21" t="str">
        <f>IFERROR(VLOOKUP($G960,'02_REFERENCE'!$A$2:$S$99,4,FALSE),"N/A")</f>
        <v>Denial of Service</v>
      </c>
      <c r="E960" s="21" t="str">
        <f>IFERROR(VLOOKUP($G960,'02_REFERENCE'!$A$2:$S$99,15,FALSE),"N/A")</f>
        <v>High</v>
      </c>
      <c r="F960" s="21" t="str">
        <f>IFERROR(VLOOKUP($G960,'02_REFERENCE'!$A$2:$S$99,17,FALSE),"N/A")</f>
        <v>No</v>
      </c>
      <c r="G960" s="21" t="inlineStr">
        <is>
          <t>S3-RT-030</t>
        </is>
      </c>
      <c r="H960" s="21" t="inlineStr">
        <is>
          <t>Duplicate</t>
        </is>
      </c>
      <c r="I960" s="21" t="inlineStr">
        <is>
          <t>TP</t>
        </is>
      </c>
      <c r="J960" s="21" t="inlineStr">
        <is>
          <t>M</t>
        </is>
      </c>
      <c r="K960" s="21" t="inlineStr">
        <is>
          <t>N</t>
        </is>
      </c>
      <c r="L960" s="21" t="inlineStr">
        <is>
          <t>Yes</t>
        </is>
      </c>
      <c r="M960" s="21" t="inlineStr">
        <is>
          <t>THREMOLIA-S3-F069</t>
        </is>
      </c>
      <c r="N960" s="22" t="inlineStr">
        <is>
          <t>Mechanism class dos_service (victim-based DoS routing); evidence: Flood [Equivalence: restates THREMOLIA-S3-F069 — one-to-one rule applied.]</t>
        </is>
      </c>
      <c r="O960" s="5" t="inlineStr">
        <is>
          <t>dos_service</t>
        </is>
      </c>
      <c r="P960" s="16" t="inlineStr"/>
      <c r="Q960" s="16" t="inlineStr">
        <is>
          <t>DF3: Verification Data Query</t>
        </is>
      </c>
      <c r="R960" s="16" t="inlineStr"/>
      <c r="S960" s="5" t="inlineStr">
        <is>
          <t>Confirmed</t>
        </is>
      </c>
    </row>
    <row r="961" ht="16" customHeight="1">
      <c r="A961" s="5" t="inlineStr">
        <is>
          <t>THREMOLIA-S3-F052</t>
        </is>
      </c>
      <c r="B961" s="5" t="inlineStr">
        <is>
          <t>THREMOLIA</t>
        </is>
      </c>
      <c r="C961" s="5" t="inlineStr">
        <is>
          <t>S3</t>
        </is>
      </c>
      <c r="D961" s="21" t="str">
        <f>IFERROR(VLOOKUP($G961,'02_REFERENCE'!$A$2:$S$99,4,FALSE),"N/A")</f>
        <v>Spoofing</v>
      </c>
      <c r="E961" s="21" t="str">
        <f>IFERROR(VLOOKUP($G961,'02_REFERENCE'!$A$2:$S$99,15,FALSE),"N/A")</f>
        <v>Critical</v>
      </c>
      <c r="F961" s="21" t="str">
        <f>IFERROR(VLOOKUP($G961,'02_REFERENCE'!$A$2:$S$99,17,FALSE),"N/A")</f>
        <v>No</v>
      </c>
      <c r="G961" s="21" t="inlineStr">
        <is>
          <t>S3-RT-001</t>
        </is>
      </c>
      <c r="H961" s="21" t="inlineStr">
        <is>
          <t>Primary TP</t>
        </is>
      </c>
      <c r="I961" s="21" t="inlineStr">
        <is>
          <t>TP</t>
        </is>
      </c>
      <c r="J961" s="21" t="inlineStr">
        <is>
          <t>M</t>
        </is>
      </c>
      <c r="K961" s="21" t="inlineStr">
        <is>
          <t>Y</t>
        </is>
      </c>
      <c r="L961" s="21" t="inlineStr">
        <is>
          <t>No</t>
        </is>
      </c>
      <c r="M961" s="21" t="inlineStr"/>
      <c r="N961" s="22" t="inlineStr">
        <is>
          <t>Mechanism class auth_bypass_logic; evidence: Altering database verification response; verification responses to simulat</t>
        </is>
      </c>
      <c r="O961" s="5" t="inlineStr">
        <is>
          <t>auth_bypass_logic</t>
        </is>
      </c>
      <c r="P961" s="16" t="inlineStr"/>
      <c r="Q961" s="16" t="inlineStr">
        <is>
          <t>DF4: Account Verification Data Result</t>
        </is>
      </c>
      <c r="R961" s="16" t="inlineStr"/>
      <c r="S961" s="5" t="inlineStr">
        <is>
          <t>Confirmed</t>
        </is>
      </c>
    </row>
    <row r="962" ht="16" customHeight="1">
      <c r="A962" s="5" t="inlineStr">
        <is>
          <t>THREMOLIA-S3-F053</t>
        </is>
      </c>
      <c r="B962" s="5" t="inlineStr">
        <is>
          <t>THREMOLIA</t>
        </is>
      </c>
      <c r="C962" s="5" t="inlineStr">
        <is>
          <t>S3</t>
        </is>
      </c>
      <c r="D962" s="21" t="str">
        <f>IFERROR(VLOOKUP($G962,'02_REFERENCE'!$A$2:$S$99,4,FALSE),"N/A")</f>
        <v>Information Disclosure</v>
      </c>
      <c r="E962" s="21" t="str">
        <f>IFERROR(VLOOKUP($G962,'02_REFERENCE'!$A$2:$S$99,15,FALSE),"N/A")</f>
        <v>High</v>
      </c>
      <c r="F962" s="21" t="str">
        <f>IFERROR(VLOOKUP($G962,'02_REFERENCE'!$A$2:$S$99,17,FALSE),"N/A")</f>
        <v>No</v>
      </c>
      <c r="G962" s="21" t="inlineStr">
        <is>
          <t>S3-RT-016</t>
        </is>
      </c>
      <c r="H962" s="21" t="inlineStr">
        <is>
          <t>Duplicate</t>
        </is>
      </c>
      <c r="I962" s="21" t="inlineStr">
        <is>
          <t>TP</t>
        </is>
      </c>
      <c r="J962" s="21" t="inlineStr">
        <is>
          <t>M</t>
        </is>
      </c>
      <c r="K962" s="21" t="inlineStr">
        <is>
          <t>N</t>
        </is>
      </c>
      <c r="L962" s="21" t="inlineStr">
        <is>
          <t>Yes</t>
        </is>
      </c>
      <c r="M962" s="21" t="inlineStr">
        <is>
          <t>THREMOLIA-S3-F116</t>
        </is>
      </c>
      <c r="N962" s="22" t="inlineStr">
        <is>
          <t>Mechanism class transit_data_general; evidence: Interception of database response [Equivalence: restates THREMOLIA-S3-F116 — one-to-one rule applied.]</t>
        </is>
      </c>
      <c r="O962" s="5" t="inlineStr">
        <is>
          <t>transit_data_general</t>
        </is>
      </c>
      <c r="P962" s="16" t="inlineStr"/>
      <c r="Q962" s="16" t="inlineStr">
        <is>
          <t>DF4: Account Verification Data Result</t>
        </is>
      </c>
      <c r="R962" s="16" t="inlineStr"/>
      <c r="S962" s="5" t="inlineStr">
        <is>
          <t>Confirmed</t>
        </is>
      </c>
    </row>
    <row r="963" ht="16" customHeight="1">
      <c r="A963" s="5" t="inlineStr">
        <is>
          <t>THREMOLIA-S3-F054</t>
        </is>
      </c>
      <c r="B963" s="5" t="inlineStr">
        <is>
          <t>THREMOLIA</t>
        </is>
      </c>
      <c r="C963" s="5" t="inlineStr">
        <is>
          <t>S3</t>
        </is>
      </c>
      <c r="D963" s="21" t="str">
        <f>IFERROR(VLOOKUP($G963,'02_REFERENCE'!$A$2:$S$99,4,FALSE),"N/A")</f>
        <v>N/A</v>
      </c>
      <c r="E963" s="21" t="str">
        <f>IFERROR(VLOOKUP($G963,'02_REFERENCE'!$A$2:$S$99,15,FALSE),"N/A")</f>
        <v>N/A</v>
      </c>
      <c r="F963" s="21" t="str">
        <f>IFERROR(VLOOKUP($G963,'02_REFERENCE'!$A$2:$S$99,17,FALSE),"N/A")</f>
        <v>N/A</v>
      </c>
      <c r="G963" s="21" t="inlineStr"/>
      <c r="H963" s="21" t="inlineStr">
        <is>
          <t>False Positive</t>
        </is>
      </c>
      <c r="I963" s="21" t="inlineStr">
        <is>
          <t>FP</t>
        </is>
      </c>
      <c r="J963" s="21" t="inlineStr">
        <is>
          <t>M</t>
        </is>
      </c>
      <c r="K963" s="21" t="inlineStr">
        <is>
          <t>N</t>
        </is>
      </c>
      <c r="L963" s="21" t="inlineStr">
        <is>
          <t>No</t>
        </is>
      </c>
      <c r="M963" s="21" t="inlineStr"/>
      <c r="N963" s="22" t="inlineStr">
        <is>
          <t>No reference threat corresponds to this finding's mechanism (scoring found no class with sufficient evidence).</t>
        </is>
      </c>
      <c r="O963" s="5" t="inlineStr"/>
      <c r="P963" s="16" t="inlineStr"/>
      <c r="Q963" s="16" t="inlineStr">
        <is>
          <t>DF4: Account Verification Data Result</t>
        </is>
      </c>
      <c r="R963" s="16" t="inlineStr"/>
      <c r="S963" s="5" t="inlineStr">
        <is>
          <t>Confirmed</t>
        </is>
      </c>
    </row>
    <row r="964" ht="16" customHeight="1">
      <c r="A964" s="5" t="inlineStr">
        <is>
          <t>THREMOLIA-S3-F055</t>
        </is>
      </c>
      <c r="B964" s="5" t="inlineStr">
        <is>
          <t>THREMOLIA</t>
        </is>
      </c>
      <c r="C964" s="5" t="inlineStr">
        <is>
          <t>S3</t>
        </is>
      </c>
      <c r="D964" s="21" t="str">
        <f>IFERROR(VLOOKUP($G964,'02_REFERENCE'!$A$2:$S$99,4,FALSE),"N/A")</f>
        <v>Denial of Service</v>
      </c>
      <c r="E964" s="21" t="str">
        <f>IFERROR(VLOOKUP($G964,'02_REFERENCE'!$A$2:$S$99,15,FALSE),"N/A")</f>
        <v>Medium</v>
      </c>
      <c r="F964" s="21" t="str">
        <f>IFERROR(VLOOKUP($G964,'02_REFERENCE'!$A$2:$S$99,17,FALSE),"N/A")</f>
        <v>No</v>
      </c>
      <c r="G964" s="21" t="inlineStr">
        <is>
          <t>S3-RT-031</t>
        </is>
      </c>
      <c r="H964" s="21" t="inlineStr">
        <is>
          <t>Duplicate</t>
        </is>
      </c>
      <c r="I964" s="21" t="inlineStr">
        <is>
          <t>TP</t>
        </is>
      </c>
      <c r="J964" s="21" t="inlineStr">
        <is>
          <t>M</t>
        </is>
      </c>
      <c r="K964" s="21" t="inlineStr">
        <is>
          <t>N</t>
        </is>
      </c>
      <c r="L964" s="21" t="inlineStr">
        <is>
          <t>Yes</t>
        </is>
      </c>
      <c r="M964" s="21" t="inlineStr">
        <is>
          <t>THREMOLIA-S3-F006</t>
        </is>
      </c>
      <c r="N964" s="22" t="inlineStr">
        <is>
          <t>Mechanism class session_store_tamper; evidence: token storage command alter [Equivalence: restates THREMOLIA-S3-F006 — one-to-one rule applied.]</t>
        </is>
      </c>
      <c r="O964" s="5" t="inlineStr">
        <is>
          <t>session_store_tamper</t>
        </is>
      </c>
      <c r="P964" s="16" t="inlineStr"/>
      <c r="Q964" s="16" t="inlineStr">
        <is>
          <t>DF5: Store Recovery Token Request</t>
        </is>
      </c>
      <c r="R964" s="16" t="inlineStr"/>
      <c r="S964" s="5" t="inlineStr">
        <is>
          <t>Confirmed</t>
        </is>
      </c>
    </row>
    <row r="965" ht="16" customHeight="1">
      <c r="A965" s="5" t="inlineStr">
        <is>
          <t>THREMOLIA-S3-F056</t>
        </is>
      </c>
      <c r="B965" s="5" t="inlineStr">
        <is>
          <t>THREMOLIA</t>
        </is>
      </c>
      <c r="C965" s="5" t="inlineStr">
        <is>
          <t>S3</t>
        </is>
      </c>
      <c r="D965" s="21" t="str">
        <f>IFERROR(VLOOKUP($G965,'02_REFERENCE'!$A$2:$S$99,4,FALSE),"N/A")</f>
        <v>Spoofing</v>
      </c>
      <c r="E965" s="21" t="str">
        <f>IFERROR(VLOOKUP($G965,'02_REFERENCE'!$A$2:$S$99,15,FALSE),"N/A")</f>
        <v>High</v>
      </c>
      <c r="F965" s="21" t="str">
        <f>IFERROR(VLOOKUP($G965,'02_REFERENCE'!$A$2:$S$99,17,FALSE),"N/A")</f>
        <v>No</v>
      </c>
      <c r="G965" s="21" t="inlineStr">
        <is>
          <t>S3-RT-003</t>
        </is>
      </c>
      <c r="H965" s="21" t="inlineStr">
        <is>
          <t>Duplicate</t>
        </is>
      </c>
      <c r="I965" s="21" t="inlineStr">
        <is>
          <t>TP</t>
        </is>
      </c>
      <c r="J965" s="21" t="inlineStr">
        <is>
          <t>M</t>
        </is>
      </c>
      <c r="K965" s="21" t="inlineStr">
        <is>
          <t>N</t>
        </is>
      </c>
      <c r="L965" s="21" t="inlineStr">
        <is>
          <t>Yes</t>
        </is>
      </c>
      <c r="M965" s="21" t="inlineStr">
        <is>
          <t>THREMOLIA-S3-F005</t>
        </is>
      </c>
      <c r="N965" s="22" t="inlineStr">
        <is>
          <t>Mechanism class transit_token; evidence: token write command expos; Interception of token [Equivalence: restates THREMOLIA-S3-F005 — one-to-one rule applied.]</t>
        </is>
      </c>
      <c r="O965" s="5" t="inlineStr">
        <is>
          <t>transit_token</t>
        </is>
      </c>
      <c r="P965" s="16" t="inlineStr"/>
      <c r="Q965" s="16" t="inlineStr">
        <is>
          <t>DF5: Store Recovery Token Request</t>
        </is>
      </c>
      <c r="R965" s="16" t="inlineStr"/>
      <c r="S965" s="5" t="inlineStr">
        <is>
          <t>Confirmed</t>
        </is>
      </c>
    </row>
    <row r="966" ht="16" customHeight="1">
      <c r="A966" s="5" t="inlineStr">
        <is>
          <t>THREMOLIA-S3-F057</t>
        </is>
      </c>
      <c r="B966" s="5" t="inlineStr">
        <is>
          <t>THREMOLIA</t>
        </is>
      </c>
      <c r="C966" s="5" t="inlineStr">
        <is>
          <t>S3</t>
        </is>
      </c>
      <c r="D966" s="21" t="str">
        <f>IFERROR(VLOOKUP($G966,'02_REFERENCE'!$A$2:$S$99,4,FALSE),"N/A")</f>
        <v>Denial of Service</v>
      </c>
      <c r="E966" s="21" t="str">
        <f>IFERROR(VLOOKUP($G966,'02_REFERENCE'!$A$2:$S$99,15,FALSE),"N/A")</f>
        <v>High</v>
      </c>
      <c r="F966" s="21" t="str">
        <f>IFERROR(VLOOKUP($G966,'02_REFERENCE'!$A$2:$S$99,17,FALSE),"N/A")</f>
        <v>No</v>
      </c>
      <c r="G966" s="21" t="inlineStr">
        <is>
          <t>S3-RT-030</t>
        </is>
      </c>
      <c r="H966" s="21" t="inlineStr">
        <is>
          <t>Duplicate</t>
        </is>
      </c>
      <c r="I966" s="21" t="inlineStr">
        <is>
          <t>TP</t>
        </is>
      </c>
      <c r="J966" s="21" t="inlineStr">
        <is>
          <t>M</t>
        </is>
      </c>
      <c r="K966" s="21" t="inlineStr">
        <is>
          <t>N</t>
        </is>
      </c>
      <c r="L966" s="21" t="inlineStr">
        <is>
          <t>Yes</t>
        </is>
      </c>
      <c r="M966" s="21" t="inlineStr">
        <is>
          <t>THREMOLIA-S3-F069</t>
        </is>
      </c>
      <c r="N966" s="22" t="inlineStr">
        <is>
          <t>Mechanism class dos_service (victim-based DoS routing); evidence: Flood [Equivalence: restates THREMOLIA-S3-F069 — one-to-one rule applied.]</t>
        </is>
      </c>
      <c r="O966" s="5" t="inlineStr">
        <is>
          <t>dos_service</t>
        </is>
      </c>
      <c r="P966" s="16" t="inlineStr"/>
      <c r="Q966" s="16" t="inlineStr">
        <is>
          <t>DF5: Store Recovery Token Request</t>
        </is>
      </c>
      <c r="R966" s="16" t="inlineStr"/>
      <c r="S966" s="5" t="inlineStr">
        <is>
          <t>Confirmed</t>
        </is>
      </c>
    </row>
    <row r="967" ht="16" customHeight="1">
      <c r="A967" s="5" t="inlineStr">
        <is>
          <t>THREMOLIA-S3-F058</t>
        </is>
      </c>
      <c r="B967" s="5" t="inlineStr">
        <is>
          <t>THREMOLIA</t>
        </is>
      </c>
      <c r="C967" s="5" t="inlineStr">
        <is>
          <t>S3</t>
        </is>
      </c>
      <c r="D967" s="21" t="str">
        <f>IFERROR(VLOOKUP($G967,'02_REFERENCE'!$A$2:$S$99,4,FALSE),"N/A")</f>
        <v>N/A</v>
      </c>
      <c r="E967" s="21" t="str">
        <f>IFERROR(VLOOKUP($G967,'02_REFERENCE'!$A$2:$S$99,15,FALSE),"N/A")</f>
        <v>N/A</v>
      </c>
      <c r="F967" s="21" t="str">
        <f>IFERROR(VLOOKUP($G967,'02_REFERENCE'!$A$2:$S$99,17,FALSE),"N/A")</f>
        <v>N/A</v>
      </c>
      <c r="G967" s="21" t="inlineStr"/>
      <c r="H967" s="21" t="inlineStr">
        <is>
          <t>False Positive</t>
        </is>
      </c>
      <c r="I967" s="21" t="inlineStr">
        <is>
          <t>FP</t>
        </is>
      </c>
      <c r="J967" s="21" t="inlineStr">
        <is>
          <t>M</t>
        </is>
      </c>
      <c r="K967" s="21" t="inlineStr">
        <is>
          <t>N</t>
        </is>
      </c>
      <c r="L967" s="21" t="inlineStr">
        <is>
          <t>No</t>
        </is>
      </c>
      <c r="M967" s="21" t="inlineStr"/>
      <c r="N967" s="22" t="inlineStr">
        <is>
          <t>No reference threat corresponds to this finding's mechanism (scoring found no class with sufficient evidence).</t>
        </is>
      </c>
      <c r="O967" s="5" t="inlineStr"/>
      <c r="P967" s="16" t="inlineStr"/>
      <c r="Q967" s="16" t="inlineStr">
        <is>
          <t>DF6: Token Storage Confirmation</t>
        </is>
      </c>
      <c r="R967" s="16" t="inlineStr"/>
      <c r="S967" s="5" t="inlineStr">
        <is>
          <t>Confirmed</t>
        </is>
      </c>
    </row>
    <row r="968" ht="16" customHeight="1">
      <c r="A968" s="5" t="inlineStr">
        <is>
          <t>THREMOLIA-S3-F059</t>
        </is>
      </c>
      <c r="B968" s="5" t="inlineStr">
        <is>
          <t>THREMOLIA</t>
        </is>
      </c>
      <c r="C968" s="5" t="inlineStr">
        <is>
          <t>S3</t>
        </is>
      </c>
      <c r="D968" s="21" t="str">
        <f>IFERROR(VLOOKUP($G968,'02_REFERENCE'!$A$2:$S$99,4,FALSE),"N/A")</f>
        <v>N/A</v>
      </c>
      <c r="E968" s="21" t="str">
        <f>IFERROR(VLOOKUP($G968,'02_REFERENCE'!$A$2:$S$99,15,FALSE),"N/A")</f>
        <v>N/A</v>
      </c>
      <c r="F968" s="21" t="str">
        <f>IFERROR(VLOOKUP($G968,'02_REFERENCE'!$A$2:$S$99,17,FALSE),"N/A")</f>
        <v>N/A</v>
      </c>
      <c r="G968" s="21" t="inlineStr"/>
      <c r="H968" s="21" t="inlineStr">
        <is>
          <t>False Positive</t>
        </is>
      </c>
      <c r="I968" s="21" t="inlineStr">
        <is>
          <t>FP</t>
        </is>
      </c>
      <c r="J968" s="21" t="inlineStr">
        <is>
          <t>M</t>
        </is>
      </c>
      <c r="K968" s="21" t="inlineStr">
        <is>
          <t>N</t>
        </is>
      </c>
      <c r="L968" s="21" t="inlineStr">
        <is>
          <t>No</t>
        </is>
      </c>
      <c r="M968" s="21" t="inlineStr"/>
      <c r="N968" s="22" t="inlineStr">
        <is>
          <t>No reference threat corresponds to this finding's mechanism (scoring found no class with sufficient evidence).</t>
        </is>
      </c>
      <c r="O968" s="5" t="inlineStr"/>
      <c r="P968" s="16" t="inlineStr"/>
      <c r="Q968" s="16" t="inlineStr">
        <is>
          <t>DF6: Token Storage Confirmation</t>
        </is>
      </c>
      <c r="R968" s="16" t="inlineStr"/>
      <c r="S968" s="5" t="inlineStr">
        <is>
          <t>Confirmed</t>
        </is>
      </c>
    </row>
    <row r="969" ht="16" customHeight="1">
      <c r="A969" s="5" t="inlineStr">
        <is>
          <t>THREMOLIA-S3-F060</t>
        </is>
      </c>
      <c r="B969" s="5" t="inlineStr">
        <is>
          <t>THREMOLIA</t>
        </is>
      </c>
      <c r="C969" s="5" t="inlineStr">
        <is>
          <t>S3</t>
        </is>
      </c>
      <c r="D969" s="21" t="str">
        <f>IFERROR(VLOOKUP($G969,'02_REFERENCE'!$A$2:$S$99,4,FALSE),"N/A")</f>
        <v>N/A</v>
      </c>
      <c r="E969" s="21" t="str">
        <f>IFERROR(VLOOKUP($G969,'02_REFERENCE'!$A$2:$S$99,15,FALSE),"N/A")</f>
        <v>N/A</v>
      </c>
      <c r="F969" s="21" t="str">
        <f>IFERROR(VLOOKUP($G969,'02_REFERENCE'!$A$2:$S$99,17,FALSE),"N/A")</f>
        <v>N/A</v>
      </c>
      <c r="G969" s="21" t="inlineStr"/>
      <c r="H969" s="21" t="inlineStr">
        <is>
          <t>False Positive</t>
        </is>
      </c>
      <c r="I969" s="21" t="inlineStr">
        <is>
          <t>FP</t>
        </is>
      </c>
      <c r="J969" s="21" t="inlineStr">
        <is>
          <t>M</t>
        </is>
      </c>
      <c r="K969" s="21" t="inlineStr">
        <is>
          <t>N</t>
        </is>
      </c>
      <c r="L969" s="21" t="inlineStr">
        <is>
          <t>No</t>
        </is>
      </c>
      <c r="M969" s="21" t="inlineStr"/>
      <c r="N969" s="22" t="inlineStr">
        <is>
          <t>No reference threat corresponds to this finding's mechanism (scoring found no class with sufficient evidence).</t>
        </is>
      </c>
      <c r="O969" s="5" t="inlineStr"/>
      <c r="P969" s="16" t="inlineStr"/>
      <c r="Q969" s="16" t="inlineStr">
        <is>
          <t>DF6: Token Storage Confirmation</t>
        </is>
      </c>
      <c r="R969" s="16" t="inlineStr"/>
      <c r="S969" s="5" t="inlineStr">
        <is>
          <t>Confirmed</t>
        </is>
      </c>
    </row>
    <row r="970" ht="16" customHeight="1">
      <c r="A970" s="5" t="inlineStr">
        <is>
          <t>THREMOLIA-S3-F061</t>
        </is>
      </c>
      <c r="B970" s="5" t="inlineStr">
        <is>
          <t>THREMOLIA</t>
        </is>
      </c>
      <c r="C970" s="5" t="inlineStr">
        <is>
          <t>S3</t>
        </is>
      </c>
      <c r="D970" s="21" t="str">
        <f>IFERROR(VLOOKUP($G970,'02_REFERENCE'!$A$2:$S$99,4,FALSE),"N/A")</f>
        <v>N/A</v>
      </c>
      <c r="E970" s="21" t="str">
        <f>IFERROR(VLOOKUP($G970,'02_REFERENCE'!$A$2:$S$99,15,FALSE),"N/A")</f>
        <v>N/A</v>
      </c>
      <c r="F970" s="21" t="str">
        <f>IFERROR(VLOOKUP($G970,'02_REFERENCE'!$A$2:$S$99,17,FALSE),"N/A")</f>
        <v>N/A</v>
      </c>
      <c r="G970" s="21" t="inlineStr"/>
      <c r="H970" s="21" t="inlineStr">
        <is>
          <t>False Positive</t>
        </is>
      </c>
      <c r="I970" s="21" t="inlineStr">
        <is>
          <t>FP</t>
        </is>
      </c>
      <c r="J970" s="21" t="inlineStr">
        <is>
          <t>M</t>
        </is>
      </c>
      <c r="K970" s="21" t="inlineStr">
        <is>
          <t>N</t>
        </is>
      </c>
      <c r="L970" s="21" t="inlineStr">
        <is>
          <t>No</t>
        </is>
      </c>
      <c r="M970" s="21" t="inlineStr"/>
      <c r="N970" s="22" t="inlineStr">
        <is>
          <t>No reference threat corresponds to this finding's mechanism (scoring found no class with sufficient evidence).</t>
        </is>
      </c>
      <c r="O970" s="5" t="inlineStr"/>
      <c r="P970" s="16" t="inlineStr"/>
      <c r="Q970" s="16" t="inlineStr">
        <is>
          <t>DF7: Recovery Challenge / Result</t>
        </is>
      </c>
      <c r="R970" s="16" t="inlineStr"/>
      <c r="S970" s="5" t="inlineStr">
        <is>
          <t>Confirmed</t>
        </is>
      </c>
    </row>
    <row r="971" ht="16" customHeight="1">
      <c r="A971" s="5" t="inlineStr">
        <is>
          <t>THREMOLIA-S3-F062</t>
        </is>
      </c>
      <c r="B971" s="5" t="inlineStr">
        <is>
          <t>THREMOLIA</t>
        </is>
      </c>
      <c r="C971" s="5" t="inlineStr">
        <is>
          <t>S3</t>
        </is>
      </c>
      <c r="D971" s="21" t="str">
        <f>IFERROR(VLOOKUP($G971,'02_REFERENCE'!$A$2:$S$99,4,FALSE),"N/A")</f>
        <v>N/A</v>
      </c>
      <c r="E971" s="21" t="str">
        <f>IFERROR(VLOOKUP($G971,'02_REFERENCE'!$A$2:$S$99,15,FALSE),"N/A")</f>
        <v>N/A</v>
      </c>
      <c r="F971" s="21" t="str">
        <f>IFERROR(VLOOKUP($G971,'02_REFERENCE'!$A$2:$S$99,17,FALSE),"N/A")</f>
        <v>N/A</v>
      </c>
      <c r="G971" s="21" t="inlineStr"/>
      <c r="H971" s="21" t="inlineStr">
        <is>
          <t>False Positive</t>
        </is>
      </c>
      <c r="I971" s="21" t="inlineStr">
        <is>
          <t>FP</t>
        </is>
      </c>
      <c r="J971" s="21" t="inlineStr">
        <is>
          <t>M</t>
        </is>
      </c>
      <c r="K971" s="21" t="inlineStr">
        <is>
          <t>N</t>
        </is>
      </c>
      <c r="L971" s="21" t="inlineStr">
        <is>
          <t>No</t>
        </is>
      </c>
      <c r="M971" s="21" t="inlineStr"/>
      <c r="N971" s="22" t="inlineStr">
        <is>
          <t>No reference threat corresponds to this finding's mechanism (scoring found no class with sufficient evidence).</t>
        </is>
      </c>
      <c r="O971" s="5" t="inlineStr"/>
      <c r="P971" s="16" t="inlineStr"/>
      <c r="Q971" s="16" t="inlineStr">
        <is>
          <t>DF7: Recovery Challenge / Result</t>
        </is>
      </c>
      <c r="R971" s="16" t="inlineStr"/>
      <c r="S971" s="5" t="inlineStr">
        <is>
          <t>Confirmed</t>
        </is>
      </c>
    </row>
    <row r="972" ht="16" customHeight="1">
      <c r="A972" s="5" t="inlineStr">
        <is>
          <t>THREMOLIA-S3-F063</t>
        </is>
      </c>
      <c r="B972" s="5" t="inlineStr">
        <is>
          <t>THREMOLIA</t>
        </is>
      </c>
      <c r="C972" s="5" t="inlineStr">
        <is>
          <t>S3</t>
        </is>
      </c>
      <c r="D972" s="21" t="str">
        <f>IFERROR(VLOOKUP($G972,'02_REFERENCE'!$A$2:$S$99,4,FALSE),"N/A")</f>
        <v>N/A</v>
      </c>
      <c r="E972" s="21" t="str">
        <f>IFERROR(VLOOKUP($G972,'02_REFERENCE'!$A$2:$S$99,15,FALSE),"N/A")</f>
        <v>N/A</v>
      </c>
      <c r="F972" s="21" t="str">
        <f>IFERROR(VLOOKUP($G972,'02_REFERENCE'!$A$2:$S$99,17,FALSE),"N/A")</f>
        <v>N/A</v>
      </c>
      <c r="G972" s="21" t="inlineStr"/>
      <c r="H972" s="21" t="inlineStr">
        <is>
          <t>False Positive</t>
        </is>
      </c>
      <c r="I972" s="21" t="inlineStr">
        <is>
          <t>FP</t>
        </is>
      </c>
      <c r="J972" s="21" t="inlineStr">
        <is>
          <t>M</t>
        </is>
      </c>
      <c r="K972" s="21" t="inlineStr">
        <is>
          <t>N</t>
        </is>
      </c>
      <c r="L972" s="21" t="inlineStr">
        <is>
          <t>No</t>
        </is>
      </c>
      <c r="M972" s="21" t="inlineStr"/>
      <c r="N972" s="22" t="inlineStr">
        <is>
          <t>No reference threat corresponds to this finding's mechanism (scoring found no class with sufficient evidence).</t>
        </is>
      </c>
      <c r="O972" s="5" t="inlineStr"/>
      <c r="P972" s="16" t="inlineStr"/>
      <c r="Q972" s="16" t="inlineStr">
        <is>
          <t>DF7: Recovery Challenge / Result</t>
        </is>
      </c>
      <c r="R972" s="16" t="inlineStr"/>
      <c r="S972" s="5" t="inlineStr">
        <is>
          <t>Confirmed</t>
        </is>
      </c>
    </row>
    <row r="973" ht="16" customHeight="1">
      <c r="A973" s="5" t="inlineStr">
        <is>
          <t>THREMOLIA-S3-F064</t>
        </is>
      </c>
      <c r="B973" s="5" t="inlineStr">
        <is>
          <t>THREMOLIA</t>
        </is>
      </c>
      <c r="C973" s="5" t="inlineStr">
        <is>
          <t>S3</t>
        </is>
      </c>
      <c r="D973" s="21" t="str">
        <f>IFERROR(VLOOKUP($G973,'02_REFERENCE'!$A$2:$S$99,4,FALSE),"N/A")</f>
        <v>Spoofing</v>
      </c>
      <c r="E973" s="21" t="str">
        <f>IFERROR(VLOOKUP($G973,'02_REFERENCE'!$A$2:$S$99,15,FALSE),"N/A")</f>
        <v>High</v>
      </c>
      <c r="F973" s="21" t="str">
        <f>IFERROR(VLOOKUP($G973,'02_REFERENCE'!$A$2:$S$99,17,FALSE),"N/A")</f>
        <v>No</v>
      </c>
      <c r="G973" s="21" t="inlineStr">
        <is>
          <t>S3-RT-003</t>
        </is>
      </c>
      <c r="H973" s="21" t="inlineStr">
        <is>
          <t>Duplicate</t>
        </is>
      </c>
      <c r="I973" s="21" t="inlineStr">
        <is>
          <t>TP</t>
        </is>
      </c>
      <c r="J973" s="21" t="inlineStr">
        <is>
          <t>L</t>
        </is>
      </c>
      <c r="K973" s="21" t="inlineStr">
        <is>
          <t>N</t>
        </is>
      </c>
      <c r="L973" s="21" t="inlineStr">
        <is>
          <t>Yes</t>
        </is>
      </c>
      <c r="M973" s="21" t="inlineStr">
        <is>
          <t>THREMOLIA-S3-F005</t>
        </is>
      </c>
      <c r="N973" s="22" t="inlineStr">
        <is>
          <t>Mechanism class transit_token; evidence: Interception and manipulation of submitted recovery token [Equivalence: restates THREMOLIA-S3-F005 — one-to-one rule applied.]</t>
        </is>
      </c>
      <c r="O973" s="5" t="inlineStr">
        <is>
          <t>transit_token</t>
        </is>
      </c>
      <c r="P973" s="16" t="inlineStr"/>
      <c r="Q973" s="16" t="inlineStr">
        <is>
          <t>DF8: Recovery Token Submission</t>
        </is>
      </c>
      <c r="R973" s="16" t="inlineStr"/>
      <c r="S973" s="5" t="inlineStr">
        <is>
          <t>Manual review</t>
        </is>
      </c>
    </row>
    <row r="974" ht="16" customHeight="1">
      <c r="A974" s="5" t="inlineStr">
        <is>
          <t>THREMOLIA-S3-F065</t>
        </is>
      </c>
      <c r="B974" s="5" t="inlineStr">
        <is>
          <t>THREMOLIA</t>
        </is>
      </c>
      <c r="C974" s="5" t="inlineStr">
        <is>
          <t>S3</t>
        </is>
      </c>
      <c r="D974" s="21" t="str">
        <f>IFERROR(VLOOKUP($G974,'02_REFERENCE'!$A$2:$S$99,4,FALSE),"N/A")</f>
        <v>Spoofing</v>
      </c>
      <c r="E974" s="21" t="str">
        <f>IFERROR(VLOOKUP($G974,'02_REFERENCE'!$A$2:$S$99,15,FALSE),"N/A")</f>
        <v>High</v>
      </c>
      <c r="F974" s="21" t="str">
        <f>IFERROR(VLOOKUP($G974,'02_REFERENCE'!$A$2:$S$99,17,FALSE),"N/A")</f>
        <v>No</v>
      </c>
      <c r="G974" s="21" t="inlineStr">
        <is>
          <t>S3-RT-003</t>
        </is>
      </c>
      <c r="H974" s="21" t="inlineStr">
        <is>
          <t>Duplicate</t>
        </is>
      </c>
      <c r="I974" s="21" t="inlineStr">
        <is>
          <t>TP</t>
        </is>
      </c>
      <c r="J974" s="21" t="inlineStr">
        <is>
          <t>L</t>
        </is>
      </c>
      <c r="K974" s="21" t="inlineStr">
        <is>
          <t>N</t>
        </is>
      </c>
      <c r="L974" s="21" t="inlineStr">
        <is>
          <t>Yes</t>
        </is>
      </c>
      <c r="M974" s="21" t="inlineStr">
        <is>
          <t>THREMOLIA-S3-F005</t>
        </is>
      </c>
      <c r="N974" s="22" t="inlineStr">
        <is>
          <t>Mechanism class transit_token; evidence: Interception of plaintext recovery token [Equivalence: restates THREMOLIA-S3-F005 — one-to-one rule applied.]</t>
        </is>
      </c>
      <c r="O974" s="5" t="inlineStr">
        <is>
          <t>transit_token</t>
        </is>
      </c>
      <c r="P974" s="16" t="inlineStr"/>
      <c r="Q974" s="16" t="inlineStr">
        <is>
          <t>DF8: Recovery Token Submission</t>
        </is>
      </c>
      <c r="R974" s="16" t="inlineStr"/>
      <c r="S974" s="5" t="inlineStr">
        <is>
          <t>Manual review</t>
        </is>
      </c>
    </row>
    <row r="975" ht="16" customHeight="1">
      <c r="A975" s="5" t="inlineStr">
        <is>
          <t>THREMOLIA-S3-F066</t>
        </is>
      </c>
      <c r="B975" s="5" t="inlineStr">
        <is>
          <t>THREMOLIA</t>
        </is>
      </c>
      <c r="C975" s="5" t="inlineStr">
        <is>
          <t>S3</t>
        </is>
      </c>
      <c r="D975" s="21" t="str">
        <f>IFERROR(VLOOKUP($G975,'02_REFERENCE'!$A$2:$S$99,4,FALSE),"N/A")</f>
        <v>Denial of Service</v>
      </c>
      <c r="E975" s="21" t="str">
        <f>IFERROR(VLOOKUP($G975,'02_REFERENCE'!$A$2:$S$99,15,FALSE),"N/A")</f>
        <v>High</v>
      </c>
      <c r="F975" s="21" t="str">
        <f>IFERROR(VLOOKUP($G975,'02_REFERENCE'!$A$2:$S$99,17,FALSE),"N/A")</f>
        <v>No</v>
      </c>
      <c r="G975" s="21" t="inlineStr">
        <is>
          <t>S3-RT-030</t>
        </is>
      </c>
      <c r="H975" s="21" t="inlineStr">
        <is>
          <t>Duplicate</t>
        </is>
      </c>
      <c r="I975" s="21" t="inlineStr">
        <is>
          <t>TP</t>
        </is>
      </c>
      <c r="J975" s="21" t="inlineStr">
        <is>
          <t>M</t>
        </is>
      </c>
      <c r="K975" s="21" t="inlineStr">
        <is>
          <t>N</t>
        </is>
      </c>
      <c r="L975" s="21" t="inlineStr">
        <is>
          <t>Yes</t>
        </is>
      </c>
      <c r="M975" s="21" t="inlineStr">
        <is>
          <t>THREMOLIA-S3-F069</t>
        </is>
      </c>
      <c r="N975" s="22" t="inlineStr">
        <is>
          <t>Mechanism class dos_service (victim-based DoS routing); evidence: flood [Equivalence: restates THREMOLIA-S3-F069 — one-to-one rule applied.]</t>
        </is>
      </c>
      <c r="O975" s="5" t="inlineStr">
        <is>
          <t>dos_service</t>
        </is>
      </c>
      <c r="P975" s="16" t="inlineStr"/>
      <c r="Q975" s="16" t="inlineStr">
        <is>
          <t>DF8: Recovery Token Submission</t>
        </is>
      </c>
      <c r="R975" s="16" t="inlineStr"/>
      <c r="S975" s="5" t="inlineStr">
        <is>
          <t>Confirmed</t>
        </is>
      </c>
    </row>
    <row r="976" ht="16" customHeight="1">
      <c r="A976" s="5" t="inlineStr">
        <is>
          <t>THREMOLIA-S3-F067</t>
        </is>
      </c>
      <c r="B976" s="5" t="inlineStr">
        <is>
          <t>THREMOLIA</t>
        </is>
      </c>
      <c r="C976" s="5" t="inlineStr">
        <is>
          <t>S3</t>
        </is>
      </c>
      <c r="D976" s="21" t="str">
        <f>IFERROR(VLOOKUP($G976,'02_REFERENCE'!$A$2:$S$99,4,FALSE),"N/A")</f>
        <v>N/A</v>
      </c>
      <c r="E976" s="21" t="str">
        <f>IFERROR(VLOOKUP($G976,'02_REFERENCE'!$A$2:$S$99,15,FALSE),"N/A")</f>
        <v>N/A</v>
      </c>
      <c r="F976" s="21" t="str">
        <f>IFERROR(VLOOKUP($G976,'02_REFERENCE'!$A$2:$S$99,17,FALSE),"N/A")</f>
        <v>N/A</v>
      </c>
      <c r="G976" s="21" t="inlineStr"/>
      <c r="H976" s="21" t="inlineStr">
        <is>
          <t>False Positive</t>
        </is>
      </c>
      <c r="I976" s="21" t="inlineStr">
        <is>
          <t>FP</t>
        </is>
      </c>
      <c r="J976" s="21" t="inlineStr">
        <is>
          <t>M</t>
        </is>
      </c>
      <c r="K976" s="21" t="inlineStr">
        <is>
          <t>N</t>
        </is>
      </c>
      <c r="L976" s="21" t="inlineStr">
        <is>
          <t>No</t>
        </is>
      </c>
      <c r="M976" s="21" t="inlineStr"/>
      <c r="N976" s="22" t="inlineStr">
        <is>
          <t>No reference threat corresponds to this finding's mechanism (scoring found no class with sufficient evidence).</t>
        </is>
      </c>
      <c r="O976" s="5" t="inlineStr"/>
      <c r="P976" s="16" t="inlineStr"/>
      <c r="Q976" s="16" t="inlineStr">
        <is>
          <t>DF9: Forwarded Token Credential</t>
        </is>
      </c>
      <c r="R976" s="16" t="inlineStr"/>
      <c r="S976" s="5" t="inlineStr">
        <is>
          <t>Confirmed</t>
        </is>
      </c>
    </row>
    <row r="977" ht="16" customHeight="1">
      <c r="A977" s="5" t="inlineStr">
        <is>
          <t>THREMOLIA-S3-F068</t>
        </is>
      </c>
      <c r="B977" s="5" t="inlineStr">
        <is>
          <t>THREMOLIA</t>
        </is>
      </c>
      <c r="C977" s="5" t="inlineStr">
        <is>
          <t>S3</t>
        </is>
      </c>
      <c r="D977" s="21" t="str">
        <f>IFERROR(VLOOKUP($G977,'02_REFERENCE'!$A$2:$S$99,4,FALSE),"N/A")</f>
        <v>Information Disclosure</v>
      </c>
      <c r="E977" s="21" t="str">
        <f>IFERROR(VLOOKUP($G977,'02_REFERENCE'!$A$2:$S$99,15,FALSE),"N/A")</f>
        <v>High</v>
      </c>
      <c r="F977" s="21" t="str">
        <f>IFERROR(VLOOKUP($G977,'02_REFERENCE'!$A$2:$S$99,17,FALSE),"N/A")</f>
        <v>No</v>
      </c>
      <c r="G977" s="21" t="inlineStr">
        <is>
          <t>S3-RT-016</t>
        </is>
      </c>
      <c r="H977" s="21" t="inlineStr">
        <is>
          <t>Duplicate</t>
        </is>
      </c>
      <c r="I977" s="21" t="inlineStr">
        <is>
          <t>TP</t>
        </is>
      </c>
      <c r="J977" s="21" t="inlineStr">
        <is>
          <t>M</t>
        </is>
      </c>
      <c r="K977" s="21" t="inlineStr">
        <is>
          <t>N</t>
        </is>
      </c>
      <c r="L977" s="21" t="inlineStr">
        <is>
          <t>Yes</t>
        </is>
      </c>
      <c r="M977" s="21" t="inlineStr">
        <is>
          <t>THREMOLIA-S3-F116</t>
        </is>
      </c>
      <c r="N977" s="22" t="inlineStr">
        <is>
          <t>Mechanism class transit_creds; evidence: capturing submitted recovery tokens.  DF9: Forwarded Token C [Equivalence: restates THREMOLIA-S3-F116 — one-to-one rule applied.]</t>
        </is>
      </c>
      <c r="O977" s="5" t="inlineStr">
        <is>
          <t>transit_creds</t>
        </is>
      </c>
      <c r="P977" s="16" t="inlineStr"/>
      <c r="Q977" s="16" t="inlineStr">
        <is>
          <t>DF9: Forwarded Token Credential</t>
        </is>
      </c>
      <c r="R977" s="16" t="inlineStr"/>
      <c r="S977" s="5" t="inlineStr">
        <is>
          <t>Confirmed</t>
        </is>
      </c>
    </row>
    <row r="978" ht="16" customHeight="1">
      <c r="A978" s="5" t="inlineStr">
        <is>
          <t>THREMOLIA-S3-F069</t>
        </is>
      </c>
      <c r="B978" s="5" t="inlineStr">
        <is>
          <t>THREMOLIA</t>
        </is>
      </c>
      <c r="C978" s="5" t="inlineStr">
        <is>
          <t>S3</t>
        </is>
      </c>
      <c r="D978" s="21" t="str">
        <f>IFERROR(VLOOKUP($G978,'02_REFERENCE'!$A$2:$S$99,4,FALSE),"N/A")</f>
        <v>Denial of Service</v>
      </c>
      <c r="E978" s="21" t="str">
        <f>IFERROR(VLOOKUP($G978,'02_REFERENCE'!$A$2:$S$99,15,FALSE),"N/A")</f>
        <v>High</v>
      </c>
      <c r="F978" s="21" t="str">
        <f>IFERROR(VLOOKUP($G978,'02_REFERENCE'!$A$2:$S$99,17,FALSE),"N/A")</f>
        <v>No</v>
      </c>
      <c r="G978" s="21" t="inlineStr">
        <is>
          <t>S3-RT-030</t>
        </is>
      </c>
      <c r="H978" s="21" t="inlineStr">
        <is>
          <t>Primary TP</t>
        </is>
      </c>
      <c r="I978" s="21" t="inlineStr">
        <is>
          <t>TP</t>
        </is>
      </c>
      <c r="J978" s="21" t="inlineStr">
        <is>
          <t>H</t>
        </is>
      </c>
      <c r="K978" s="21" t="inlineStr">
        <is>
          <t>Y</t>
        </is>
      </c>
      <c r="L978" s="21" t="inlineStr">
        <is>
          <t>No</t>
        </is>
      </c>
      <c r="M978" s="21" t="inlineStr"/>
      <c r="N978" s="22" t="inlineStr">
        <is>
          <t>Mechanism class dos_service (victim-based DoS routing); evidence: Flood; queue exhaust</t>
        </is>
      </c>
      <c r="O978" s="5" t="inlineStr">
        <is>
          <t>dos_service</t>
        </is>
      </c>
      <c r="P978" s="16" t="inlineStr"/>
      <c r="Q978" s="16" t="inlineStr">
        <is>
          <t>DF9: Forwarded Token Credential</t>
        </is>
      </c>
      <c r="R978" s="16" t="inlineStr"/>
      <c r="S978" s="5" t="inlineStr">
        <is>
          <t>Confirmed</t>
        </is>
      </c>
    </row>
    <row r="979" ht="16" customHeight="1">
      <c r="A979" s="5" t="inlineStr">
        <is>
          <t>THREMOLIA-S3-F070</t>
        </is>
      </c>
      <c r="B979" s="5" t="inlineStr">
        <is>
          <t>THREMOLIA</t>
        </is>
      </c>
      <c r="C979" s="5" t="inlineStr">
        <is>
          <t>S3</t>
        </is>
      </c>
      <c r="D979" s="21" t="str">
        <f>IFERROR(VLOOKUP($G979,'02_REFERENCE'!$A$2:$S$99,4,FALSE),"N/A")</f>
        <v>Denial of Service</v>
      </c>
      <c r="E979" s="21" t="str">
        <f>IFERROR(VLOOKUP($G979,'02_REFERENCE'!$A$2:$S$99,15,FALSE),"N/A")</f>
        <v>Medium</v>
      </c>
      <c r="F979" s="21" t="str">
        <f>IFERROR(VLOOKUP($G979,'02_REFERENCE'!$A$2:$S$99,17,FALSE),"N/A")</f>
        <v>No</v>
      </c>
      <c r="G979" s="21" t="inlineStr">
        <is>
          <t>S3-RT-031</t>
        </is>
      </c>
      <c r="H979" s="21" t="inlineStr">
        <is>
          <t>Duplicate</t>
        </is>
      </c>
      <c r="I979" s="21" t="inlineStr">
        <is>
          <t>TP</t>
        </is>
      </c>
      <c r="J979" s="21" t="inlineStr">
        <is>
          <t>M</t>
        </is>
      </c>
      <c r="K979" s="21" t="inlineStr">
        <is>
          <t>N</t>
        </is>
      </c>
      <c r="L979" s="21" t="inlineStr">
        <is>
          <t>Yes</t>
        </is>
      </c>
      <c r="M979" s="21" t="inlineStr">
        <is>
          <t>THREMOLIA-S3-F006</t>
        </is>
      </c>
      <c r="N979" s="22" t="inlineStr">
        <is>
          <t>Mechanism class session_store_tamper; evidence: modifying token lookup parameters to match an unintended tok [Equivalence: restates THREMOLIA-S3-F006 — one-to-one rule applied.]</t>
        </is>
      </c>
      <c r="O979" s="5" t="inlineStr">
        <is>
          <t>session_store_tamper</t>
        </is>
      </c>
      <c r="P979" s="16" t="inlineStr"/>
      <c r="Q979" s="16" t="inlineStr">
        <is>
          <t>DF10: Token Validation Query</t>
        </is>
      </c>
      <c r="R979" s="16" t="inlineStr"/>
      <c r="S979" s="5" t="inlineStr">
        <is>
          <t>Confirmed</t>
        </is>
      </c>
    </row>
    <row r="980" ht="16" customHeight="1">
      <c r="A980" s="5" t="inlineStr">
        <is>
          <t>THREMOLIA-S3-F071</t>
        </is>
      </c>
      <c r="B980" s="5" t="inlineStr">
        <is>
          <t>THREMOLIA</t>
        </is>
      </c>
      <c r="C980" s="5" t="inlineStr">
        <is>
          <t>S3</t>
        </is>
      </c>
      <c r="D980" s="21" t="str">
        <f>IFERROR(VLOOKUP($G980,'02_REFERENCE'!$A$2:$S$99,4,FALSE),"N/A")</f>
        <v>Spoofing</v>
      </c>
      <c r="E980" s="21" t="str">
        <f>IFERROR(VLOOKUP($G980,'02_REFERENCE'!$A$2:$S$99,15,FALSE),"N/A")</f>
        <v>High</v>
      </c>
      <c r="F980" s="21" t="str">
        <f>IFERROR(VLOOKUP($G980,'02_REFERENCE'!$A$2:$S$99,17,FALSE),"N/A")</f>
        <v>No</v>
      </c>
      <c r="G980" s="21" t="inlineStr">
        <is>
          <t>S3-RT-003</t>
        </is>
      </c>
      <c r="H980" s="21" t="inlineStr">
        <is>
          <t>Duplicate</t>
        </is>
      </c>
      <c r="I980" s="21" t="inlineStr">
        <is>
          <t>TP</t>
        </is>
      </c>
      <c r="J980" s="21" t="inlineStr">
        <is>
          <t>L</t>
        </is>
      </c>
      <c r="K980" s="21" t="inlineStr">
        <is>
          <t>N</t>
        </is>
      </c>
      <c r="L980" s="21" t="inlineStr">
        <is>
          <t>Yes</t>
        </is>
      </c>
      <c r="M980" s="21" t="inlineStr">
        <is>
          <t>THREMOLIA-S3-F005</t>
        </is>
      </c>
      <c r="N980" s="22" t="inlineStr">
        <is>
          <t>Mechanism class transit_token; evidence: Sniffing token [Equivalence: restates THREMOLIA-S3-F005 — one-to-one rule applied.]</t>
        </is>
      </c>
      <c r="O980" s="5" t="inlineStr">
        <is>
          <t>transit_token</t>
        </is>
      </c>
      <c r="P980" s="16" t="inlineStr"/>
      <c r="Q980" s="16" t="inlineStr">
        <is>
          <t>DF10: Token Validation Query</t>
        </is>
      </c>
      <c r="R980" s="16" t="inlineStr"/>
      <c r="S980" s="5" t="inlineStr">
        <is>
          <t>Manual review</t>
        </is>
      </c>
    </row>
    <row r="981" ht="16" customHeight="1">
      <c r="A981" s="5" t="inlineStr">
        <is>
          <t>THREMOLIA-S3-F072</t>
        </is>
      </c>
      <c r="B981" s="5" t="inlineStr">
        <is>
          <t>THREMOLIA</t>
        </is>
      </c>
      <c r="C981" s="5" t="inlineStr">
        <is>
          <t>S3</t>
        </is>
      </c>
      <c r="D981" s="21" t="str">
        <f>IFERROR(VLOOKUP($G981,'02_REFERENCE'!$A$2:$S$99,4,FALSE),"N/A")</f>
        <v>Denial of Service</v>
      </c>
      <c r="E981" s="21" t="str">
        <f>IFERROR(VLOOKUP($G981,'02_REFERENCE'!$A$2:$S$99,15,FALSE),"N/A")</f>
        <v>High</v>
      </c>
      <c r="F981" s="21" t="str">
        <f>IFERROR(VLOOKUP($G981,'02_REFERENCE'!$A$2:$S$99,17,FALSE),"N/A")</f>
        <v>No</v>
      </c>
      <c r="G981" s="21" t="inlineStr">
        <is>
          <t>S3-RT-030</t>
        </is>
      </c>
      <c r="H981" s="21" t="inlineStr">
        <is>
          <t>Duplicate</t>
        </is>
      </c>
      <c r="I981" s="21" t="inlineStr">
        <is>
          <t>TP</t>
        </is>
      </c>
      <c r="J981" s="21" t="inlineStr">
        <is>
          <t>M</t>
        </is>
      </c>
      <c r="K981" s="21" t="inlineStr">
        <is>
          <t>N</t>
        </is>
      </c>
      <c r="L981" s="21" t="inlineStr">
        <is>
          <t>Yes</t>
        </is>
      </c>
      <c r="M981" s="21" t="inlineStr">
        <is>
          <t>THREMOLIA-S3-F069</t>
        </is>
      </c>
      <c r="N981" s="22" t="inlineStr">
        <is>
          <t>Mechanism class dos_service (victim-based DoS routing); evidence: Flood [Equivalence: restates THREMOLIA-S3-F069 — one-to-one rule applied.]</t>
        </is>
      </c>
      <c r="O981" s="5" t="inlineStr">
        <is>
          <t>dos_service</t>
        </is>
      </c>
      <c r="P981" s="16" t="inlineStr"/>
      <c r="Q981" s="16" t="inlineStr">
        <is>
          <t>DF10: Token Validation Query</t>
        </is>
      </c>
      <c r="R981" s="16" t="inlineStr"/>
      <c r="S981" s="5" t="inlineStr">
        <is>
          <t>Confirmed</t>
        </is>
      </c>
    </row>
    <row r="982" ht="16" customHeight="1">
      <c r="A982" s="5" t="inlineStr">
        <is>
          <t>THREMOLIA-S3-F073</t>
        </is>
      </c>
      <c r="B982" s="5" t="inlineStr">
        <is>
          <t>THREMOLIA</t>
        </is>
      </c>
      <c r="C982" s="5" t="inlineStr">
        <is>
          <t>S3</t>
        </is>
      </c>
      <c r="D982" s="21" t="str">
        <f>IFERROR(VLOOKUP($G982,'02_REFERENCE'!$A$2:$S$99,4,FALSE),"N/A")</f>
        <v>Spoofing</v>
      </c>
      <c r="E982" s="21" t="str">
        <f>IFERROR(VLOOKUP($G982,'02_REFERENCE'!$A$2:$S$99,15,FALSE),"N/A")</f>
        <v>High</v>
      </c>
      <c r="F982" s="21" t="str">
        <f>IFERROR(VLOOKUP($G982,'02_REFERENCE'!$A$2:$S$99,17,FALSE),"N/A")</f>
        <v>No</v>
      </c>
      <c r="G982" s="21" t="inlineStr">
        <is>
          <t>S3-RT-004</t>
        </is>
      </c>
      <c r="H982" s="21" t="inlineStr">
        <is>
          <t>Duplicate</t>
        </is>
      </c>
      <c r="I982" s="21" t="inlineStr">
        <is>
          <t>TP</t>
        </is>
      </c>
      <c r="J982" s="21" t="inlineStr">
        <is>
          <t>L</t>
        </is>
      </c>
      <c r="K982" s="21" t="inlineStr">
        <is>
          <t>N</t>
        </is>
      </c>
      <c r="L982" s="21" t="inlineStr">
        <is>
          <t>Yes</t>
        </is>
      </c>
      <c r="M982" s="21" t="inlineStr">
        <is>
          <t>THREMOLIA-S3-F076</t>
        </is>
      </c>
      <c r="N982" s="22" t="inlineStr">
        <is>
          <t>Mechanism class token_replay; evidence: expired [Equivalence: restates THREMOLIA-S3-F076 — one-to-one rule applied.]</t>
        </is>
      </c>
      <c r="O982" s="5" t="inlineStr">
        <is>
          <t>token_replay</t>
        </is>
      </c>
      <c r="P982" s="16" t="inlineStr"/>
      <c r="Q982" s="16" t="inlineStr">
        <is>
          <t>DF11: Token Validation Result</t>
        </is>
      </c>
      <c r="R982" s="16" t="inlineStr"/>
      <c r="S982" s="5" t="inlineStr">
        <is>
          <t>Manual review</t>
        </is>
      </c>
    </row>
    <row r="983" ht="16" customHeight="1">
      <c r="A983" s="5" t="inlineStr">
        <is>
          <t>THREMOLIA-S3-F074</t>
        </is>
      </c>
      <c r="B983" s="5" t="inlineStr">
        <is>
          <t>THREMOLIA</t>
        </is>
      </c>
      <c r="C983" s="5" t="inlineStr">
        <is>
          <t>S3</t>
        </is>
      </c>
      <c r="D983" s="21" t="str">
        <f>IFERROR(VLOOKUP($G983,'02_REFERENCE'!$A$2:$S$99,4,FALSE),"N/A")</f>
        <v>Information Disclosure</v>
      </c>
      <c r="E983" s="21" t="str">
        <f>IFERROR(VLOOKUP($G983,'02_REFERENCE'!$A$2:$S$99,15,FALSE),"N/A")</f>
        <v>High</v>
      </c>
      <c r="F983" s="21" t="str">
        <f>IFERROR(VLOOKUP($G983,'02_REFERENCE'!$A$2:$S$99,17,FALSE),"N/A")</f>
        <v>No</v>
      </c>
      <c r="G983" s="21" t="inlineStr">
        <is>
          <t>S3-RT-016</t>
        </is>
      </c>
      <c r="H983" s="21" t="inlineStr">
        <is>
          <t>Duplicate</t>
        </is>
      </c>
      <c r="I983" s="21" t="inlineStr">
        <is>
          <t>TP</t>
        </is>
      </c>
      <c r="J983" s="21" t="inlineStr">
        <is>
          <t>M</t>
        </is>
      </c>
      <c r="K983" s="21" t="inlineStr">
        <is>
          <t>N</t>
        </is>
      </c>
      <c r="L983" s="21" t="inlineStr">
        <is>
          <t>Yes</t>
        </is>
      </c>
      <c r="M983" s="21" t="inlineStr">
        <is>
          <t>THREMOLIA-S3-F116</t>
        </is>
      </c>
      <c r="N983" s="22" t="inlineStr">
        <is>
          <t>Mechanism class transit_data_general; evidence: Interception of validation result disclosing account metadat [Equivalence: restates THREMOLIA-S3-F116 — one-to-one rule applied.]</t>
        </is>
      </c>
      <c r="O983" s="5" t="inlineStr">
        <is>
          <t>transit_data_general</t>
        </is>
      </c>
      <c r="P983" s="16" t="inlineStr"/>
      <c r="Q983" s="16" t="inlineStr">
        <is>
          <t>DF11: Token Validation Result</t>
        </is>
      </c>
      <c r="R983" s="16" t="inlineStr"/>
      <c r="S983" s="5" t="inlineStr">
        <is>
          <t>Confirmed</t>
        </is>
      </c>
    </row>
    <row r="984" ht="16" customHeight="1">
      <c r="A984" s="5" t="inlineStr">
        <is>
          <t>THREMOLIA-S3-F075</t>
        </is>
      </c>
      <c r="B984" s="5" t="inlineStr">
        <is>
          <t>THREMOLIA</t>
        </is>
      </c>
      <c r="C984" s="5" t="inlineStr">
        <is>
          <t>S3</t>
        </is>
      </c>
      <c r="D984" s="21" t="str">
        <f>IFERROR(VLOOKUP($G984,'02_REFERENCE'!$A$2:$S$99,4,FALSE),"N/A")</f>
        <v>N/A</v>
      </c>
      <c r="E984" s="21" t="str">
        <f>IFERROR(VLOOKUP($G984,'02_REFERENCE'!$A$2:$S$99,15,FALSE),"N/A")</f>
        <v>N/A</v>
      </c>
      <c r="F984" s="21" t="str">
        <f>IFERROR(VLOOKUP($G984,'02_REFERENCE'!$A$2:$S$99,17,FALSE),"N/A")</f>
        <v>N/A</v>
      </c>
      <c r="G984" s="21" t="inlineStr"/>
      <c r="H984" s="21" t="inlineStr">
        <is>
          <t>False Positive</t>
        </is>
      </c>
      <c r="I984" s="21" t="inlineStr">
        <is>
          <t>FP</t>
        </is>
      </c>
      <c r="J984" s="21" t="inlineStr">
        <is>
          <t>M</t>
        </is>
      </c>
      <c r="K984" s="21" t="inlineStr">
        <is>
          <t>N</t>
        </is>
      </c>
      <c r="L984" s="21" t="inlineStr">
        <is>
          <t>No</t>
        </is>
      </c>
      <c r="M984" s="21" t="inlineStr"/>
      <c r="N984" s="22" t="inlineStr">
        <is>
          <t>No reference threat corresponds to this finding's mechanism (scoring found no class with sufficient evidence).</t>
        </is>
      </c>
      <c r="O984" s="5" t="inlineStr"/>
      <c r="P984" s="16" t="inlineStr"/>
      <c r="Q984" s="16" t="inlineStr">
        <is>
          <t>DF11: Token Validation Result</t>
        </is>
      </c>
      <c r="R984" s="16" t="inlineStr"/>
      <c r="S984" s="5" t="inlineStr">
        <is>
          <t>Confirmed</t>
        </is>
      </c>
    </row>
    <row r="985" ht="16" customHeight="1">
      <c r="A985" s="5" t="inlineStr">
        <is>
          <t>THREMOLIA-S3-F076</t>
        </is>
      </c>
      <c r="B985" s="5" t="inlineStr">
        <is>
          <t>THREMOLIA</t>
        </is>
      </c>
      <c r="C985" s="5" t="inlineStr">
        <is>
          <t>S3</t>
        </is>
      </c>
      <c r="D985" s="21" t="str">
        <f>IFERROR(VLOOKUP($G985,'02_REFERENCE'!$A$2:$S$99,4,FALSE),"N/A")</f>
        <v>Spoofing</v>
      </c>
      <c r="E985" s="21" t="str">
        <f>IFERROR(VLOOKUP($G985,'02_REFERENCE'!$A$2:$S$99,15,FALSE),"N/A")</f>
        <v>High</v>
      </c>
      <c r="F985" s="21" t="str">
        <f>IFERROR(VLOOKUP($G985,'02_REFERENCE'!$A$2:$S$99,17,FALSE),"N/A")</f>
        <v>No</v>
      </c>
      <c r="G985" s="21" t="inlineStr">
        <is>
          <t>S3-RT-004</t>
        </is>
      </c>
      <c r="H985" s="21" t="inlineStr">
        <is>
          <t>Primary TP</t>
        </is>
      </c>
      <c r="I985" s="21" t="inlineStr">
        <is>
          <t>TP</t>
        </is>
      </c>
      <c r="J985" s="21" t="inlineStr">
        <is>
          <t>M</t>
        </is>
      </c>
      <c r="K985" s="21" t="inlineStr">
        <is>
          <t>Y</t>
        </is>
      </c>
      <c r="L985" s="21" t="inlineStr">
        <is>
          <t>No</t>
        </is>
      </c>
      <c r="M985" s="21" t="inlineStr"/>
      <c r="N985" s="22" t="inlineStr">
        <is>
          <t>Mechanism class token_replay; evidence: replay; invalidation</t>
        </is>
      </c>
      <c r="O985" s="5" t="inlineStr">
        <is>
          <t>token_replay</t>
        </is>
      </c>
      <c r="P985" s="16" t="inlineStr"/>
      <c r="Q985" s="16" t="inlineStr">
        <is>
          <t>DF12: Token Invalidation / Consumption Request</t>
        </is>
      </c>
      <c r="R985" s="16" t="inlineStr"/>
      <c r="S985" s="5" t="inlineStr">
        <is>
          <t>Confirmed</t>
        </is>
      </c>
    </row>
    <row r="986" ht="16" customHeight="1">
      <c r="A986" s="5" t="inlineStr">
        <is>
          <t>THREMOLIA-S3-F077</t>
        </is>
      </c>
      <c r="B986" s="5" t="inlineStr">
        <is>
          <t>THREMOLIA</t>
        </is>
      </c>
      <c r="C986" s="5" t="inlineStr">
        <is>
          <t>S3</t>
        </is>
      </c>
      <c r="D986" s="21" t="str">
        <f>IFERROR(VLOOKUP($G986,'02_REFERENCE'!$A$2:$S$99,4,FALSE),"N/A")</f>
        <v>Spoofing</v>
      </c>
      <c r="E986" s="21" t="str">
        <f>IFERROR(VLOOKUP($G986,'02_REFERENCE'!$A$2:$S$99,15,FALSE),"N/A")</f>
        <v>High</v>
      </c>
      <c r="F986" s="21" t="str">
        <f>IFERROR(VLOOKUP($G986,'02_REFERENCE'!$A$2:$S$99,17,FALSE),"N/A")</f>
        <v>No</v>
      </c>
      <c r="G986" s="21" t="inlineStr">
        <is>
          <t>S3-RT-004</t>
        </is>
      </c>
      <c r="H986" s="21" t="inlineStr">
        <is>
          <t>Duplicate</t>
        </is>
      </c>
      <c r="I986" s="21" t="inlineStr">
        <is>
          <t>TP</t>
        </is>
      </c>
      <c r="J986" s="21" t="inlineStr">
        <is>
          <t>L</t>
        </is>
      </c>
      <c r="K986" s="21" t="inlineStr">
        <is>
          <t>N</t>
        </is>
      </c>
      <c r="L986" s="21" t="inlineStr">
        <is>
          <t>Yes</t>
        </is>
      </c>
      <c r="M986" s="21" t="inlineStr">
        <is>
          <t>THREMOLIA-S3-F076</t>
        </is>
      </c>
      <c r="N986" s="22" t="inlineStr">
        <is>
          <t>Mechanism class token_replay; evidence: invalidation [Equivalence: restates THREMOLIA-S3-F076 — one-to-one rule applied.]</t>
        </is>
      </c>
      <c r="O986" s="5" t="inlineStr">
        <is>
          <t>token_replay</t>
        </is>
      </c>
      <c r="P986" s="16" t="inlineStr"/>
      <c r="Q986" s="16" t="inlineStr">
        <is>
          <t>DF12: Token Invalidation / Consumption Request</t>
        </is>
      </c>
      <c r="R986" s="16" t="inlineStr"/>
      <c r="S986" s="5" t="inlineStr">
        <is>
          <t>Manual review</t>
        </is>
      </c>
    </row>
    <row r="987" ht="16" customHeight="1">
      <c r="A987" s="5" t="inlineStr">
        <is>
          <t>THREMOLIA-S3-F078</t>
        </is>
      </c>
      <c r="B987" s="5" t="inlineStr">
        <is>
          <t>THREMOLIA</t>
        </is>
      </c>
      <c r="C987" s="5" t="inlineStr">
        <is>
          <t>S3</t>
        </is>
      </c>
      <c r="D987" s="21" t="str">
        <f>IFERROR(VLOOKUP($G987,'02_REFERENCE'!$A$2:$S$99,4,FALSE),"N/A")</f>
        <v>Spoofing</v>
      </c>
      <c r="E987" s="21" t="str">
        <f>IFERROR(VLOOKUP($G987,'02_REFERENCE'!$A$2:$S$99,15,FALSE),"N/A")</f>
        <v>High</v>
      </c>
      <c r="F987" s="21" t="str">
        <f>IFERROR(VLOOKUP($G987,'02_REFERENCE'!$A$2:$S$99,17,FALSE),"N/A")</f>
        <v>No</v>
      </c>
      <c r="G987" s="21" t="inlineStr">
        <is>
          <t>S3-RT-004</t>
        </is>
      </c>
      <c r="H987" s="21" t="inlineStr">
        <is>
          <t>Duplicate</t>
        </is>
      </c>
      <c r="I987" s="21" t="inlineStr">
        <is>
          <t>TP</t>
        </is>
      </c>
      <c r="J987" s="21" t="inlineStr">
        <is>
          <t>M</t>
        </is>
      </c>
      <c r="K987" s="21" t="inlineStr">
        <is>
          <t>N</t>
        </is>
      </c>
      <c r="L987" s="21" t="inlineStr">
        <is>
          <t>Yes</t>
        </is>
      </c>
      <c r="M987" s="21" t="inlineStr">
        <is>
          <t>THREMOLIA-S3-F076</t>
        </is>
      </c>
      <c r="N987" s="22" t="inlineStr">
        <is>
          <t>Mechanism class token_replay; evidence: invalidation; tokens can be reuse [Equivalence: restates THREMOLIA-S3-F076 — one-to-one rule applied.]</t>
        </is>
      </c>
      <c r="O987" s="5" t="inlineStr">
        <is>
          <t>token_replay</t>
        </is>
      </c>
      <c r="P987" s="16" t="inlineStr"/>
      <c r="Q987" s="16" t="inlineStr">
        <is>
          <t>DF12: Token Invalidation / Consumption Request</t>
        </is>
      </c>
      <c r="R987" s="16" t="inlineStr"/>
      <c r="S987" s="5" t="inlineStr">
        <is>
          <t>Confirmed</t>
        </is>
      </c>
    </row>
    <row r="988" ht="16" customHeight="1">
      <c r="A988" s="5" t="inlineStr">
        <is>
          <t>THREMOLIA-S3-F079</t>
        </is>
      </c>
      <c r="B988" s="5" t="inlineStr">
        <is>
          <t>THREMOLIA</t>
        </is>
      </c>
      <c r="C988" s="5" t="inlineStr">
        <is>
          <t>S3</t>
        </is>
      </c>
      <c r="D988" s="21" t="str">
        <f>IFERROR(VLOOKUP($G988,'02_REFERENCE'!$A$2:$S$99,4,FALSE),"N/A")</f>
        <v>N/A</v>
      </c>
      <c r="E988" s="21" t="str">
        <f>IFERROR(VLOOKUP($G988,'02_REFERENCE'!$A$2:$S$99,15,FALSE),"N/A")</f>
        <v>N/A</v>
      </c>
      <c r="F988" s="21" t="str">
        <f>IFERROR(VLOOKUP($G988,'02_REFERENCE'!$A$2:$S$99,17,FALSE),"N/A")</f>
        <v>N/A</v>
      </c>
      <c r="G988" s="21" t="inlineStr"/>
      <c r="H988" s="21" t="inlineStr">
        <is>
          <t>False Positive</t>
        </is>
      </c>
      <c r="I988" s="21" t="inlineStr">
        <is>
          <t>FP</t>
        </is>
      </c>
      <c r="J988" s="21" t="inlineStr">
        <is>
          <t>M</t>
        </is>
      </c>
      <c r="K988" s="21" t="inlineStr">
        <is>
          <t>N</t>
        </is>
      </c>
      <c r="L988" s="21" t="inlineStr">
        <is>
          <t>No</t>
        </is>
      </c>
      <c r="M988" s="21" t="inlineStr"/>
      <c r="N988" s="22" t="inlineStr">
        <is>
          <t>No reference threat corresponds to this finding's mechanism (scoring found no class with sufficient evidence).</t>
        </is>
      </c>
      <c r="O988" s="5" t="inlineStr"/>
      <c r="P988" s="16" t="inlineStr"/>
      <c r="Q988" s="16" t="inlineStr">
        <is>
          <t>DF13: Authorized Profile Update Request</t>
        </is>
      </c>
      <c r="R988" s="16" t="inlineStr"/>
      <c r="S988" s="5" t="inlineStr">
        <is>
          <t>Confirmed</t>
        </is>
      </c>
    </row>
    <row r="989" ht="16" customHeight="1">
      <c r="A989" s="5" t="inlineStr">
        <is>
          <t>THREMOLIA-S3-F080</t>
        </is>
      </c>
      <c r="B989" s="5" t="inlineStr">
        <is>
          <t>THREMOLIA</t>
        </is>
      </c>
      <c r="C989" s="5" t="inlineStr">
        <is>
          <t>S3</t>
        </is>
      </c>
      <c r="D989" s="21" t="str">
        <f>IFERROR(VLOOKUP($G989,'02_REFERENCE'!$A$2:$S$99,4,FALSE),"N/A")</f>
        <v>Information Disclosure</v>
      </c>
      <c r="E989" s="21" t="str">
        <f>IFERROR(VLOOKUP($G989,'02_REFERENCE'!$A$2:$S$99,15,FALSE),"N/A")</f>
        <v>High</v>
      </c>
      <c r="F989" s="21" t="str">
        <f>IFERROR(VLOOKUP($G989,'02_REFERENCE'!$A$2:$S$99,17,FALSE),"N/A")</f>
        <v>No</v>
      </c>
      <c r="G989" s="21" t="inlineStr">
        <is>
          <t>S3-RT-016</t>
        </is>
      </c>
      <c r="H989" s="21" t="inlineStr">
        <is>
          <t>Duplicate</t>
        </is>
      </c>
      <c r="I989" s="21" t="inlineStr">
        <is>
          <t>TP</t>
        </is>
      </c>
      <c r="J989" s="21" t="inlineStr">
        <is>
          <t>M</t>
        </is>
      </c>
      <c r="K989" s="21" t="inlineStr">
        <is>
          <t>N</t>
        </is>
      </c>
      <c r="L989" s="21" t="inlineStr">
        <is>
          <t>Yes</t>
        </is>
      </c>
      <c r="M989" s="21" t="inlineStr">
        <is>
          <t>THREMOLIA-S3-F116</t>
        </is>
      </c>
      <c r="N989" s="22" t="inlineStr">
        <is>
          <t>Mechanism class transit_data_general; evidence: Sniffing internal profile update payload [Equivalence: restates THREMOLIA-S3-F116 — one-to-one rule applied.]</t>
        </is>
      </c>
      <c r="O989" s="5" t="inlineStr">
        <is>
          <t>transit_data_general</t>
        </is>
      </c>
      <c r="P989" s="16" t="inlineStr"/>
      <c r="Q989" s="16" t="inlineStr">
        <is>
          <t>DF13: Authorized Profile Update Request</t>
        </is>
      </c>
      <c r="R989" s="16" t="inlineStr"/>
      <c r="S989" s="5" t="inlineStr">
        <is>
          <t>Confirmed</t>
        </is>
      </c>
    </row>
    <row r="990" ht="16" customHeight="1">
      <c r="A990" s="5" t="inlineStr">
        <is>
          <t>THREMOLIA-S3-F081</t>
        </is>
      </c>
      <c r="B990" s="5" t="inlineStr">
        <is>
          <t>THREMOLIA</t>
        </is>
      </c>
      <c r="C990" s="5" t="inlineStr">
        <is>
          <t>S3</t>
        </is>
      </c>
      <c r="D990" s="21" t="str">
        <f>IFERROR(VLOOKUP($G990,'02_REFERENCE'!$A$2:$S$99,4,FALSE),"N/A")</f>
        <v>Denial of Service</v>
      </c>
      <c r="E990" s="21" t="str">
        <f>IFERROR(VLOOKUP($G990,'02_REFERENCE'!$A$2:$S$99,15,FALSE),"N/A")</f>
        <v>High</v>
      </c>
      <c r="F990" s="21" t="str">
        <f>IFERROR(VLOOKUP($G990,'02_REFERENCE'!$A$2:$S$99,17,FALSE),"N/A")</f>
        <v>No</v>
      </c>
      <c r="G990" s="21" t="inlineStr">
        <is>
          <t>S3-RT-030</t>
        </is>
      </c>
      <c r="H990" s="21" t="inlineStr">
        <is>
          <t>Duplicate</t>
        </is>
      </c>
      <c r="I990" s="21" t="inlineStr">
        <is>
          <t>TP</t>
        </is>
      </c>
      <c r="J990" s="21" t="inlineStr">
        <is>
          <t>M</t>
        </is>
      </c>
      <c r="K990" s="21" t="inlineStr">
        <is>
          <t>N</t>
        </is>
      </c>
      <c r="L990" s="21" t="inlineStr">
        <is>
          <t>Yes</t>
        </is>
      </c>
      <c r="M990" s="21" t="inlineStr">
        <is>
          <t>THREMOLIA-S3-F069</t>
        </is>
      </c>
      <c r="N990" s="22" t="inlineStr">
        <is>
          <t>Mechanism class dos_service (victim-based DoS routing); evidence: Flood [Equivalence: restates THREMOLIA-S3-F069 — one-to-one rule applied.]</t>
        </is>
      </c>
      <c r="O990" s="5" t="inlineStr">
        <is>
          <t>dos_service</t>
        </is>
      </c>
      <c r="P990" s="16" t="inlineStr"/>
      <c r="Q990" s="16" t="inlineStr">
        <is>
          <t>DF13: Authorized Profile Update Request</t>
        </is>
      </c>
      <c r="R990" s="16" t="inlineStr"/>
      <c r="S990" s="5" t="inlineStr">
        <is>
          <t>Confirmed</t>
        </is>
      </c>
    </row>
    <row r="991" ht="16" customHeight="1">
      <c r="A991" s="5" t="inlineStr">
        <is>
          <t>THREMOLIA-S3-F082</t>
        </is>
      </c>
      <c r="B991" s="5" t="inlineStr">
        <is>
          <t>THREMOLIA</t>
        </is>
      </c>
      <c r="C991" s="5" t="inlineStr">
        <is>
          <t>S3</t>
        </is>
      </c>
      <c r="D991" s="21" t="str">
        <f>IFERROR(VLOOKUP($G991,'02_REFERENCE'!$A$2:$S$99,4,FALSE),"N/A")</f>
        <v>Tampering</v>
      </c>
      <c r="E991" s="21" t="str">
        <f>IFERROR(VLOOKUP($G991,'02_REFERENCE'!$A$2:$S$99,15,FALSE),"N/A")</f>
        <v>Critical</v>
      </c>
      <c r="F991" s="21" t="str">
        <f>IFERROR(VLOOKUP($G991,'02_REFERENCE'!$A$2:$S$99,17,FALSE),"N/A")</f>
        <v>No</v>
      </c>
      <c r="G991" s="21" t="inlineStr">
        <is>
          <t>S3-RT-011</t>
        </is>
      </c>
      <c r="H991" s="21" t="inlineStr">
        <is>
          <t>Duplicate</t>
        </is>
      </c>
      <c r="I991" s="21" t="inlineStr">
        <is>
          <t>TP</t>
        </is>
      </c>
      <c r="J991" s="21" t="inlineStr">
        <is>
          <t>H</t>
        </is>
      </c>
      <c r="K991" s="21" t="inlineStr">
        <is>
          <t>N</t>
        </is>
      </c>
      <c r="L991" s="21" t="inlineStr">
        <is>
          <t>Yes</t>
        </is>
      </c>
      <c r="M991" s="21" t="inlineStr">
        <is>
          <t>THREMOLIA-S3-F049</t>
        </is>
      </c>
      <c r="N991" s="22" t="inlineStr">
        <is>
          <t>Mechanism class injection_verification; evidence: SQL injection; injection / parameter manipulation in profile update query; Modification Query [Equivalence: restates THREMOLIA-S3-F049 — one-to-one rule applied.]</t>
        </is>
      </c>
      <c r="O991" s="5" t="inlineStr">
        <is>
          <t>injection_verification</t>
        </is>
      </c>
      <c r="P991" s="16" t="inlineStr"/>
      <c r="Q991" s="16" t="inlineStr">
        <is>
          <t>DF14: Profile Modification Query</t>
        </is>
      </c>
      <c r="R991" s="16" t="inlineStr"/>
      <c r="S991" s="5" t="inlineStr">
        <is>
          <t>Confirmed</t>
        </is>
      </c>
    </row>
    <row r="992" ht="16" customHeight="1">
      <c r="A992" s="5" t="inlineStr">
        <is>
          <t>THREMOLIA-S3-F083</t>
        </is>
      </c>
      <c r="B992" s="5" t="inlineStr">
        <is>
          <t>THREMOLIA</t>
        </is>
      </c>
      <c r="C992" s="5" t="inlineStr">
        <is>
          <t>S3</t>
        </is>
      </c>
      <c r="D992" s="21" t="str">
        <f>IFERROR(VLOOKUP($G992,'02_REFERENCE'!$A$2:$S$99,4,FALSE),"N/A")</f>
        <v>Tampering</v>
      </c>
      <c r="E992" s="21" t="str">
        <f>IFERROR(VLOOKUP($G992,'02_REFERENCE'!$A$2:$S$99,15,FALSE),"N/A")</f>
        <v>Critical</v>
      </c>
      <c r="F992" s="21" t="str">
        <f>IFERROR(VLOOKUP($G992,'02_REFERENCE'!$A$2:$S$99,17,FALSE),"N/A")</f>
        <v>No</v>
      </c>
      <c r="G992" s="21" t="inlineStr">
        <is>
          <t>S3-RT-011</t>
        </is>
      </c>
      <c r="H992" s="21" t="inlineStr">
        <is>
          <t>Duplicate</t>
        </is>
      </c>
      <c r="I992" s="21" t="inlineStr">
        <is>
          <t>TP</t>
        </is>
      </c>
      <c r="J992" s="21" t="inlineStr">
        <is>
          <t>L</t>
        </is>
      </c>
      <c r="K992" s="21" t="inlineStr">
        <is>
          <t>N</t>
        </is>
      </c>
      <c r="L992" s="21" t="inlineStr">
        <is>
          <t>Yes</t>
        </is>
      </c>
      <c r="M992" s="21" t="inlineStr">
        <is>
          <t>THREMOLIA-S3-F049</t>
        </is>
      </c>
      <c r="N992" s="22" t="inlineStr">
        <is>
          <t>Mechanism class injection_verification; evidence: Modification Query [Equivalence: restates THREMOLIA-S3-F049 — one-to-one rule applied.]</t>
        </is>
      </c>
      <c r="O992" s="5" t="inlineStr">
        <is>
          <t>injection_verification</t>
        </is>
      </c>
      <c r="P992" s="16" t="inlineStr"/>
      <c r="Q992" s="16" t="inlineStr">
        <is>
          <t>DF14: Profile Modification Query</t>
        </is>
      </c>
      <c r="R992" s="16" t="inlineStr"/>
      <c r="S992" s="5" t="inlineStr">
        <is>
          <t>Manual review</t>
        </is>
      </c>
    </row>
    <row r="993" ht="16" customHeight="1">
      <c r="A993" s="5" t="inlineStr">
        <is>
          <t>THREMOLIA-S3-F084</t>
        </is>
      </c>
      <c r="B993" s="5" t="inlineStr">
        <is>
          <t>THREMOLIA</t>
        </is>
      </c>
      <c r="C993" s="5" t="inlineStr">
        <is>
          <t>S3</t>
        </is>
      </c>
      <c r="D993" s="21" t="str">
        <f>IFERROR(VLOOKUP($G993,'02_REFERENCE'!$A$2:$S$99,4,FALSE),"N/A")</f>
        <v>Denial of Service</v>
      </c>
      <c r="E993" s="21" t="str">
        <f>IFERROR(VLOOKUP($G993,'02_REFERENCE'!$A$2:$S$99,15,FALSE),"N/A")</f>
        <v>High</v>
      </c>
      <c r="F993" s="21" t="str">
        <f>IFERROR(VLOOKUP($G993,'02_REFERENCE'!$A$2:$S$99,17,FALSE),"N/A")</f>
        <v>No</v>
      </c>
      <c r="G993" s="21" t="inlineStr">
        <is>
          <t>S3-RT-030</t>
        </is>
      </c>
      <c r="H993" s="21" t="inlineStr">
        <is>
          <t>Duplicate</t>
        </is>
      </c>
      <c r="I993" s="21" t="inlineStr">
        <is>
          <t>TP</t>
        </is>
      </c>
      <c r="J993" s="21" t="inlineStr">
        <is>
          <t>M</t>
        </is>
      </c>
      <c r="K993" s="21" t="inlineStr">
        <is>
          <t>N</t>
        </is>
      </c>
      <c r="L993" s="21" t="inlineStr">
        <is>
          <t>Yes</t>
        </is>
      </c>
      <c r="M993" s="21" t="inlineStr">
        <is>
          <t>THREMOLIA-S3-F069</t>
        </is>
      </c>
      <c r="N993" s="22" t="inlineStr">
        <is>
          <t>Mechanism class dos_service (victim-based DoS routing); evidence: Flood [Equivalence: restates THREMOLIA-S3-F069 — one-to-one rule applied.]</t>
        </is>
      </c>
      <c r="O993" s="5" t="inlineStr">
        <is>
          <t>dos_service</t>
        </is>
      </c>
      <c r="P993" s="16" t="inlineStr"/>
      <c r="Q993" s="16" t="inlineStr">
        <is>
          <t>DF14: Profile Modification Query</t>
        </is>
      </c>
      <c r="R993" s="16" t="inlineStr"/>
      <c r="S993" s="5" t="inlineStr">
        <is>
          <t>Confirmed</t>
        </is>
      </c>
    </row>
    <row r="994" ht="16" customHeight="1">
      <c r="A994" s="5" t="inlineStr">
        <is>
          <t>THREMOLIA-S3-F085</t>
        </is>
      </c>
      <c r="B994" s="5" t="inlineStr">
        <is>
          <t>THREMOLIA</t>
        </is>
      </c>
      <c r="C994" s="5" t="inlineStr">
        <is>
          <t>S3</t>
        </is>
      </c>
      <c r="D994" s="21" t="str">
        <f>IFERROR(VLOOKUP($G994,'02_REFERENCE'!$A$2:$S$99,4,FALSE),"N/A")</f>
        <v>N/A</v>
      </c>
      <c r="E994" s="21" t="str">
        <f>IFERROR(VLOOKUP($G994,'02_REFERENCE'!$A$2:$S$99,15,FALSE),"N/A")</f>
        <v>N/A</v>
      </c>
      <c r="F994" s="21" t="str">
        <f>IFERROR(VLOOKUP($G994,'02_REFERENCE'!$A$2:$S$99,17,FALSE),"N/A")</f>
        <v>N/A</v>
      </c>
      <c r="G994" s="21" t="inlineStr"/>
      <c r="H994" s="21" t="inlineStr">
        <is>
          <t>False Positive</t>
        </is>
      </c>
      <c r="I994" s="21" t="inlineStr">
        <is>
          <t>FP</t>
        </is>
      </c>
      <c r="J994" s="21" t="inlineStr">
        <is>
          <t>M</t>
        </is>
      </c>
      <c r="K994" s="21" t="inlineStr">
        <is>
          <t>N</t>
        </is>
      </c>
      <c r="L994" s="21" t="inlineStr">
        <is>
          <t>No</t>
        </is>
      </c>
      <c r="M994" s="21" t="inlineStr"/>
      <c r="N994" s="22" t="inlineStr">
        <is>
          <t>No reference threat corresponds to this finding's mechanism (scoring found no class with sufficient evidence).</t>
        </is>
      </c>
      <c r="O994" s="5" t="inlineStr"/>
      <c r="P994" s="16" t="inlineStr"/>
      <c r="Q994" s="16" t="inlineStr">
        <is>
          <t>DF15: Profile Update Result</t>
        </is>
      </c>
      <c r="R994" s="16" t="inlineStr"/>
      <c r="S994" s="5" t="inlineStr">
        <is>
          <t>Confirmed</t>
        </is>
      </c>
    </row>
    <row r="995" ht="16" customHeight="1">
      <c r="A995" s="5" t="inlineStr">
        <is>
          <t>THREMOLIA-S3-F086</t>
        </is>
      </c>
      <c r="B995" s="5" t="inlineStr">
        <is>
          <t>THREMOLIA</t>
        </is>
      </c>
      <c r="C995" s="5" t="inlineStr">
        <is>
          <t>S3</t>
        </is>
      </c>
      <c r="D995" s="21" t="str">
        <f>IFERROR(VLOOKUP($G995,'02_REFERENCE'!$A$2:$S$99,4,FALSE),"N/A")</f>
        <v>Information Disclosure</v>
      </c>
      <c r="E995" s="21" t="str">
        <f>IFERROR(VLOOKUP($G995,'02_REFERENCE'!$A$2:$S$99,15,FALSE),"N/A")</f>
        <v>Medium</v>
      </c>
      <c r="F995" s="21" t="str">
        <f>IFERROR(VLOOKUP($G995,'02_REFERENCE'!$A$2:$S$99,17,FALSE),"N/A")</f>
        <v>No</v>
      </c>
      <c r="G995" s="21" t="inlineStr">
        <is>
          <t>S3-RT-015</t>
        </is>
      </c>
      <c r="H995" s="21" t="inlineStr">
        <is>
          <t>Primary TP</t>
        </is>
      </c>
      <c r="I995" s="21" t="inlineStr">
        <is>
          <t>TP</t>
        </is>
      </c>
      <c r="J995" s="21" t="inlineStr">
        <is>
          <t>H</t>
        </is>
      </c>
      <c r="K995" s="21" t="inlineStr">
        <is>
          <t>Y</t>
        </is>
      </c>
      <c r="L995" s="21" t="inlineStr">
        <is>
          <t>No</t>
        </is>
      </c>
      <c r="M995" s="21" t="inlineStr"/>
      <c r="N995" s="22" t="inlineStr">
        <is>
          <t>Mechanism class verbose_error; evidence: verbose; schema</t>
        </is>
      </c>
      <c r="O995" s="5" t="inlineStr">
        <is>
          <t>verbose_error</t>
        </is>
      </c>
      <c r="P995" s="16" t="inlineStr"/>
      <c r="Q995" s="16" t="inlineStr">
        <is>
          <t>DF15: Profile Update Result</t>
        </is>
      </c>
      <c r="R995" s="16" t="inlineStr"/>
      <c r="S995" s="5" t="inlineStr">
        <is>
          <t>Confirmed</t>
        </is>
      </c>
    </row>
    <row r="996" ht="16" customHeight="1">
      <c r="A996" s="5" t="inlineStr">
        <is>
          <t>THREMOLIA-S3-F087</t>
        </is>
      </c>
      <c r="B996" s="5" t="inlineStr">
        <is>
          <t>THREMOLIA</t>
        </is>
      </c>
      <c r="C996" s="5" t="inlineStr">
        <is>
          <t>S3</t>
        </is>
      </c>
      <c r="D996" s="21" t="str">
        <f>IFERROR(VLOOKUP($G996,'02_REFERENCE'!$A$2:$S$99,4,FALSE),"N/A")</f>
        <v>N/A</v>
      </c>
      <c r="E996" s="21" t="str">
        <f>IFERROR(VLOOKUP($G996,'02_REFERENCE'!$A$2:$S$99,15,FALSE),"N/A")</f>
        <v>N/A</v>
      </c>
      <c r="F996" s="21" t="str">
        <f>IFERROR(VLOOKUP($G996,'02_REFERENCE'!$A$2:$S$99,17,FALSE),"N/A")</f>
        <v>N/A</v>
      </c>
      <c r="G996" s="21" t="inlineStr"/>
      <c r="H996" s="21" t="inlineStr">
        <is>
          <t>False Positive</t>
        </is>
      </c>
      <c r="I996" s="21" t="inlineStr">
        <is>
          <t>FP</t>
        </is>
      </c>
      <c r="J996" s="21" t="inlineStr">
        <is>
          <t>M</t>
        </is>
      </c>
      <c r="K996" s="21" t="inlineStr">
        <is>
          <t>N</t>
        </is>
      </c>
      <c r="L996" s="21" t="inlineStr">
        <is>
          <t>No</t>
        </is>
      </c>
      <c r="M996" s="21" t="inlineStr"/>
      <c r="N996" s="22" t="inlineStr">
        <is>
          <t>No reference threat corresponds to this finding's mechanism (scoring found no class with sufficient evidence).</t>
        </is>
      </c>
      <c r="O996" s="5" t="inlineStr"/>
      <c r="P996" s="16" t="inlineStr"/>
      <c r="Q996" s="16" t="inlineStr">
        <is>
          <t>DF15: Profile Update Result</t>
        </is>
      </c>
      <c r="R996" s="16" t="inlineStr"/>
      <c r="S996" s="5" t="inlineStr">
        <is>
          <t>Confirmed</t>
        </is>
      </c>
    </row>
    <row r="997" ht="16" customHeight="1">
      <c r="A997" s="5" t="inlineStr">
        <is>
          <t>THREMOLIA-S3-F088</t>
        </is>
      </c>
      <c r="B997" s="5" t="inlineStr">
        <is>
          <t>THREMOLIA</t>
        </is>
      </c>
      <c r="C997" s="5" t="inlineStr">
        <is>
          <t>S3</t>
        </is>
      </c>
      <c r="D997" s="21" t="str">
        <f>IFERROR(VLOOKUP($G997,'02_REFERENCE'!$A$2:$S$99,4,FALSE),"N/A")</f>
        <v>N/A</v>
      </c>
      <c r="E997" s="21" t="str">
        <f>IFERROR(VLOOKUP($G997,'02_REFERENCE'!$A$2:$S$99,15,FALSE),"N/A")</f>
        <v>N/A</v>
      </c>
      <c r="F997" s="21" t="str">
        <f>IFERROR(VLOOKUP($G997,'02_REFERENCE'!$A$2:$S$99,17,FALSE),"N/A")</f>
        <v>N/A</v>
      </c>
      <c r="G997" s="21" t="inlineStr"/>
      <c r="H997" s="21" t="inlineStr">
        <is>
          <t>False Positive</t>
        </is>
      </c>
      <c r="I997" s="21" t="inlineStr">
        <is>
          <t>FP</t>
        </is>
      </c>
      <c r="J997" s="21" t="inlineStr">
        <is>
          <t>M</t>
        </is>
      </c>
      <c r="K997" s="21" t="inlineStr">
        <is>
          <t>N</t>
        </is>
      </c>
      <c r="L997" s="21" t="inlineStr">
        <is>
          <t>No</t>
        </is>
      </c>
      <c r="M997" s="21" t="inlineStr"/>
      <c r="N997" s="22" t="inlineStr">
        <is>
          <t>No reference threat corresponds to this finding's mechanism (scoring found no class with sufficient evidence).</t>
        </is>
      </c>
      <c r="O997" s="5" t="inlineStr"/>
      <c r="P997" s="16" t="inlineStr"/>
      <c r="Q997" s="16" t="inlineStr">
        <is>
          <t>DF16: Forwarded Profile Result</t>
        </is>
      </c>
      <c r="R997" s="16" t="inlineStr"/>
      <c r="S997" s="5" t="inlineStr">
        <is>
          <t>Confirmed</t>
        </is>
      </c>
    </row>
    <row r="998" ht="16" customHeight="1">
      <c r="A998" s="5" t="inlineStr">
        <is>
          <t>THREMOLIA-S3-F089</t>
        </is>
      </c>
      <c r="B998" s="5" t="inlineStr">
        <is>
          <t>THREMOLIA</t>
        </is>
      </c>
      <c r="C998" s="5" t="inlineStr">
        <is>
          <t>S3</t>
        </is>
      </c>
      <c r="D998" s="21" t="str">
        <f>IFERROR(VLOOKUP($G998,'02_REFERENCE'!$A$2:$S$99,4,FALSE),"N/A")</f>
        <v>Information Disclosure</v>
      </c>
      <c r="E998" s="21" t="str">
        <f>IFERROR(VLOOKUP($G998,'02_REFERENCE'!$A$2:$S$99,15,FALSE),"N/A")</f>
        <v>High</v>
      </c>
      <c r="F998" s="21" t="str">
        <f>IFERROR(VLOOKUP($G998,'02_REFERENCE'!$A$2:$S$99,17,FALSE),"N/A")</f>
        <v>No</v>
      </c>
      <c r="G998" s="21" t="inlineStr">
        <is>
          <t>S3-RT-016</t>
        </is>
      </c>
      <c r="H998" s="21" t="inlineStr">
        <is>
          <t>Duplicate</t>
        </is>
      </c>
      <c r="I998" s="21" t="inlineStr">
        <is>
          <t>TP</t>
        </is>
      </c>
      <c r="J998" s="21" t="inlineStr">
        <is>
          <t>M</t>
        </is>
      </c>
      <c r="K998" s="21" t="inlineStr">
        <is>
          <t>N</t>
        </is>
      </c>
      <c r="L998" s="21" t="inlineStr">
        <is>
          <t>Yes</t>
        </is>
      </c>
      <c r="M998" s="21" t="inlineStr">
        <is>
          <t>THREMOLIA-S3-F116</t>
        </is>
      </c>
      <c r="N998" s="22" t="inlineStr">
        <is>
          <t>Mechanism class transit_data_general; evidence: Sniffing profile update confirmation message [Equivalence: restates THREMOLIA-S3-F116 — one-to-one rule applied.]</t>
        </is>
      </c>
      <c r="O998" s="5" t="inlineStr">
        <is>
          <t>transit_data_general</t>
        </is>
      </c>
      <c r="P998" s="16" t="inlineStr"/>
      <c r="Q998" s="16" t="inlineStr">
        <is>
          <t>DF16: Forwarded Profile Result</t>
        </is>
      </c>
      <c r="R998" s="16" t="inlineStr"/>
      <c r="S998" s="5" t="inlineStr">
        <is>
          <t>Confirmed</t>
        </is>
      </c>
    </row>
    <row r="999" ht="16" customHeight="1">
      <c r="A999" s="5" t="inlineStr">
        <is>
          <t>THREMOLIA-S3-F090</t>
        </is>
      </c>
      <c r="B999" s="5" t="inlineStr">
        <is>
          <t>THREMOLIA</t>
        </is>
      </c>
      <c r="C999" s="5" t="inlineStr">
        <is>
          <t>S3</t>
        </is>
      </c>
      <c r="D999" s="21" t="str">
        <f>IFERROR(VLOOKUP($G999,'02_REFERENCE'!$A$2:$S$99,4,FALSE),"N/A")</f>
        <v>N/A</v>
      </c>
      <c r="E999" s="21" t="str">
        <f>IFERROR(VLOOKUP($G999,'02_REFERENCE'!$A$2:$S$99,15,FALSE),"N/A")</f>
        <v>N/A</v>
      </c>
      <c r="F999" s="21" t="str">
        <f>IFERROR(VLOOKUP($G999,'02_REFERENCE'!$A$2:$S$99,17,FALSE),"N/A")</f>
        <v>N/A</v>
      </c>
      <c r="G999" s="21" t="inlineStr"/>
      <c r="H999" s="21" t="inlineStr">
        <is>
          <t>False Positive</t>
        </is>
      </c>
      <c r="I999" s="21" t="inlineStr">
        <is>
          <t>FP</t>
        </is>
      </c>
      <c r="J999" s="21" t="inlineStr">
        <is>
          <t>M</t>
        </is>
      </c>
      <c r="K999" s="21" t="inlineStr">
        <is>
          <t>N</t>
        </is>
      </c>
      <c r="L999" s="21" t="inlineStr">
        <is>
          <t>No</t>
        </is>
      </c>
      <c r="M999" s="21" t="inlineStr"/>
      <c r="N999" s="22" t="inlineStr">
        <is>
          <t>No reference threat corresponds to this finding's mechanism (scoring found no class with sufficient evidence).</t>
        </is>
      </c>
      <c r="O999" s="5" t="inlineStr"/>
      <c r="P999" s="16" t="inlineStr"/>
      <c r="Q999" s="16" t="inlineStr">
        <is>
          <t>DF16: Forwarded Profile Result</t>
        </is>
      </c>
      <c r="R999" s="16" t="inlineStr"/>
      <c r="S999" s="5" t="inlineStr">
        <is>
          <t>Confirmed</t>
        </is>
      </c>
    </row>
    <row r="1000" ht="16" customHeight="1">
      <c r="A1000" s="5" t="inlineStr">
        <is>
          <t>THREMOLIA-S3-F091</t>
        </is>
      </c>
      <c r="B1000" s="5" t="inlineStr">
        <is>
          <t>THREMOLIA</t>
        </is>
      </c>
      <c r="C1000" s="5" t="inlineStr">
        <is>
          <t>S3</t>
        </is>
      </c>
      <c r="D1000" s="21" t="str">
        <f>IFERROR(VLOOKUP($G1000,'02_REFERENCE'!$A$2:$S$99,4,FALSE),"N/A")</f>
        <v>Tampering</v>
      </c>
      <c r="E1000" s="21" t="str">
        <f>IFERROR(VLOOKUP($G1000,'02_REFERENCE'!$A$2:$S$99,15,FALSE),"N/A")</f>
        <v>High</v>
      </c>
      <c r="F1000" s="21" t="str">
        <f>IFERROR(VLOOKUP($G1000,'02_REFERENCE'!$A$2:$S$99,17,FALSE),"N/A")</f>
        <v>No</v>
      </c>
      <c r="G1000" s="21" t="inlineStr">
        <is>
          <t>S3-RT-013</t>
        </is>
      </c>
      <c r="H1000" s="21" t="inlineStr">
        <is>
          <t>Primary TP</t>
        </is>
      </c>
      <c r="I1000" s="21" t="inlineStr">
        <is>
          <t>TP</t>
        </is>
      </c>
      <c r="J1000" s="21" t="inlineStr">
        <is>
          <t>M</t>
        </is>
      </c>
      <c r="K1000" s="21" t="inlineStr">
        <is>
          <t>Y</t>
        </is>
      </c>
      <c r="L1000" s="21" t="inlineStr">
        <is>
          <t>No</t>
        </is>
      </c>
      <c r="M1000" s="21" t="inlineStr"/>
      <c r="N1000" s="22" t="inlineStr">
        <is>
          <t>Mechanism class stored_active_content; evidence: rendered in user browser</t>
        </is>
      </c>
      <c r="O1000" s="5" t="inlineStr">
        <is>
          <t>stored_active_content</t>
        </is>
      </c>
      <c r="P1000" s="16" t="inlineStr"/>
      <c r="Q1000" s="16" t="inlineStr">
        <is>
          <t>DF17: Profile Update Display</t>
        </is>
      </c>
      <c r="R1000" s="16" t="inlineStr"/>
      <c r="S1000" s="5" t="inlineStr">
        <is>
          <t>Confirmed</t>
        </is>
      </c>
    </row>
    <row r="1001" ht="16" customHeight="1">
      <c r="A1001" s="5" t="inlineStr">
        <is>
          <t>THREMOLIA-S3-F092</t>
        </is>
      </c>
      <c r="B1001" s="5" t="inlineStr">
        <is>
          <t>THREMOLIA</t>
        </is>
      </c>
      <c r="C1001" s="5" t="inlineStr">
        <is>
          <t>S3</t>
        </is>
      </c>
      <c r="D1001" s="21" t="str">
        <f>IFERROR(VLOOKUP($G1001,'02_REFERENCE'!$A$2:$S$99,4,FALSE),"N/A")</f>
        <v>Information Disclosure</v>
      </c>
      <c r="E1001" s="21" t="str">
        <f>IFERROR(VLOOKUP($G1001,'02_REFERENCE'!$A$2:$S$99,15,FALSE),"N/A")</f>
        <v>High</v>
      </c>
      <c r="F1001" s="21" t="str">
        <f>IFERROR(VLOOKUP($G1001,'02_REFERENCE'!$A$2:$S$99,17,FALSE),"N/A")</f>
        <v>No</v>
      </c>
      <c r="G1001" s="21" t="inlineStr">
        <is>
          <t>S3-RT-016</t>
        </is>
      </c>
      <c r="H1001" s="21" t="inlineStr">
        <is>
          <t>Duplicate</t>
        </is>
      </c>
      <c r="I1001" s="21" t="inlineStr">
        <is>
          <t>TP</t>
        </is>
      </c>
      <c r="J1001" s="21" t="inlineStr">
        <is>
          <t>M</t>
        </is>
      </c>
      <c r="K1001" s="21" t="inlineStr">
        <is>
          <t>N</t>
        </is>
      </c>
      <c r="L1001" s="21" t="inlineStr">
        <is>
          <t>Yes</t>
        </is>
      </c>
      <c r="M1001" s="21" t="inlineStr">
        <is>
          <t>THREMOLIA-S3-F116</t>
        </is>
      </c>
      <c r="N1001" s="22" t="inlineStr">
        <is>
          <t>Mechanism class transit_data_general; evidence: Eavesdropping on displayed profile [Equivalence: restates THREMOLIA-S3-F116 — one-to-one rule applied.]</t>
        </is>
      </c>
      <c r="O1001" s="5" t="inlineStr">
        <is>
          <t>transit_data_general</t>
        </is>
      </c>
      <c r="P1001" s="16" t="inlineStr"/>
      <c r="Q1001" s="16" t="inlineStr">
        <is>
          <t>DF17: Profile Update Display</t>
        </is>
      </c>
      <c r="R1001" s="16" t="inlineStr"/>
      <c r="S1001" s="5" t="inlineStr">
        <is>
          <t>Confirmed</t>
        </is>
      </c>
    </row>
    <row r="1002" ht="16" customHeight="1">
      <c r="A1002" s="5" t="inlineStr">
        <is>
          <t>THREMOLIA-S3-F093</t>
        </is>
      </c>
      <c r="B1002" s="5" t="inlineStr">
        <is>
          <t>THREMOLIA</t>
        </is>
      </c>
      <c r="C1002" s="5" t="inlineStr">
        <is>
          <t>S3</t>
        </is>
      </c>
      <c r="D1002" s="21" t="str">
        <f>IFERROR(VLOOKUP($G1002,'02_REFERENCE'!$A$2:$S$99,4,FALSE),"N/A")</f>
        <v>N/A</v>
      </c>
      <c r="E1002" s="21" t="str">
        <f>IFERROR(VLOOKUP($G1002,'02_REFERENCE'!$A$2:$S$99,15,FALSE),"N/A")</f>
        <v>N/A</v>
      </c>
      <c r="F1002" s="21" t="str">
        <f>IFERROR(VLOOKUP($G1002,'02_REFERENCE'!$A$2:$S$99,17,FALSE),"N/A")</f>
        <v>N/A</v>
      </c>
      <c r="G1002" s="21" t="inlineStr"/>
      <c r="H1002" s="21" t="inlineStr">
        <is>
          <t>False Positive</t>
        </is>
      </c>
      <c r="I1002" s="21" t="inlineStr">
        <is>
          <t>FP</t>
        </is>
      </c>
      <c r="J1002" s="21" t="inlineStr">
        <is>
          <t>M</t>
        </is>
      </c>
      <c r="K1002" s="21" t="inlineStr">
        <is>
          <t>N</t>
        </is>
      </c>
      <c r="L1002" s="21" t="inlineStr">
        <is>
          <t>No</t>
        </is>
      </c>
      <c r="M1002" s="21" t="inlineStr"/>
      <c r="N1002" s="22" t="inlineStr">
        <is>
          <t>No reference threat corresponds to this finding's mechanism (scoring found no class with sufficient evidence).</t>
        </is>
      </c>
      <c r="O1002" s="5" t="inlineStr"/>
      <c r="P1002" s="16" t="inlineStr"/>
      <c r="Q1002" s="16" t="inlineStr">
        <is>
          <t>DF17: Profile Update Display</t>
        </is>
      </c>
      <c r="R1002" s="16" t="inlineStr"/>
      <c r="S1002" s="5" t="inlineStr">
        <is>
          <t>Confirmed</t>
        </is>
      </c>
    </row>
    <row r="1003" ht="16" customHeight="1">
      <c r="A1003" s="5" t="inlineStr">
        <is>
          <t>THREMOLIA-S3-F094</t>
        </is>
      </c>
      <c r="B1003" s="5" t="inlineStr">
        <is>
          <t>THREMOLIA</t>
        </is>
      </c>
      <c r="C1003" s="5" t="inlineStr">
        <is>
          <t>S3</t>
        </is>
      </c>
      <c r="D1003" s="21" t="str">
        <f>IFERROR(VLOOKUP($G1003,'02_REFERENCE'!$A$2:$S$99,4,FALSE),"N/A")</f>
        <v>Tampering</v>
      </c>
      <c r="E1003" s="21" t="str">
        <f>IFERROR(VLOOKUP($G1003,'02_REFERENCE'!$A$2:$S$99,15,FALSE),"N/A")</f>
        <v>High</v>
      </c>
      <c r="F1003" s="21" t="str">
        <f>IFERROR(VLOOKUP($G1003,'02_REFERENCE'!$A$2:$S$99,17,FALSE),"N/A")</f>
        <v>Yes</v>
      </c>
      <c r="G1003" s="21" t="inlineStr">
        <is>
          <t>S3-RT-019</t>
        </is>
      </c>
      <c r="H1003" s="21" t="inlineStr">
        <is>
          <t>Duplicate</t>
        </is>
      </c>
      <c r="I1003" s="21" t="inlineStr">
        <is>
          <t>TP</t>
        </is>
      </c>
      <c r="J1003" s="21" t="inlineStr">
        <is>
          <t>H</t>
        </is>
      </c>
      <c r="K1003" s="21" t="inlineStr">
        <is>
          <t>N</t>
        </is>
      </c>
      <c r="L1003" s="21" t="inlineStr">
        <is>
          <t>Yes</t>
        </is>
      </c>
      <c r="M1003" s="21" t="inlineStr">
        <is>
          <t>THREMOLIA-S3-F024</t>
        </is>
      </c>
      <c r="N1003" s="22" t="inlineStr">
        <is>
          <t>Mechanism class prompt_injection_direct; evidence: prompt injection; prompt inject; prompt inject [Equivalence: restates THREMOLIA-S3-F024 — one-to-one rule applied.]</t>
        </is>
      </c>
      <c r="O1003" s="5" t="inlineStr">
        <is>
          <t>prompt_injection_direct</t>
        </is>
      </c>
      <c r="P1003" s="16" t="inlineStr"/>
      <c r="Q1003" s="16" t="inlineStr">
        <is>
          <t>DF18: User Account Question</t>
        </is>
      </c>
      <c r="R1003" s="16" t="inlineStr"/>
      <c r="S1003" s="5" t="inlineStr">
        <is>
          <t>Confirmed</t>
        </is>
      </c>
    </row>
    <row r="1004" ht="16" customHeight="1">
      <c r="A1004" s="5" t="inlineStr">
        <is>
          <t>THREMOLIA-S3-F095</t>
        </is>
      </c>
      <c r="B1004" s="5" t="inlineStr">
        <is>
          <t>THREMOLIA</t>
        </is>
      </c>
      <c r="C1004" s="5" t="inlineStr">
        <is>
          <t>S3</t>
        </is>
      </c>
      <c r="D1004" s="21" t="str">
        <f>IFERROR(VLOOKUP($G1004,'02_REFERENCE'!$A$2:$S$99,4,FALSE),"N/A")</f>
        <v>Information Disclosure</v>
      </c>
      <c r="E1004" s="21" t="str">
        <f>IFERROR(VLOOKUP($G1004,'02_REFERENCE'!$A$2:$S$99,15,FALSE),"N/A")</f>
        <v>High</v>
      </c>
      <c r="F1004" s="21" t="str">
        <f>IFERROR(VLOOKUP($G1004,'02_REFERENCE'!$A$2:$S$99,17,FALSE),"N/A")</f>
        <v>No</v>
      </c>
      <c r="G1004" s="21" t="inlineStr">
        <is>
          <t>S3-RT-016</t>
        </is>
      </c>
      <c r="H1004" s="21" t="inlineStr">
        <is>
          <t>Duplicate</t>
        </is>
      </c>
      <c r="I1004" s="21" t="inlineStr">
        <is>
          <t>TP</t>
        </is>
      </c>
      <c r="J1004" s="21" t="inlineStr">
        <is>
          <t>M</t>
        </is>
      </c>
      <c r="K1004" s="21" t="inlineStr">
        <is>
          <t>N</t>
        </is>
      </c>
      <c r="L1004" s="21" t="inlineStr">
        <is>
          <t>Yes</t>
        </is>
      </c>
      <c r="M1004" s="21" t="inlineStr">
        <is>
          <t>THREMOLIA-S3-F116</t>
        </is>
      </c>
      <c r="N1004" s="22" t="inlineStr">
        <is>
          <t>Mechanism class transit_data_general; evidence: Eavesdropping on account support question [Equivalence: restates THREMOLIA-S3-F116 — one-to-one rule applied.]</t>
        </is>
      </c>
      <c r="O1004" s="5" t="inlineStr">
        <is>
          <t>transit_data_general</t>
        </is>
      </c>
      <c r="P1004" s="16" t="inlineStr"/>
      <c r="Q1004" s="16" t="inlineStr">
        <is>
          <t>DF18: User Account Question</t>
        </is>
      </c>
      <c r="R1004" s="16" t="inlineStr"/>
      <c r="S1004" s="5" t="inlineStr">
        <is>
          <t>Confirmed</t>
        </is>
      </c>
    </row>
    <row r="1005" ht="16" customHeight="1">
      <c r="A1005" s="5" t="inlineStr">
        <is>
          <t>THREMOLIA-S3-F096</t>
        </is>
      </c>
      <c r="B1005" s="5" t="inlineStr">
        <is>
          <t>THREMOLIA</t>
        </is>
      </c>
      <c r="C1005" s="5" t="inlineStr">
        <is>
          <t>S3</t>
        </is>
      </c>
      <c r="D1005" s="21" t="str">
        <f>IFERROR(VLOOKUP($G1005,'02_REFERENCE'!$A$2:$S$99,4,FALSE),"N/A")</f>
        <v>Denial of Service</v>
      </c>
      <c r="E1005" s="21" t="str">
        <f>IFERROR(VLOOKUP($G1005,'02_REFERENCE'!$A$2:$S$99,15,FALSE),"N/A")</f>
        <v>Medium</v>
      </c>
      <c r="F1005" s="21" t="str">
        <f>IFERROR(VLOOKUP($G1005,'02_REFERENCE'!$A$2:$S$99,17,FALSE),"N/A")</f>
        <v>Yes</v>
      </c>
      <c r="G1005" s="21" t="inlineStr">
        <is>
          <t>S3-RT-033</t>
        </is>
      </c>
      <c r="H1005" s="21" t="inlineStr">
        <is>
          <t>Duplicate</t>
        </is>
      </c>
      <c r="I1005" s="21" t="inlineStr">
        <is>
          <t>TP</t>
        </is>
      </c>
      <c r="J1005" s="21" t="inlineStr">
        <is>
          <t>H</t>
        </is>
      </c>
      <c r="K1005" s="21" t="inlineStr">
        <is>
          <t>N</t>
        </is>
      </c>
      <c r="L1005" s="21" t="inlineStr">
        <is>
          <t>Yes</t>
        </is>
      </c>
      <c r="M1005" s="21" t="inlineStr">
        <is>
          <t>THREMOLIA-S3-F027</t>
        </is>
      </c>
      <c r="N1005" s="22" t="inlineStr">
        <is>
          <t>Mechanism class llm_consumption (victim-based DoS routing); evidence: Flooding question; question endpoint with massive input strings exhaust [Equivalence: restates THREMOLIA-S3-F027 — one-to-one rule applied.]</t>
        </is>
      </c>
      <c r="O1005" s="5" t="inlineStr">
        <is>
          <t>dos_service</t>
        </is>
      </c>
      <c r="P1005" s="16" t="inlineStr"/>
      <c r="Q1005" s="16" t="inlineStr">
        <is>
          <t>DF18: User Account Question</t>
        </is>
      </c>
      <c r="R1005" s="16" t="inlineStr"/>
      <c r="S1005" s="5" t="inlineStr">
        <is>
          <t>Confirmed</t>
        </is>
      </c>
    </row>
    <row r="1006" ht="16" customHeight="1">
      <c r="A1006" s="5" t="inlineStr">
        <is>
          <t>THREMOLIA-S3-F097</t>
        </is>
      </c>
      <c r="B1006" s="5" t="inlineStr">
        <is>
          <t>THREMOLIA</t>
        </is>
      </c>
      <c r="C1006" s="5" t="inlineStr">
        <is>
          <t>S3</t>
        </is>
      </c>
      <c r="D1006" s="21" t="str">
        <f>IFERROR(VLOOKUP($G1006,'02_REFERENCE'!$A$2:$S$99,4,FALSE),"N/A")</f>
        <v>N/A</v>
      </c>
      <c r="E1006" s="21" t="str">
        <f>IFERROR(VLOOKUP($G1006,'02_REFERENCE'!$A$2:$S$99,15,FALSE),"N/A")</f>
        <v>N/A</v>
      </c>
      <c r="F1006" s="21" t="str">
        <f>IFERROR(VLOOKUP($G1006,'02_REFERENCE'!$A$2:$S$99,17,FALSE),"N/A")</f>
        <v>N/A</v>
      </c>
      <c r="G1006" s="21" t="inlineStr"/>
      <c r="H1006" s="21" t="inlineStr">
        <is>
          <t>False Positive</t>
        </is>
      </c>
      <c r="I1006" s="21" t="inlineStr">
        <is>
          <t>FP</t>
        </is>
      </c>
      <c r="J1006" s="21" t="inlineStr">
        <is>
          <t>M</t>
        </is>
      </c>
      <c r="K1006" s="21" t="inlineStr">
        <is>
          <t>N</t>
        </is>
      </c>
      <c r="L1006" s="21" t="inlineStr">
        <is>
          <t>No</t>
        </is>
      </c>
      <c r="M1006" s="21" t="inlineStr"/>
      <c r="N1006" s="22" t="inlineStr">
        <is>
          <t>No reference threat corresponds to this finding's mechanism (scoring found no class with sufficient evidence).</t>
        </is>
      </c>
      <c r="O1006" s="5" t="inlineStr"/>
      <c r="P1006" s="16" t="inlineStr"/>
      <c r="Q1006" s="16" t="inlineStr">
        <is>
          <t>DF19: Forwarded Support Question</t>
        </is>
      </c>
      <c r="R1006" s="16" t="inlineStr"/>
      <c r="S1006" s="5" t="inlineStr">
        <is>
          <t>Confirmed</t>
        </is>
      </c>
    </row>
    <row r="1007" ht="16" customHeight="1">
      <c r="A1007" s="5" t="inlineStr">
        <is>
          <t>THREMOLIA-S3-F098</t>
        </is>
      </c>
      <c r="B1007" s="5" t="inlineStr">
        <is>
          <t>THREMOLIA</t>
        </is>
      </c>
      <c r="C1007" s="5" t="inlineStr">
        <is>
          <t>S3</t>
        </is>
      </c>
      <c r="D1007" s="21" t="str">
        <f>IFERROR(VLOOKUP($G1007,'02_REFERENCE'!$A$2:$S$99,4,FALSE),"N/A")</f>
        <v>Information Disclosure</v>
      </c>
      <c r="E1007" s="21" t="str">
        <f>IFERROR(VLOOKUP($G1007,'02_REFERENCE'!$A$2:$S$99,15,FALSE),"N/A")</f>
        <v>High</v>
      </c>
      <c r="F1007" s="21" t="str">
        <f>IFERROR(VLOOKUP($G1007,'02_REFERENCE'!$A$2:$S$99,17,FALSE),"N/A")</f>
        <v>No</v>
      </c>
      <c r="G1007" s="21" t="inlineStr">
        <is>
          <t>S3-RT-016</t>
        </is>
      </c>
      <c r="H1007" s="21" t="inlineStr">
        <is>
          <t>Duplicate</t>
        </is>
      </c>
      <c r="I1007" s="21" t="inlineStr">
        <is>
          <t>TP</t>
        </is>
      </c>
      <c r="J1007" s="21" t="inlineStr">
        <is>
          <t>M</t>
        </is>
      </c>
      <c r="K1007" s="21" t="inlineStr">
        <is>
          <t>N</t>
        </is>
      </c>
      <c r="L1007" s="21" t="inlineStr">
        <is>
          <t>Yes</t>
        </is>
      </c>
      <c r="M1007" s="21" t="inlineStr">
        <is>
          <t>THREMOLIA-S3-F116</t>
        </is>
      </c>
      <c r="N1007" s="22" t="inlineStr">
        <is>
          <t>Mechanism class transit_data_general; evidence: Interception of forwarded support request revealing user que [Equivalence: restates THREMOLIA-S3-F116 — one-to-one rule applied.]</t>
        </is>
      </c>
      <c r="O1007" s="5" t="inlineStr">
        <is>
          <t>transit_data_general</t>
        </is>
      </c>
      <c r="P1007" s="16" t="inlineStr"/>
      <c r="Q1007" s="16" t="inlineStr">
        <is>
          <t>DF19: Forwarded Support Question</t>
        </is>
      </c>
      <c r="R1007" s="16" t="inlineStr"/>
      <c r="S1007" s="5" t="inlineStr">
        <is>
          <t>Confirmed</t>
        </is>
      </c>
    </row>
    <row r="1008" ht="16" customHeight="1">
      <c r="A1008" s="5" t="inlineStr">
        <is>
          <t>THREMOLIA-S3-F099</t>
        </is>
      </c>
      <c r="B1008" s="5" t="inlineStr">
        <is>
          <t>THREMOLIA</t>
        </is>
      </c>
      <c r="C1008" s="5" t="inlineStr">
        <is>
          <t>S3</t>
        </is>
      </c>
      <c r="D1008" s="21" t="str">
        <f>IFERROR(VLOOKUP($G1008,'02_REFERENCE'!$A$2:$S$99,4,FALSE),"N/A")</f>
        <v>Denial of Service</v>
      </c>
      <c r="E1008" s="21" t="str">
        <f>IFERROR(VLOOKUP($G1008,'02_REFERENCE'!$A$2:$S$99,15,FALSE),"N/A")</f>
        <v>Medium</v>
      </c>
      <c r="F1008" s="21" t="str">
        <f>IFERROR(VLOOKUP($G1008,'02_REFERENCE'!$A$2:$S$99,17,FALSE),"N/A")</f>
        <v>Yes</v>
      </c>
      <c r="G1008" s="21" t="inlineStr">
        <is>
          <t>S3-RT-033</t>
        </is>
      </c>
      <c r="H1008" s="21" t="inlineStr">
        <is>
          <t>Duplicate</t>
        </is>
      </c>
      <c r="I1008" s="21" t="inlineStr">
        <is>
          <t>TP</t>
        </is>
      </c>
      <c r="J1008" s="21" t="inlineStr">
        <is>
          <t>M</t>
        </is>
      </c>
      <c r="K1008" s="21" t="inlineStr">
        <is>
          <t>N</t>
        </is>
      </c>
      <c r="L1008" s="21" t="inlineStr">
        <is>
          <t>Yes</t>
        </is>
      </c>
      <c r="M1008" s="21" t="inlineStr">
        <is>
          <t>THREMOLIA-S3-F027</t>
        </is>
      </c>
      <c r="N1008" s="22" t="inlineStr">
        <is>
          <t>Mechanism class llm_consumption (victim-based DoS routing); evidence: Flooding P4 request queue with rapid question [Equivalence: restates THREMOLIA-S3-F027 — one-to-one rule applied.]</t>
        </is>
      </c>
      <c r="O1008" s="5" t="inlineStr">
        <is>
          <t>dos_service</t>
        </is>
      </c>
      <c r="P1008" s="16" t="inlineStr"/>
      <c r="Q1008" s="16" t="inlineStr">
        <is>
          <t>DF19: Forwarded Support Question</t>
        </is>
      </c>
      <c r="R1008" s="16" t="inlineStr"/>
      <c r="S1008" s="5" t="inlineStr">
        <is>
          <t>Confirmed</t>
        </is>
      </c>
    </row>
    <row r="1009" ht="16" customHeight="1">
      <c r="A1009" s="5" t="inlineStr">
        <is>
          <t>THREMOLIA-S3-F100</t>
        </is>
      </c>
      <c r="B1009" s="5" t="inlineStr">
        <is>
          <t>THREMOLIA</t>
        </is>
      </c>
      <c r="C1009" s="5" t="inlineStr">
        <is>
          <t>S3</t>
        </is>
      </c>
      <c r="D1009" s="21" t="str">
        <f>IFERROR(VLOOKUP($G1009,'02_REFERENCE'!$A$2:$S$99,4,FALSE),"N/A")</f>
        <v>N/A</v>
      </c>
      <c r="E1009" s="21" t="str">
        <f>IFERROR(VLOOKUP($G1009,'02_REFERENCE'!$A$2:$S$99,15,FALSE),"N/A")</f>
        <v>N/A</v>
      </c>
      <c r="F1009" s="21" t="str">
        <f>IFERROR(VLOOKUP($G1009,'02_REFERENCE'!$A$2:$S$99,17,FALSE),"N/A")</f>
        <v>N/A</v>
      </c>
      <c r="G1009" s="21" t="inlineStr"/>
      <c r="H1009" s="21" t="inlineStr">
        <is>
          <t>False Positive</t>
        </is>
      </c>
      <c r="I1009" s="21" t="inlineStr">
        <is>
          <t>FP</t>
        </is>
      </c>
      <c r="J1009" s="21" t="inlineStr">
        <is>
          <t>M</t>
        </is>
      </c>
      <c r="K1009" s="21" t="inlineStr">
        <is>
          <t>N</t>
        </is>
      </c>
      <c r="L1009" s="21" t="inlineStr">
        <is>
          <t>No</t>
        </is>
      </c>
      <c r="M1009" s="21" t="inlineStr"/>
      <c r="N1009" s="22" t="inlineStr">
        <is>
          <t>No reference threat corresponds to this finding's mechanism (scoring found no class with sufficient evidence).</t>
        </is>
      </c>
      <c r="O1009" s="5" t="inlineStr"/>
      <c r="P1009" s="16" t="inlineStr"/>
      <c r="Q1009" s="16" t="inlineStr">
        <is>
          <t>DF20: Support Prompt + Approved Context</t>
        </is>
      </c>
      <c r="R1009" s="16" t="inlineStr"/>
      <c r="S1009" s="5" t="inlineStr">
        <is>
          <t>Confirmed</t>
        </is>
      </c>
    </row>
    <row r="1010" ht="16" customHeight="1">
      <c r="A1010" s="5" t="inlineStr">
        <is>
          <t>THREMOLIA-S3-F101</t>
        </is>
      </c>
      <c r="B1010" s="5" t="inlineStr">
        <is>
          <t>THREMOLIA</t>
        </is>
      </c>
      <c r="C1010" s="5" t="inlineStr">
        <is>
          <t>S3</t>
        </is>
      </c>
      <c r="D1010" s="21" t="str">
        <f>IFERROR(VLOOKUP($G1010,'02_REFERENCE'!$A$2:$S$99,4,FALSE),"N/A")</f>
        <v>Information Disclosure</v>
      </c>
      <c r="E1010" s="21" t="str">
        <f>IFERROR(VLOOKUP($G1010,'02_REFERENCE'!$A$2:$S$99,15,FALSE),"N/A")</f>
        <v>High</v>
      </c>
      <c r="F1010" s="21" t="str">
        <f>IFERROR(VLOOKUP($G1010,'02_REFERENCE'!$A$2:$S$99,17,FALSE),"N/A")</f>
        <v>Yes</v>
      </c>
      <c r="G1010" s="21" t="inlineStr">
        <is>
          <t>S3-RT-021</t>
        </is>
      </c>
      <c r="H1010" s="21" t="inlineStr">
        <is>
          <t>Primary TP</t>
        </is>
      </c>
      <c r="I1010" s="21" t="inlineStr">
        <is>
          <t>TP</t>
        </is>
      </c>
      <c r="J1010" s="21" t="inlineStr">
        <is>
          <t>M</t>
        </is>
      </c>
      <c r="K1010" s="21" t="inlineStr">
        <is>
          <t>Y</t>
        </is>
      </c>
      <c r="L1010" s="21" t="inlineStr">
        <is>
          <t>No</t>
        </is>
      </c>
      <c r="M1010" s="21" t="inlineStr"/>
      <c r="N1010" s="22" t="inlineStr">
        <is>
          <t>Mechanism class sensitive_to_llm; evidence: inclusion of recovery tokens, passwords, or PII in prompt pa</t>
        </is>
      </c>
      <c r="O1010" s="5" t="inlineStr">
        <is>
          <t>sensitive_to_llm</t>
        </is>
      </c>
      <c r="P1010" s="16" t="inlineStr"/>
      <c r="Q1010" s="16" t="inlineStr">
        <is>
          <t>DF20: Support Prompt + Approved Context</t>
        </is>
      </c>
      <c r="R1010" s="16" t="inlineStr"/>
      <c r="S1010" s="5" t="inlineStr">
        <is>
          <t>Confirmed</t>
        </is>
      </c>
    </row>
    <row r="1011" ht="16" customHeight="1">
      <c r="A1011" s="5" t="inlineStr">
        <is>
          <t>THREMOLIA-S3-F102</t>
        </is>
      </c>
      <c r="B1011" s="5" t="inlineStr">
        <is>
          <t>THREMOLIA</t>
        </is>
      </c>
      <c r="C1011" s="5" t="inlineStr">
        <is>
          <t>S3</t>
        </is>
      </c>
      <c r="D1011" s="21" t="str">
        <f>IFERROR(VLOOKUP($G1011,'02_REFERENCE'!$A$2:$S$99,4,FALSE),"N/A")</f>
        <v>Denial of Service</v>
      </c>
      <c r="E1011" s="21" t="str">
        <f>IFERROR(VLOOKUP($G1011,'02_REFERENCE'!$A$2:$S$99,15,FALSE),"N/A")</f>
        <v>Medium</v>
      </c>
      <c r="F1011" s="21" t="str">
        <f>IFERROR(VLOOKUP($G1011,'02_REFERENCE'!$A$2:$S$99,17,FALSE),"N/A")</f>
        <v>Yes</v>
      </c>
      <c r="G1011" s="21" t="inlineStr">
        <is>
          <t>S3-RT-033</t>
        </is>
      </c>
      <c r="H1011" s="21" t="inlineStr">
        <is>
          <t>Duplicate</t>
        </is>
      </c>
      <c r="I1011" s="21" t="inlineStr">
        <is>
          <t>TP</t>
        </is>
      </c>
      <c r="J1011" s="21" t="inlineStr">
        <is>
          <t>M</t>
        </is>
      </c>
      <c r="K1011" s="21" t="inlineStr">
        <is>
          <t>N</t>
        </is>
      </c>
      <c r="L1011" s="21" t="inlineStr">
        <is>
          <t>Yes</t>
        </is>
      </c>
      <c r="M1011" s="21" t="inlineStr">
        <is>
          <t>THREMOLIA-S3-F027</t>
        </is>
      </c>
      <c r="N1011" s="22" t="inlineStr">
        <is>
          <t>Mechanism class llm_consumption (victim-based DoS routing); evidence: Flooding P5 prompt queue with massive prompt [Equivalence: restates THREMOLIA-S3-F027 — one-to-one rule applied.]</t>
        </is>
      </c>
      <c r="O1011" s="5" t="inlineStr">
        <is>
          <t>dos_service</t>
        </is>
      </c>
      <c r="P1011" s="16" t="inlineStr"/>
      <c r="Q1011" s="16" t="inlineStr">
        <is>
          <t>DF20: Support Prompt + Approved Context</t>
        </is>
      </c>
      <c r="R1011" s="16" t="inlineStr"/>
      <c r="S1011" s="5" t="inlineStr">
        <is>
          <t>Confirmed</t>
        </is>
      </c>
    </row>
    <row r="1012" ht="16" customHeight="1">
      <c r="A1012" s="5" t="inlineStr">
        <is>
          <t>THREMOLIA-S3-F103</t>
        </is>
      </c>
      <c r="B1012" s="5" t="inlineStr">
        <is>
          <t>THREMOLIA</t>
        </is>
      </c>
      <c r="C1012" s="5" t="inlineStr">
        <is>
          <t>S3</t>
        </is>
      </c>
      <c r="D1012" s="21" t="str">
        <f>IFERROR(VLOOKUP($G1012,'02_REFERENCE'!$A$2:$S$99,4,FALSE),"N/A")</f>
        <v>Information Disclosure</v>
      </c>
      <c r="E1012" s="21" t="str">
        <f>IFERROR(VLOOKUP($G1012,'02_REFERENCE'!$A$2:$S$99,15,FALSE),"N/A")</f>
        <v>High</v>
      </c>
      <c r="F1012" s="21" t="str">
        <f>IFERROR(VLOOKUP($G1012,'02_REFERENCE'!$A$2:$S$99,17,FALSE),"N/A")</f>
        <v>Yes</v>
      </c>
      <c r="G1012" s="21" t="inlineStr">
        <is>
          <t>S3-RT-021</t>
        </is>
      </c>
      <c r="H1012" s="21" t="inlineStr">
        <is>
          <t>Duplicate</t>
        </is>
      </c>
      <c r="I1012" s="21" t="inlineStr">
        <is>
          <t>TP</t>
        </is>
      </c>
      <c r="J1012" s="21" t="inlineStr">
        <is>
          <t>L</t>
        </is>
      </c>
      <c r="K1012" s="21" t="inlineStr">
        <is>
          <t>N</t>
        </is>
      </c>
      <c r="L1012" s="21" t="inlineStr">
        <is>
          <t>Yes</t>
        </is>
      </c>
      <c r="M1012" s="21" t="inlineStr">
        <is>
          <t>THREMOLIA-S3-F101</t>
        </is>
      </c>
      <c r="N1012" s="22" t="inlineStr">
        <is>
          <t>Mechanism class sensitive_to_llm; evidence: context data crossing Zone D to External [Equivalence: restates THREMOLIA-S3-F101 — one-to-one rule applied.]</t>
        </is>
      </c>
      <c r="O1012" s="5" t="inlineStr">
        <is>
          <t>sensitive_to_llm</t>
        </is>
      </c>
      <c r="P1012" s="16" t="inlineStr"/>
      <c r="Q1012" s="16" t="inlineStr">
        <is>
          <t>DF21: Outbound Prompt Request</t>
        </is>
      </c>
      <c r="R1012" s="16" t="inlineStr"/>
      <c r="S1012" s="5" t="inlineStr">
        <is>
          <t>Manual review</t>
        </is>
      </c>
    </row>
    <row r="1013" ht="16" customHeight="1">
      <c r="A1013" s="5" t="inlineStr">
        <is>
          <t>THREMOLIA-S3-F104</t>
        </is>
      </c>
      <c r="B1013" s="5" t="inlineStr">
        <is>
          <t>THREMOLIA</t>
        </is>
      </c>
      <c r="C1013" s="5" t="inlineStr">
        <is>
          <t>S3</t>
        </is>
      </c>
      <c r="D1013" s="21" t="str">
        <f>IFERROR(VLOOKUP($G1013,'02_REFERENCE'!$A$2:$S$99,4,FALSE),"N/A")</f>
        <v>Information Disclosure</v>
      </c>
      <c r="E1013" s="21" t="str">
        <f>IFERROR(VLOOKUP($G1013,'02_REFERENCE'!$A$2:$S$99,15,FALSE),"N/A")</f>
        <v>High</v>
      </c>
      <c r="F1013" s="21" t="str">
        <f>IFERROR(VLOOKUP($G1013,'02_REFERENCE'!$A$2:$S$99,17,FALSE),"N/A")</f>
        <v>Yes</v>
      </c>
      <c r="G1013" s="21" t="inlineStr">
        <is>
          <t>S3-RT-021</t>
        </is>
      </c>
      <c r="H1013" s="21" t="inlineStr">
        <is>
          <t>Duplicate</t>
        </is>
      </c>
      <c r="I1013" s="21" t="inlineStr">
        <is>
          <t>TP</t>
        </is>
      </c>
      <c r="J1013" s="21" t="inlineStr">
        <is>
          <t>M</t>
        </is>
      </c>
      <c r="K1013" s="21" t="inlineStr">
        <is>
          <t>N</t>
        </is>
      </c>
      <c r="L1013" s="21" t="inlineStr">
        <is>
          <t>Yes</t>
        </is>
      </c>
      <c r="M1013" s="21" t="inlineStr">
        <is>
          <t>THREMOLIA-S3-F101</t>
        </is>
      </c>
      <c r="N1013" s="22" t="inlineStr">
        <is>
          <t>Mechanism class sensitive_to_llm; evidence: confidential user PII to external LLM provider [Equivalence: restates THREMOLIA-S3-F101 — one-to-one rule applied.]</t>
        </is>
      </c>
      <c r="O1013" s="5" t="inlineStr">
        <is>
          <t>sensitive_to_llm</t>
        </is>
      </c>
      <c r="P1013" s="16" t="inlineStr"/>
      <c r="Q1013" s="16" t="inlineStr">
        <is>
          <t>DF21: Outbound Prompt Request</t>
        </is>
      </c>
      <c r="R1013" s="16" t="inlineStr"/>
      <c r="S1013" s="5" t="inlineStr">
        <is>
          <t>Confirmed</t>
        </is>
      </c>
    </row>
    <row r="1014" ht="16" customHeight="1">
      <c r="A1014" s="5" t="inlineStr">
        <is>
          <t>THREMOLIA-S3-F105</t>
        </is>
      </c>
      <c r="B1014" s="5" t="inlineStr">
        <is>
          <t>THREMOLIA</t>
        </is>
      </c>
      <c r="C1014" s="5" t="inlineStr">
        <is>
          <t>S3</t>
        </is>
      </c>
      <c r="D1014" s="21" t="str">
        <f>IFERROR(VLOOKUP($G1014,'02_REFERENCE'!$A$2:$S$99,4,FALSE),"N/A")</f>
        <v>Denial of Service</v>
      </c>
      <c r="E1014" s="21" t="str">
        <f>IFERROR(VLOOKUP($G1014,'02_REFERENCE'!$A$2:$S$99,15,FALSE),"N/A")</f>
        <v>Medium</v>
      </c>
      <c r="F1014" s="21" t="str">
        <f>IFERROR(VLOOKUP($G1014,'02_REFERENCE'!$A$2:$S$99,17,FALSE),"N/A")</f>
        <v>Yes</v>
      </c>
      <c r="G1014" s="21" t="inlineStr">
        <is>
          <t>S3-RT-032</t>
        </is>
      </c>
      <c r="H1014" s="21" t="inlineStr">
        <is>
          <t>Duplicate</t>
        </is>
      </c>
      <c r="I1014" s="21" t="inlineStr">
        <is>
          <t>TP</t>
        </is>
      </c>
      <c r="J1014" s="21" t="inlineStr">
        <is>
          <t>M</t>
        </is>
      </c>
      <c r="K1014" s="21" t="inlineStr">
        <is>
          <t>N</t>
        </is>
      </c>
      <c r="L1014" s="21" t="inlineStr">
        <is>
          <t>Yes</t>
        </is>
      </c>
      <c r="M1014" s="21" t="inlineStr">
        <is>
          <t>THREMOLIA-S3-F108</t>
        </is>
      </c>
      <c r="N1014" s="22" t="inlineStr">
        <is>
          <t>Mechanism class llm_unavailable; evidence: Exhaustion of outbound API connection pool or third-party [Equivalence: restates THREMOLIA-S3-F108 — one-to-one rule applied.]</t>
        </is>
      </c>
      <c r="O1014" s="5" t="inlineStr">
        <is>
          <t>llm_unavailable</t>
        </is>
      </c>
      <c r="P1014" s="16" t="inlineStr"/>
      <c r="Q1014" s="16" t="inlineStr">
        <is>
          <t>DF21: Outbound Prompt Request</t>
        </is>
      </c>
      <c r="R1014" s="16" t="inlineStr"/>
      <c r="S1014" s="5" t="inlineStr">
        <is>
          <t>Confirmed</t>
        </is>
      </c>
    </row>
    <row r="1015" ht="16" customHeight="1">
      <c r="A1015" s="5" t="inlineStr">
        <is>
          <t>THREMOLIA-S3-F106</t>
        </is>
      </c>
      <c r="B1015" s="5" t="inlineStr">
        <is>
          <t>THREMOLIA</t>
        </is>
      </c>
      <c r="C1015" s="5" t="inlineStr">
        <is>
          <t>S3</t>
        </is>
      </c>
      <c r="D1015" s="21" t="str">
        <f>IFERROR(VLOOKUP($G1015,'02_REFERENCE'!$A$2:$S$99,4,FALSE),"N/A")</f>
        <v>Spoofing</v>
      </c>
      <c r="E1015" s="21" t="str">
        <f>IFERROR(VLOOKUP($G1015,'02_REFERENCE'!$A$2:$S$99,15,FALSE),"N/A")</f>
        <v>High</v>
      </c>
      <c r="F1015" s="21" t="str">
        <f>IFERROR(VLOOKUP($G1015,'02_REFERENCE'!$A$2:$S$99,17,FALSE),"N/A")</f>
        <v>Yes</v>
      </c>
      <c r="G1015" s="21" t="inlineStr">
        <is>
          <t>S3-RT-029</t>
        </is>
      </c>
      <c r="H1015" s="21" t="inlineStr">
        <is>
          <t>Duplicate</t>
        </is>
      </c>
      <c r="I1015" s="21" t="inlineStr">
        <is>
          <t>TP</t>
        </is>
      </c>
      <c r="J1015" s="21" t="inlineStr">
        <is>
          <t>H</t>
        </is>
      </c>
      <c r="K1015" s="21" t="inlineStr">
        <is>
          <t>N</t>
        </is>
      </c>
      <c r="L1015" s="21" t="inlineStr">
        <is>
          <t>Yes</t>
        </is>
      </c>
      <c r="M1015" s="21" t="inlineStr">
        <is>
          <t>THREMOLIA-S3-F003</t>
        </is>
      </c>
      <c r="N1015" s="22" t="inlineStr">
        <is>
          <t>Mechanism class model_substitution; evidence: tampering or provider; provider compromis; tampering or provider [Equivalence: restates THREMOLIA-S3-F003 — one-to-one rule applied.]</t>
        </is>
      </c>
      <c r="O1015" s="5" t="inlineStr">
        <is>
          <t>model_substitution</t>
        </is>
      </c>
      <c r="P1015" s="16" t="inlineStr"/>
      <c r="Q1015" s="16" t="inlineStr">
        <is>
          <t>DF22: Generated LLM Response</t>
        </is>
      </c>
      <c r="R1015" s="16" t="inlineStr"/>
      <c r="S1015" s="5" t="inlineStr">
        <is>
          <t>Confirmed</t>
        </is>
      </c>
    </row>
    <row r="1016" ht="16" customHeight="1">
      <c r="A1016" s="5" t="inlineStr">
        <is>
          <t>THREMOLIA-S3-F107</t>
        </is>
      </c>
      <c r="B1016" s="5" t="inlineStr">
        <is>
          <t>THREMOLIA</t>
        </is>
      </c>
      <c r="C1016" s="5" t="inlineStr">
        <is>
          <t>S3</t>
        </is>
      </c>
      <c r="D1016" s="21" t="str">
        <f>IFERROR(VLOOKUP($G1016,'02_REFERENCE'!$A$2:$S$99,4,FALSE),"N/A")</f>
        <v>N/A</v>
      </c>
      <c r="E1016" s="21" t="str">
        <f>IFERROR(VLOOKUP($G1016,'02_REFERENCE'!$A$2:$S$99,15,FALSE),"N/A")</f>
        <v>N/A</v>
      </c>
      <c r="F1016" s="21" t="str">
        <f>IFERROR(VLOOKUP($G1016,'02_REFERENCE'!$A$2:$S$99,17,FALSE),"N/A")</f>
        <v>N/A</v>
      </c>
      <c r="G1016" s="21" t="inlineStr"/>
      <c r="H1016" s="21" t="inlineStr">
        <is>
          <t>False Positive</t>
        </is>
      </c>
      <c r="I1016" s="21" t="inlineStr">
        <is>
          <t>FP</t>
        </is>
      </c>
      <c r="J1016" s="21" t="inlineStr">
        <is>
          <t>M</t>
        </is>
      </c>
      <c r="K1016" s="21" t="inlineStr">
        <is>
          <t>N</t>
        </is>
      </c>
      <c r="L1016" s="21" t="inlineStr">
        <is>
          <t>No</t>
        </is>
      </c>
      <c r="M1016" s="21" t="inlineStr"/>
      <c r="N1016" s="22" t="inlineStr">
        <is>
          <t>Template-class kb_disclosure (no reference threat): leaks model training</t>
        </is>
      </c>
      <c r="O1016" s="5" t="inlineStr">
        <is>
          <t>kb_disclosure</t>
        </is>
      </c>
      <c r="P1016" s="16" t="inlineStr"/>
      <c r="Q1016" s="16" t="inlineStr">
        <is>
          <t>DF22: Generated LLM Response</t>
        </is>
      </c>
      <c r="R1016" s="16" t="inlineStr"/>
      <c r="S1016" s="5" t="inlineStr">
        <is>
          <t>Confirmed</t>
        </is>
      </c>
    </row>
    <row r="1017" ht="16" customHeight="1">
      <c r="A1017" s="5" t="inlineStr">
        <is>
          <t>THREMOLIA-S3-F108</t>
        </is>
      </c>
      <c r="B1017" s="5" t="inlineStr">
        <is>
          <t>THREMOLIA</t>
        </is>
      </c>
      <c r="C1017" s="5" t="inlineStr">
        <is>
          <t>S3</t>
        </is>
      </c>
      <c r="D1017" s="21" t="str">
        <f>IFERROR(VLOOKUP($G1017,'02_REFERENCE'!$A$2:$S$99,4,FALSE),"N/A")</f>
        <v>Denial of Service</v>
      </c>
      <c r="E1017" s="21" t="str">
        <f>IFERROR(VLOOKUP($G1017,'02_REFERENCE'!$A$2:$S$99,15,FALSE),"N/A")</f>
        <v>Medium</v>
      </c>
      <c r="F1017" s="21" t="str">
        <f>IFERROR(VLOOKUP($G1017,'02_REFERENCE'!$A$2:$S$99,17,FALSE),"N/A")</f>
        <v>Yes</v>
      </c>
      <c r="G1017" s="21" t="inlineStr">
        <is>
          <t>S3-RT-032</t>
        </is>
      </c>
      <c r="H1017" s="21" t="inlineStr">
        <is>
          <t>Primary TP</t>
        </is>
      </c>
      <c r="I1017" s="21" t="inlineStr">
        <is>
          <t>TP</t>
        </is>
      </c>
      <c r="J1017" s="21" t="inlineStr">
        <is>
          <t>H</t>
        </is>
      </c>
      <c r="K1017" s="21" t="inlineStr">
        <is>
          <t>Y</t>
        </is>
      </c>
      <c r="L1017" s="21" t="inlineStr">
        <is>
          <t>No</t>
        </is>
      </c>
      <c r="M1017" s="21" t="inlineStr"/>
      <c r="N1017" s="22" t="inlineStr">
        <is>
          <t>Mechanism class llm_unavailable; evidence: hanging service threads.  DF22: Generated LLM; External LLM stream stalls or returns extremely slow</t>
        </is>
      </c>
      <c r="O1017" s="5" t="inlineStr">
        <is>
          <t>llm_unavailable</t>
        </is>
      </c>
      <c r="P1017" s="16" t="inlineStr"/>
      <c r="Q1017" s="16" t="inlineStr">
        <is>
          <t>DF22: Generated LLM Response</t>
        </is>
      </c>
      <c r="R1017" s="16" t="inlineStr"/>
      <c r="S1017" s="5" t="inlineStr">
        <is>
          <t>Confirmed</t>
        </is>
      </c>
    </row>
    <row r="1018" ht="16" customHeight="1">
      <c r="A1018" s="5" t="inlineStr">
        <is>
          <t>THREMOLIA-S3-F109</t>
        </is>
      </c>
      <c r="B1018" s="5" t="inlineStr">
        <is>
          <t>THREMOLIA</t>
        </is>
      </c>
      <c r="C1018" s="5" t="inlineStr">
        <is>
          <t>S3</t>
        </is>
      </c>
      <c r="D1018" s="21" t="str">
        <f>IFERROR(VLOOKUP($G1018,'02_REFERENCE'!$A$2:$S$99,4,FALSE),"N/A")</f>
        <v>N/A</v>
      </c>
      <c r="E1018" s="21" t="str">
        <f>IFERROR(VLOOKUP($G1018,'02_REFERENCE'!$A$2:$S$99,15,FALSE),"N/A")</f>
        <v>N/A</v>
      </c>
      <c r="F1018" s="21" t="str">
        <f>IFERROR(VLOOKUP($G1018,'02_REFERENCE'!$A$2:$S$99,17,FALSE),"N/A")</f>
        <v>N/A</v>
      </c>
      <c r="G1018" s="21" t="inlineStr"/>
      <c r="H1018" s="21" t="inlineStr">
        <is>
          <t>False Positive</t>
        </is>
      </c>
      <c r="I1018" s="21" t="inlineStr">
        <is>
          <t>FP</t>
        </is>
      </c>
      <c r="J1018" s="21" t="inlineStr">
        <is>
          <t>M</t>
        </is>
      </c>
      <c r="K1018" s="21" t="inlineStr">
        <is>
          <t>N</t>
        </is>
      </c>
      <c r="L1018" s="21" t="inlineStr">
        <is>
          <t>No</t>
        </is>
      </c>
      <c r="M1018" s="21" t="inlineStr"/>
      <c r="N1018" s="22" t="inlineStr">
        <is>
          <t>No reference threat corresponds to this finding's mechanism (scoring found no class with sufficient evidence).</t>
        </is>
      </c>
      <c r="O1018" s="5" t="inlineStr"/>
      <c r="P1018" s="16" t="inlineStr"/>
      <c r="Q1018" s="16" t="inlineStr">
        <is>
          <t>DF23: Processed Support Response</t>
        </is>
      </c>
      <c r="R1018" s="16" t="inlineStr"/>
      <c r="S1018" s="5" t="inlineStr">
        <is>
          <t>Confirmed</t>
        </is>
      </c>
    </row>
    <row r="1019" ht="16" customHeight="1">
      <c r="A1019" s="5" t="inlineStr">
        <is>
          <t>THREMOLIA-S3-F110</t>
        </is>
      </c>
      <c r="B1019" s="5" t="inlineStr">
        <is>
          <t>THREMOLIA</t>
        </is>
      </c>
      <c r="C1019" s="5" t="inlineStr">
        <is>
          <t>S3</t>
        </is>
      </c>
      <c r="D1019" s="21" t="str">
        <f>IFERROR(VLOOKUP($G1019,'02_REFERENCE'!$A$2:$S$99,4,FALSE),"N/A")</f>
        <v>Information Disclosure</v>
      </c>
      <c r="E1019" s="21" t="str">
        <f>IFERROR(VLOOKUP($G1019,'02_REFERENCE'!$A$2:$S$99,15,FALSE),"N/A")</f>
        <v>High</v>
      </c>
      <c r="F1019" s="21" t="str">
        <f>IFERROR(VLOOKUP($G1019,'02_REFERENCE'!$A$2:$S$99,17,FALSE),"N/A")</f>
        <v>No</v>
      </c>
      <c r="G1019" s="21" t="inlineStr">
        <is>
          <t>S3-RT-016</t>
        </is>
      </c>
      <c r="H1019" s="21" t="inlineStr">
        <is>
          <t>Duplicate</t>
        </is>
      </c>
      <c r="I1019" s="21" t="inlineStr">
        <is>
          <t>TP</t>
        </is>
      </c>
      <c r="J1019" s="21" t="inlineStr">
        <is>
          <t>M</t>
        </is>
      </c>
      <c r="K1019" s="21" t="inlineStr">
        <is>
          <t>N</t>
        </is>
      </c>
      <c r="L1019" s="21" t="inlineStr">
        <is>
          <t>Yes</t>
        </is>
      </c>
      <c r="M1019" s="21" t="inlineStr">
        <is>
          <t>THREMOLIA-S3-F116</t>
        </is>
      </c>
      <c r="N1019" s="22" t="inlineStr">
        <is>
          <t>Mechanism class transit_data_general; evidence: Sniffing internal processed response [Equivalence: restates THREMOLIA-S3-F116 — one-to-one rule applied.]</t>
        </is>
      </c>
      <c r="O1019" s="5" t="inlineStr">
        <is>
          <t>transit_data_general</t>
        </is>
      </c>
      <c r="P1019" s="16" t="inlineStr"/>
      <c r="Q1019" s="16" t="inlineStr">
        <is>
          <t>DF23: Processed Support Response</t>
        </is>
      </c>
      <c r="R1019" s="16" t="inlineStr"/>
      <c r="S1019" s="5" t="inlineStr">
        <is>
          <t>Confirmed</t>
        </is>
      </c>
    </row>
    <row r="1020" ht="16" customHeight="1">
      <c r="A1020" s="5" t="inlineStr">
        <is>
          <t>THREMOLIA-S3-F111</t>
        </is>
      </c>
      <c r="B1020" s="5" t="inlineStr">
        <is>
          <t>THREMOLIA</t>
        </is>
      </c>
      <c r="C1020" s="5" t="inlineStr">
        <is>
          <t>S3</t>
        </is>
      </c>
      <c r="D1020" s="21" t="str">
        <f>IFERROR(VLOOKUP($G1020,'02_REFERENCE'!$A$2:$S$99,4,FALSE),"N/A")</f>
        <v>N/A</v>
      </c>
      <c r="E1020" s="21" t="str">
        <f>IFERROR(VLOOKUP($G1020,'02_REFERENCE'!$A$2:$S$99,15,FALSE),"N/A")</f>
        <v>N/A</v>
      </c>
      <c r="F1020" s="21" t="str">
        <f>IFERROR(VLOOKUP($G1020,'02_REFERENCE'!$A$2:$S$99,17,FALSE),"N/A")</f>
        <v>N/A</v>
      </c>
      <c r="G1020" s="21" t="inlineStr"/>
      <c r="H1020" s="21" t="inlineStr">
        <is>
          <t>False Positive</t>
        </is>
      </c>
      <c r="I1020" s="21" t="inlineStr">
        <is>
          <t>FP</t>
        </is>
      </c>
      <c r="J1020" s="21" t="inlineStr">
        <is>
          <t>M</t>
        </is>
      </c>
      <c r="K1020" s="21" t="inlineStr">
        <is>
          <t>N</t>
        </is>
      </c>
      <c r="L1020" s="21" t="inlineStr">
        <is>
          <t>No</t>
        </is>
      </c>
      <c r="M1020" s="21" t="inlineStr"/>
      <c r="N1020" s="22" t="inlineStr">
        <is>
          <t>No reference threat corresponds to this finding's mechanism (scoring found no class with sufficient evidence).</t>
        </is>
      </c>
      <c r="O1020" s="5" t="inlineStr"/>
      <c r="P1020" s="16" t="inlineStr"/>
      <c r="Q1020" s="16" t="inlineStr">
        <is>
          <t>DF23: Processed Support Response</t>
        </is>
      </c>
      <c r="R1020" s="16" t="inlineStr"/>
      <c r="S1020" s="5" t="inlineStr">
        <is>
          <t>Confirmed</t>
        </is>
      </c>
    </row>
    <row r="1021" ht="16" customHeight="1">
      <c r="A1021" s="5" t="inlineStr">
        <is>
          <t>THREMOLIA-S3-F112</t>
        </is>
      </c>
      <c r="B1021" s="5" t="inlineStr">
        <is>
          <t>THREMOLIA</t>
        </is>
      </c>
      <c r="C1021" s="5" t="inlineStr">
        <is>
          <t>S3</t>
        </is>
      </c>
      <c r="D1021" s="21" t="str">
        <f>IFERROR(VLOOKUP($G1021,'02_REFERENCE'!$A$2:$S$99,4,FALSE),"N/A")</f>
        <v>N/A</v>
      </c>
      <c r="E1021" s="21" t="str">
        <f>IFERROR(VLOOKUP($G1021,'02_REFERENCE'!$A$2:$S$99,15,FALSE),"N/A")</f>
        <v>N/A</v>
      </c>
      <c r="F1021" s="21" t="str">
        <f>IFERROR(VLOOKUP($G1021,'02_REFERENCE'!$A$2:$S$99,17,FALSE),"N/A")</f>
        <v>N/A</v>
      </c>
      <c r="G1021" s="21" t="inlineStr"/>
      <c r="H1021" s="21" t="inlineStr">
        <is>
          <t>False Positive</t>
        </is>
      </c>
      <c r="I1021" s="21" t="inlineStr">
        <is>
          <t>FP</t>
        </is>
      </c>
      <c r="J1021" s="21" t="inlineStr">
        <is>
          <t>M</t>
        </is>
      </c>
      <c r="K1021" s="21" t="inlineStr">
        <is>
          <t>N</t>
        </is>
      </c>
      <c r="L1021" s="21" t="inlineStr">
        <is>
          <t>No</t>
        </is>
      </c>
      <c r="M1021" s="21" t="inlineStr"/>
      <c r="N1021" s="22" t="inlineStr">
        <is>
          <t>No reference threat corresponds to this finding's mechanism (scoring found no class with sufficient evidence).</t>
        </is>
      </c>
      <c r="O1021" s="5" t="inlineStr"/>
      <c r="P1021" s="16" t="inlineStr"/>
      <c r="Q1021" s="16" t="inlineStr">
        <is>
          <t>DF24: Generated AI Answer</t>
        </is>
      </c>
      <c r="R1021" s="16" t="inlineStr"/>
      <c r="S1021" s="5" t="inlineStr">
        <is>
          <t>Confirmed</t>
        </is>
      </c>
    </row>
    <row r="1022" ht="16" customHeight="1">
      <c r="A1022" s="5" t="inlineStr">
        <is>
          <t>THREMOLIA-S3-F113</t>
        </is>
      </c>
      <c r="B1022" s="5" t="inlineStr">
        <is>
          <t>THREMOLIA</t>
        </is>
      </c>
      <c r="C1022" s="5" t="inlineStr">
        <is>
          <t>S3</t>
        </is>
      </c>
      <c r="D1022" s="21" t="str">
        <f>IFERROR(VLOOKUP($G1022,'02_REFERENCE'!$A$2:$S$99,4,FALSE),"N/A")</f>
        <v>Information Disclosure</v>
      </c>
      <c r="E1022" s="21" t="str">
        <f>IFERROR(VLOOKUP($G1022,'02_REFERENCE'!$A$2:$S$99,15,FALSE),"N/A")</f>
        <v>High</v>
      </c>
      <c r="F1022" s="21" t="str">
        <f>IFERROR(VLOOKUP($G1022,'02_REFERENCE'!$A$2:$S$99,17,FALSE),"N/A")</f>
        <v>No</v>
      </c>
      <c r="G1022" s="21" t="inlineStr">
        <is>
          <t>S3-RT-016</t>
        </is>
      </c>
      <c r="H1022" s="21" t="inlineStr">
        <is>
          <t>Duplicate</t>
        </is>
      </c>
      <c r="I1022" s="21" t="inlineStr">
        <is>
          <t>TP</t>
        </is>
      </c>
      <c r="J1022" s="21" t="inlineStr">
        <is>
          <t>M</t>
        </is>
      </c>
      <c r="K1022" s="21" t="inlineStr">
        <is>
          <t>N</t>
        </is>
      </c>
      <c r="L1022" s="21" t="inlineStr">
        <is>
          <t>Yes</t>
        </is>
      </c>
      <c r="M1022" s="21" t="inlineStr">
        <is>
          <t>THREMOLIA-S3-F116</t>
        </is>
      </c>
      <c r="N1022" s="22" t="inlineStr">
        <is>
          <t>Mechanism class transit_data_general; evidence: Sniffing generated answer payload [Equivalence: restates THREMOLIA-S3-F116 — one-to-one rule applied.]</t>
        </is>
      </c>
      <c r="O1022" s="5" t="inlineStr">
        <is>
          <t>transit_data_general</t>
        </is>
      </c>
      <c r="P1022" s="16" t="inlineStr"/>
      <c r="Q1022" s="16" t="inlineStr">
        <is>
          <t>DF24: Generated AI Answer</t>
        </is>
      </c>
      <c r="R1022" s="16" t="inlineStr"/>
      <c r="S1022" s="5" t="inlineStr">
        <is>
          <t>Confirmed</t>
        </is>
      </c>
    </row>
    <row r="1023" ht="16" customHeight="1">
      <c r="A1023" s="5" t="inlineStr">
        <is>
          <t>THREMOLIA-S3-F114</t>
        </is>
      </c>
      <c r="B1023" s="5" t="inlineStr">
        <is>
          <t>THREMOLIA</t>
        </is>
      </c>
      <c r="C1023" s="5" t="inlineStr">
        <is>
          <t>S3</t>
        </is>
      </c>
      <c r="D1023" s="21" t="str">
        <f>IFERROR(VLOOKUP($G1023,'02_REFERENCE'!$A$2:$S$99,4,FALSE),"N/A")</f>
        <v>N/A</v>
      </c>
      <c r="E1023" s="21" t="str">
        <f>IFERROR(VLOOKUP($G1023,'02_REFERENCE'!$A$2:$S$99,15,FALSE),"N/A")</f>
        <v>N/A</v>
      </c>
      <c r="F1023" s="21" t="str">
        <f>IFERROR(VLOOKUP($G1023,'02_REFERENCE'!$A$2:$S$99,17,FALSE),"N/A")</f>
        <v>N/A</v>
      </c>
      <c r="G1023" s="21" t="inlineStr"/>
      <c r="H1023" s="21" t="inlineStr">
        <is>
          <t>False Positive</t>
        </is>
      </c>
      <c r="I1023" s="21" t="inlineStr">
        <is>
          <t>FP</t>
        </is>
      </c>
      <c r="J1023" s="21" t="inlineStr">
        <is>
          <t>M</t>
        </is>
      </c>
      <c r="K1023" s="21" t="inlineStr">
        <is>
          <t>N</t>
        </is>
      </c>
      <c r="L1023" s="21" t="inlineStr">
        <is>
          <t>No</t>
        </is>
      </c>
      <c r="M1023" s="21" t="inlineStr"/>
      <c r="N1023" s="22" t="inlineStr">
        <is>
          <t>No reference threat corresponds to this finding's mechanism (scoring found no class with sufficient evidence).</t>
        </is>
      </c>
      <c r="O1023" s="5" t="inlineStr"/>
      <c r="P1023" s="16" t="inlineStr"/>
      <c r="Q1023" s="16" t="inlineStr">
        <is>
          <t>DF24: Generated AI Answer</t>
        </is>
      </c>
      <c r="R1023" s="16" t="inlineStr"/>
      <c r="S1023" s="5" t="inlineStr">
        <is>
          <t>Confirmed</t>
        </is>
      </c>
    </row>
    <row r="1024" ht="16" customHeight="1">
      <c r="A1024" s="5" t="inlineStr">
        <is>
          <t>THREMOLIA-S3-F115</t>
        </is>
      </c>
      <c r="B1024" s="5" t="inlineStr">
        <is>
          <t>THREMOLIA</t>
        </is>
      </c>
      <c r="C1024" s="5" t="inlineStr">
        <is>
          <t>S3</t>
        </is>
      </c>
      <c r="D1024" s="21" t="str">
        <f>IFERROR(VLOOKUP($G1024,'02_REFERENCE'!$A$2:$S$99,4,FALSE),"N/A")</f>
        <v>Tampering</v>
      </c>
      <c r="E1024" s="21" t="str">
        <f>IFERROR(VLOOKUP($G1024,'02_REFERENCE'!$A$2:$S$99,15,FALSE),"N/A")</f>
        <v>High</v>
      </c>
      <c r="F1024" s="21" t="str">
        <f>IFERROR(VLOOKUP($G1024,'02_REFERENCE'!$A$2:$S$99,17,FALSE),"N/A")</f>
        <v>No</v>
      </c>
      <c r="G1024" s="21" t="inlineStr">
        <is>
          <t>S3-RT-013</t>
        </is>
      </c>
      <c r="H1024" s="21" t="inlineStr">
        <is>
          <t>Duplicate</t>
        </is>
      </c>
      <c r="I1024" s="21" t="inlineStr">
        <is>
          <t>TP</t>
        </is>
      </c>
      <c r="J1024" s="21" t="inlineStr">
        <is>
          <t>M</t>
        </is>
      </c>
      <c r="K1024" s="21" t="inlineStr">
        <is>
          <t>N</t>
        </is>
      </c>
      <c r="L1024" s="21" t="inlineStr">
        <is>
          <t>Yes</t>
        </is>
      </c>
      <c r="M1024" s="21" t="inlineStr">
        <is>
          <t>THREMOLIA-S3-F091</t>
        </is>
      </c>
      <c r="N1024" s="22" t="inlineStr">
        <is>
          <t>Mechanism class stored_active_content; evidence: rendered in user browser [Equivalence: restates THREMOLIA-S3-F091 — one-to-one rule applied.]</t>
        </is>
      </c>
      <c r="O1024" s="5" t="inlineStr">
        <is>
          <t>stored_active_content</t>
        </is>
      </c>
      <c r="P1024" s="16" t="inlineStr"/>
      <c r="Q1024" s="16" t="inlineStr">
        <is>
          <t>DF25: Support Answer Display</t>
        </is>
      </c>
      <c r="R1024" s="16" t="inlineStr"/>
      <c r="S1024" s="5" t="inlineStr">
        <is>
          <t>Confirmed</t>
        </is>
      </c>
    </row>
    <row r="1025" ht="16" customHeight="1">
      <c r="A1025" s="5" t="inlineStr">
        <is>
          <t>THREMOLIA-S3-F116</t>
        </is>
      </c>
      <c r="B1025" s="5" t="inlineStr">
        <is>
          <t>THREMOLIA</t>
        </is>
      </c>
      <c r="C1025" s="5" t="inlineStr">
        <is>
          <t>S3</t>
        </is>
      </c>
      <c r="D1025" s="21" t="str">
        <f>IFERROR(VLOOKUP($G1025,'02_REFERENCE'!$A$2:$S$99,4,FALSE),"N/A")</f>
        <v>Information Disclosure</v>
      </c>
      <c r="E1025" s="21" t="str">
        <f>IFERROR(VLOOKUP($G1025,'02_REFERENCE'!$A$2:$S$99,15,FALSE),"N/A")</f>
        <v>High</v>
      </c>
      <c r="F1025" s="21" t="str">
        <f>IFERROR(VLOOKUP($G1025,'02_REFERENCE'!$A$2:$S$99,17,FALSE),"N/A")</f>
        <v>No</v>
      </c>
      <c r="G1025" s="21" t="inlineStr">
        <is>
          <t>S3-RT-016</t>
        </is>
      </c>
      <c r="H1025" s="21" t="inlineStr">
        <is>
          <t>Primary TP</t>
        </is>
      </c>
      <c r="I1025" s="21" t="inlineStr">
        <is>
          <t>TP</t>
        </is>
      </c>
      <c r="J1025" s="21" t="inlineStr">
        <is>
          <t>H</t>
        </is>
      </c>
      <c r="K1025" s="21" t="inlineStr">
        <is>
          <t>Y</t>
        </is>
      </c>
      <c r="L1025" s="21" t="inlineStr">
        <is>
          <t>No</t>
        </is>
      </c>
      <c r="M1025" s="21" t="inlineStr"/>
      <c r="N1025" s="22" t="inlineStr">
        <is>
          <t>Mechanism class transit_data_general; evidence: Eavesdropping on support answer in transit exposing assistan; answer in transit</t>
        </is>
      </c>
      <c r="O1025" s="5" t="inlineStr">
        <is>
          <t>transit_data_general</t>
        </is>
      </c>
      <c r="P1025" s="16" t="inlineStr"/>
      <c r="Q1025" s="16" t="inlineStr">
        <is>
          <t>DF25: Support Answer Display</t>
        </is>
      </c>
      <c r="R1025" s="16" t="inlineStr"/>
      <c r="S1025" s="5" t="inlineStr">
        <is>
          <t>Confirmed</t>
        </is>
      </c>
    </row>
    <row r="1026" ht="16" customHeight="1">
      <c r="A1026" s="5" t="inlineStr">
        <is>
          <t>THREMOLIA-S3-F117</t>
        </is>
      </c>
      <c r="B1026" s="5" t="inlineStr">
        <is>
          <t>THREMOLIA</t>
        </is>
      </c>
      <c r="C1026" s="5" t="inlineStr">
        <is>
          <t>S3</t>
        </is>
      </c>
      <c r="D1026" s="21" t="str">
        <f>IFERROR(VLOOKUP($G1026,'02_REFERENCE'!$A$2:$S$99,4,FALSE),"N/A")</f>
        <v>N/A</v>
      </c>
      <c r="E1026" s="21" t="str">
        <f>IFERROR(VLOOKUP($G1026,'02_REFERENCE'!$A$2:$S$99,15,FALSE),"N/A")</f>
        <v>N/A</v>
      </c>
      <c r="F1026" s="21" t="str">
        <f>IFERROR(VLOOKUP($G1026,'02_REFERENCE'!$A$2:$S$99,17,FALSE),"N/A")</f>
        <v>N/A</v>
      </c>
      <c r="G1026" s="21" t="inlineStr"/>
      <c r="H1026" s="21" t="inlineStr">
        <is>
          <t>False Positive</t>
        </is>
      </c>
      <c r="I1026" s="21" t="inlineStr">
        <is>
          <t>FP</t>
        </is>
      </c>
      <c r="J1026" s="21" t="inlineStr">
        <is>
          <t>M</t>
        </is>
      </c>
      <c r="K1026" s="21" t="inlineStr">
        <is>
          <t>N</t>
        </is>
      </c>
      <c r="L1026" s="21" t="inlineStr">
        <is>
          <t>No</t>
        </is>
      </c>
      <c r="M1026" s="21" t="inlineStr"/>
      <c r="N1026" s="22" t="inlineStr">
        <is>
          <t>No reference threat corresponds to this finding's mechanism (scoring found no class with sufficient evidence).</t>
        </is>
      </c>
      <c r="O1026" s="5" t="inlineStr"/>
      <c r="P1026" s="16" t="inlineStr"/>
      <c r="Q1026" s="16" t="inlineStr">
        <is>
          <t>DF25: Support Answer Display</t>
        </is>
      </c>
      <c r="R1026" s="16" t="inlineStr"/>
      <c r="S1026" s="5" t="inlineStr">
        <is>
          <t>Confirmed</t>
        </is>
      </c>
    </row>
    <row r="1028">
      <c r="A1028" s="6" t="inlineStr">
        <is>
          <t>Approach display names (lookup)</t>
        </is>
      </c>
      <c r="B1028" s="5" t="inlineStr">
        <is>
          <t>Key</t>
        </is>
      </c>
      <c r="C1028" s="5" t="inlineStr">
        <is>
          <t>Display Name</t>
        </is>
      </c>
    </row>
    <row r="1029">
      <c r="B1029" s="5" t="inlineStr">
        <is>
          <t>OWASP</t>
        </is>
      </c>
      <c r="C1029" s="5" t="inlineStr">
        <is>
          <t>OWASP Threat Dragon</t>
        </is>
      </c>
    </row>
    <row r="1030">
      <c r="B1030" s="5" t="inlineStr">
        <is>
          <t>TMT</t>
        </is>
      </c>
      <c r="C1030" s="5" t="inlineStr">
        <is>
          <t>Microsoft Threat Modeling Tool</t>
        </is>
      </c>
    </row>
    <row r="1031">
      <c r="B1031" s="5" t="inlineStr">
        <is>
          <t>CHATGPT</t>
        </is>
      </c>
      <c r="C1031" s="5" t="inlineStr">
        <is>
          <t>ChatGPT</t>
        </is>
      </c>
    </row>
    <row r="1032">
      <c r="B1032" s="5" t="inlineStr">
        <is>
          <t>OLLAMA</t>
        </is>
      </c>
      <c r="C1032" s="5" t="inlineStr">
        <is>
          <t>Ollama (local LLM)</t>
        </is>
      </c>
    </row>
    <row r="1033">
      <c r="B1033" s="5" t="inlineStr">
        <is>
          <t>THREMOLIA</t>
        </is>
      </c>
      <c r="C1033" s="5" t="inlineStr">
        <is>
          <t>ThreMoLIA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21"/>
  <sheetViews>
    <sheetView workbookViewId="0">
      <selection activeCell="A1" sqref="A1"/>
    </sheetView>
  </sheetViews>
  <sheetFormatPr baseColWidth="8" defaultRowHeight="15" outlineLevelCol="0"/>
  <cols>
    <col width="12" customWidth="1" min="1" max="1"/>
    <col width="10" customWidth="1" min="2" max="2"/>
    <col width="11" customWidth="1" min="3" max="3"/>
    <col width="11" customWidth="1" min="4" max="4"/>
    <col width="12" customWidth="1" min="5" max="5"/>
    <col width="10" customWidth="1" min="6" max="6"/>
    <col width="11" customWidth="1" min="7" max="7"/>
    <col width="9" customWidth="1" min="8" max="8"/>
    <col width="11" customWidth="1" min="9" max="9"/>
    <col width="13" customWidth="1" min="10" max="10"/>
    <col width="10" customWidth="1" min="11" max="11"/>
    <col width="12" customWidth="1" min="12" max="12"/>
    <col width="14" customWidth="1" min="13" max="13"/>
    <col width="16" customWidth="1" min="14" max="14"/>
  </cols>
  <sheetData>
    <row r="1">
      <c r="A1" s="1" t="inlineStr">
        <is>
          <t>TP / FP / FN per Approach x Scenario</t>
        </is>
      </c>
    </row>
    <row r="2">
      <c r="A2" s="2" t="inlineStr">
        <is>
          <t>TP counts PRIMARY TPs only (one-to-one rule), so TP = number of distinct covered references. FN = reference threats with no primary TP. All cells are formulas over 03/04.</t>
        </is>
      </c>
    </row>
    <row r="4">
      <c r="A4" s="4" t="inlineStr">
        <is>
          <t>Approach</t>
        </is>
      </c>
      <c r="B4" s="4" t="inlineStr">
        <is>
          <t>Scenario</t>
        </is>
      </c>
      <c r="C4" s="4" t="inlineStr">
        <is>
          <t>Generated</t>
        </is>
      </c>
      <c r="D4" s="4" t="inlineStr">
        <is>
          <t>Reference</t>
        </is>
      </c>
      <c r="E4" s="4" t="inlineStr">
        <is>
          <t>TP (Primary)</t>
        </is>
      </c>
      <c r="F4" s="4" t="inlineStr">
        <is>
          <t>FP</t>
        </is>
      </c>
      <c r="G4" s="4" t="inlineStr">
        <is>
          <t>Duplicates</t>
        </is>
      </c>
      <c r="H4" s="4" t="inlineStr">
        <is>
          <t>FN</t>
        </is>
      </c>
      <c r="I4" s="4" t="inlineStr">
        <is>
          <t>Precision</t>
        </is>
      </c>
      <c r="J4" s="4" t="inlineStr">
        <is>
          <t>Recall/Coverage</t>
        </is>
      </c>
      <c r="K4" s="4" t="inlineStr">
        <is>
          <t>F1</t>
        </is>
      </c>
      <c r="L4" s="4" t="inlineStr">
        <is>
          <t>Check TP&lt;=Ref</t>
        </is>
      </c>
      <c r="M4" s="4" t="inlineStr">
        <is>
          <t>Check TP+FN=Ref</t>
        </is>
      </c>
      <c r="N4" s="4" t="inlineStr">
        <is>
          <t>Check Gen=TP+FP+Dup</t>
        </is>
      </c>
    </row>
    <row r="5">
      <c r="A5" s="5" t="inlineStr">
        <is>
          <t>OWASP</t>
        </is>
      </c>
      <c r="B5" s="5" t="inlineStr">
        <is>
          <t>S1</t>
        </is>
      </c>
      <c r="C5" s="5" t="n">
        <f>COUNTIFS('04_MATCHING'!$B$2:$B$1026,$A5,'04_MATCHING'!$C$2:$C$1026,$B5)</f>
        <v>38.0</v>
      </c>
      <c r="D5" s="5" t="n">
        <f>COUNTIFS('02_REFERENCE'!$B$2:$B$99,$B5,'02_REFERENCE'!$S$2:$S$99,"YES")</f>
        <v>32.0</v>
      </c>
      <c r="E5" s="5" t="n">
        <f>COUNTIFS('04_MATCHING'!$B$2:$B$1026,$A5,'04_MATCHING'!$C$2:$C$1026,$B5,'04_MATCHING'!$H$2:$H$1026,"Primary TP")</f>
        <v>6.0</v>
      </c>
      <c r="F5" s="5" t="n">
        <f>COUNTIFS('04_MATCHING'!$B$2:$B$1026,$A5,'04_MATCHING'!$C$2:$C$1026,$B5,'04_MATCHING'!$H$2:$H$1026,"False Positive")</f>
        <v>26.0</v>
      </c>
      <c r="G5" s="5" t="n">
        <f>COUNTIFS('04_MATCHING'!$B$2:$B$1026,$A5,'04_MATCHING'!$C$2:$C$1026,$B5,'04_MATCHING'!$H$2:$H$1026,"Duplicate")</f>
        <v>6.0</v>
      </c>
      <c r="H5" s="5" t="n">
        <f>D5-E5</f>
        <v>26</v>
      </c>
      <c r="I5" s="25" t="n">
        <f>IFERROR(E5/(E5+F5),"")</f>
        <v>0.1875</v>
      </c>
      <c r="J5" s="25" t="n">
        <f>IFERROR(E5/D5,"")</f>
        <v>0.1875</v>
      </c>
      <c r="K5" s="26" t="n">
        <f>IFERROR(2*I5*J5/(I5+J5),"")</f>
        <v>0.1875</v>
      </c>
      <c r="L5" s="5" t="str">
        <f>IF(E5&lt;=D5,"PASS","FAIL")</f>
        <v>PASS</v>
      </c>
      <c r="M5" s="5" t="str">
        <f>IF(E5+H5=D5,"PASS","FAIL")</f>
        <v>PASS</v>
      </c>
      <c r="N5" s="5" t="str">
        <f>IF(C5=E5+F5+G5,"PASS","FAIL")</f>
        <v>PASS</v>
      </c>
    </row>
    <row r="6">
      <c r="A6" s="5" t="inlineStr">
        <is>
          <t>OWASP</t>
        </is>
      </c>
      <c r="B6" s="5" t="inlineStr">
        <is>
          <t>S2</t>
        </is>
      </c>
      <c r="C6" s="5" t="n">
        <f>COUNTIFS('04_MATCHING'!$B$2:$B$1026,$A6,'04_MATCHING'!$C$2:$C$1026,$B6)</f>
        <v>39.0</v>
      </c>
      <c r="D6" s="5" t="n">
        <f>COUNTIFS('02_REFERENCE'!$B$2:$B$99,$B6,'02_REFERENCE'!$S$2:$S$99,"YES")</f>
        <v>33.0</v>
      </c>
      <c r="E6" s="5" t="n">
        <f>COUNTIFS('04_MATCHING'!$B$2:$B$1026,$A6,'04_MATCHING'!$C$2:$C$1026,$B6,'04_MATCHING'!$H$2:$H$1026,"Primary TP")</f>
        <v>6.0</v>
      </c>
      <c r="F6" s="5" t="n">
        <f>COUNTIFS('04_MATCHING'!$B$2:$B$1026,$A6,'04_MATCHING'!$C$2:$C$1026,$B6,'04_MATCHING'!$H$2:$H$1026,"False Positive")</f>
        <v>27.0</v>
      </c>
      <c r="G6" s="5" t="n">
        <f>COUNTIFS('04_MATCHING'!$B$2:$B$1026,$A6,'04_MATCHING'!$C$2:$C$1026,$B6,'04_MATCHING'!$H$2:$H$1026,"Duplicate")</f>
        <v>6.0</v>
      </c>
      <c r="H6" s="5" t="n">
        <f>D6-E6</f>
        <v>27</v>
      </c>
      <c r="I6" s="25" t="n">
        <f>IFERROR(E6/(E6+F6),"")</f>
        <v>0.18181818181818182</v>
      </c>
      <c r="J6" s="25" t="n">
        <f>IFERROR(E6/D6,"")</f>
        <v>0.18181818181818182</v>
      </c>
      <c r="K6" s="26" t="n">
        <f>IFERROR(2*I6*J6/(I6+J6),"")</f>
        <v>0.18181818181818182</v>
      </c>
      <c r="L6" s="5" t="str">
        <f>IF(E6&lt;=D6,"PASS","FAIL")</f>
        <v>PASS</v>
      </c>
      <c r="M6" s="5" t="str">
        <f>IF(E6+H6=D6,"PASS","FAIL")</f>
        <v>PASS</v>
      </c>
      <c r="N6" s="5" t="str">
        <f>IF(C6=E6+F6+G6,"PASS","FAIL")</f>
        <v>PASS</v>
      </c>
    </row>
    <row r="7">
      <c r="A7" s="5" t="inlineStr">
        <is>
          <t>OWASP</t>
        </is>
      </c>
      <c r="B7" s="5" t="inlineStr">
        <is>
          <t>S3</t>
        </is>
      </c>
      <c r="C7" s="5" t="n">
        <f>COUNTIFS('04_MATCHING'!$B$2:$B$1026,$A7,'04_MATCHING'!$C$2:$C$1026,$B7)</f>
        <v>46.0</v>
      </c>
      <c r="D7" s="5" t="n">
        <f>COUNTIFS('02_REFERENCE'!$B$2:$B$99,$B7,'02_REFERENCE'!$S$2:$S$99,"YES")</f>
        <v>33.0</v>
      </c>
      <c r="E7" s="5" t="n">
        <f>COUNTIFS('04_MATCHING'!$B$2:$B$1026,$A7,'04_MATCHING'!$C$2:$C$1026,$B7,'04_MATCHING'!$H$2:$H$1026,"Primary TP")</f>
        <v>7.0</v>
      </c>
      <c r="F7" s="5" t="n">
        <f>COUNTIFS('04_MATCHING'!$B$2:$B$1026,$A7,'04_MATCHING'!$C$2:$C$1026,$B7,'04_MATCHING'!$H$2:$H$1026,"False Positive")</f>
        <v>26.0</v>
      </c>
      <c r="G7" s="5" t="n">
        <f>COUNTIFS('04_MATCHING'!$B$2:$B$1026,$A7,'04_MATCHING'!$C$2:$C$1026,$B7,'04_MATCHING'!$H$2:$H$1026,"Duplicate")</f>
        <v>13.0</v>
      </c>
      <c r="H7" s="5" t="n">
        <f>D7-E7</f>
        <v>26</v>
      </c>
      <c r="I7" s="25" t="n">
        <f>IFERROR(E7/(E7+F7),"")</f>
        <v>0.21212121212121213</v>
      </c>
      <c r="J7" s="25" t="n">
        <f>IFERROR(E7/D7,"")</f>
        <v>0.21212121212121213</v>
      </c>
      <c r="K7" s="26" t="n">
        <f>IFERROR(2*I7*J7/(I7+J7),"")</f>
        <v>0.21212121212121215</v>
      </c>
      <c r="L7" s="5" t="str">
        <f>IF(E7&lt;=D7,"PASS","FAIL")</f>
        <v>PASS</v>
      </c>
      <c r="M7" s="5" t="str">
        <f>IF(E7+H7=D7,"PASS","FAIL")</f>
        <v>PASS</v>
      </c>
      <c r="N7" s="5" t="str">
        <f>IF(C7=E7+F7+G7,"PASS","FAIL")</f>
        <v>PASS</v>
      </c>
    </row>
    <row r="8">
      <c r="A8" s="5" t="inlineStr">
        <is>
          <t>TMT</t>
        </is>
      </c>
      <c r="B8" s="5" t="inlineStr">
        <is>
          <t>S1</t>
        </is>
      </c>
      <c r="C8" s="5" t="n">
        <f>COUNTIFS('04_MATCHING'!$B$2:$B$1026,$A8,'04_MATCHING'!$C$2:$C$1026,$B8)</f>
        <v>95.0</v>
      </c>
      <c r="D8" s="5" t="n">
        <f>COUNTIFS('02_REFERENCE'!$B$2:$B$99,$B8,'02_REFERENCE'!$S$2:$S$99,"YES")</f>
        <v>32.0</v>
      </c>
      <c r="E8" s="5" t="n">
        <f>COUNTIFS('04_MATCHING'!$B$2:$B$1026,$A8,'04_MATCHING'!$C$2:$C$1026,$B8,'04_MATCHING'!$H$2:$H$1026,"Primary TP")</f>
        <v>9.0</v>
      </c>
      <c r="F8" s="5" t="n">
        <f>COUNTIFS('04_MATCHING'!$B$2:$B$1026,$A8,'04_MATCHING'!$C$2:$C$1026,$B8,'04_MATCHING'!$H$2:$H$1026,"False Positive")</f>
        <v>73.0</v>
      </c>
      <c r="G8" s="5" t="n">
        <f>COUNTIFS('04_MATCHING'!$B$2:$B$1026,$A8,'04_MATCHING'!$C$2:$C$1026,$B8,'04_MATCHING'!$H$2:$H$1026,"Duplicate")</f>
        <v>13.0</v>
      </c>
      <c r="H8" s="5" t="n">
        <f>D8-E8</f>
        <v>23</v>
      </c>
      <c r="I8" s="25" t="n">
        <f>IFERROR(E8/(E8+F8),"")</f>
        <v>0.10975609756097561</v>
      </c>
      <c r="J8" s="25" t="n">
        <f>IFERROR(E8/D8,"")</f>
        <v>0.28125</v>
      </c>
      <c r="K8" s="26" t="n">
        <f>IFERROR(2*I8*J8/(I8+J8),"")</f>
        <v>0.15789473684210525</v>
      </c>
      <c r="L8" s="5" t="str">
        <f>IF(E8&lt;=D8,"PASS","FAIL")</f>
        <v>PASS</v>
      </c>
      <c r="M8" s="5" t="str">
        <f>IF(E8+H8=D8,"PASS","FAIL")</f>
        <v>PASS</v>
      </c>
      <c r="N8" s="5" t="str">
        <f>IF(C8=E8+F8+G8,"PASS","FAIL")</f>
        <v>PASS</v>
      </c>
    </row>
    <row r="9">
      <c r="A9" s="5" t="inlineStr">
        <is>
          <t>TMT</t>
        </is>
      </c>
      <c r="B9" s="5" t="inlineStr">
        <is>
          <t>S2</t>
        </is>
      </c>
      <c r="C9" s="5" t="n">
        <f>COUNTIFS('04_MATCHING'!$B$2:$B$1026,$A9,'04_MATCHING'!$C$2:$C$1026,$B9)</f>
        <v>89.0</v>
      </c>
      <c r="D9" s="5" t="n">
        <f>COUNTIFS('02_REFERENCE'!$B$2:$B$99,$B9,'02_REFERENCE'!$S$2:$S$99,"YES")</f>
        <v>33.0</v>
      </c>
      <c r="E9" s="5" t="n">
        <f>COUNTIFS('04_MATCHING'!$B$2:$B$1026,$A9,'04_MATCHING'!$C$2:$C$1026,$B9,'04_MATCHING'!$H$2:$H$1026,"Primary TP")</f>
        <v>10.0</v>
      </c>
      <c r="F9" s="5" t="n">
        <f>COUNTIFS('04_MATCHING'!$B$2:$B$1026,$A9,'04_MATCHING'!$C$2:$C$1026,$B9,'04_MATCHING'!$H$2:$H$1026,"False Positive")</f>
        <v>65.0</v>
      </c>
      <c r="G9" s="5" t="n">
        <f>COUNTIFS('04_MATCHING'!$B$2:$B$1026,$A9,'04_MATCHING'!$C$2:$C$1026,$B9,'04_MATCHING'!$H$2:$H$1026,"Duplicate")</f>
        <v>14.0</v>
      </c>
      <c r="H9" s="5" t="n">
        <f>D9-E9</f>
        <v>23</v>
      </c>
      <c r="I9" s="25" t="n">
        <f>IFERROR(E9/(E9+F9),"")</f>
        <v>0.13333333333333333</v>
      </c>
      <c r="J9" s="25" t="n">
        <f>IFERROR(E9/D9,"")</f>
        <v>0.30303030303030304</v>
      </c>
      <c r="K9" s="26" t="n">
        <f>IFERROR(2*I9*J9/(I9+J9),"")</f>
        <v>0.18518518518518517</v>
      </c>
      <c r="L9" s="5" t="str">
        <f>IF(E9&lt;=D9,"PASS","FAIL")</f>
        <v>PASS</v>
      </c>
      <c r="M9" s="5" t="str">
        <f>IF(E9+H9=D9,"PASS","FAIL")</f>
        <v>PASS</v>
      </c>
      <c r="N9" s="5" t="str">
        <f>IF(C9=E9+F9+G9,"PASS","FAIL")</f>
        <v>PASS</v>
      </c>
    </row>
    <row r="10">
      <c r="A10" s="5" t="inlineStr">
        <is>
          <t>TMT</t>
        </is>
      </c>
      <c r="B10" s="5" t="inlineStr">
        <is>
          <t>S3</t>
        </is>
      </c>
      <c r="C10" s="5" t="n">
        <f>COUNTIFS('04_MATCHING'!$B$2:$B$1026,$A10,'04_MATCHING'!$C$2:$C$1026,$B10)</f>
        <v>117.0</v>
      </c>
      <c r="D10" s="5" t="n">
        <f>COUNTIFS('02_REFERENCE'!$B$2:$B$99,$B10,'02_REFERENCE'!$S$2:$S$99,"YES")</f>
        <v>33.0</v>
      </c>
      <c r="E10" s="5" t="n">
        <f>COUNTIFS('04_MATCHING'!$B$2:$B$1026,$A10,'04_MATCHING'!$C$2:$C$1026,$B10,'04_MATCHING'!$H$2:$H$1026,"Primary TP")</f>
        <v>9.0</v>
      </c>
      <c r="F10" s="5" t="n">
        <f>COUNTIFS('04_MATCHING'!$B$2:$B$1026,$A10,'04_MATCHING'!$C$2:$C$1026,$B10,'04_MATCHING'!$H$2:$H$1026,"False Positive")</f>
        <v>83.0</v>
      </c>
      <c r="G10" s="5" t="n">
        <f>COUNTIFS('04_MATCHING'!$B$2:$B$1026,$A10,'04_MATCHING'!$C$2:$C$1026,$B10,'04_MATCHING'!$H$2:$H$1026,"Duplicate")</f>
        <v>25.0</v>
      </c>
      <c r="H10" s="5" t="n">
        <f>D10-E10</f>
        <v>24</v>
      </c>
      <c r="I10" s="25" t="n">
        <f>IFERROR(E10/(E10+F10),"")</f>
        <v>0.09782608695652174</v>
      </c>
      <c r="J10" s="25" t="n">
        <f>IFERROR(E10/D10,"")</f>
        <v>0.2727272727272727</v>
      </c>
      <c r="K10" s="26" t="n">
        <f>IFERROR(2*I10*J10/(I10+J10),"")</f>
        <v>0.14400000000000002</v>
      </c>
      <c r="L10" s="5" t="str">
        <f>IF(E10&lt;=D10,"PASS","FAIL")</f>
        <v>PASS</v>
      </c>
      <c r="M10" s="5" t="str">
        <f>IF(E10+H10=D10,"PASS","FAIL")</f>
        <v>PASS</v>
      </c>
      <c r="N10" s="5" t="str">
        <f>IF(C10=E10+F10+G10,"PASS","FAIL")</f>
        <v>PASS</v>
      </c>
    </row>
    <row r="11">
      <c r="A11" s="5" t="inlineStr">
        <is>
          <t>CHATGPT</t>
        </is>
      </c>
      <c r="B11" s="5" t="inlineStr">
        <is>
          <t>S1</t>
        </is>
      </c>
      <c r="C11" s="5" t="n">
        <f>COUNTIFS('04_MATCHING'!$B$2:$B$1026,$A11,'04_MATCHING'!$C$2:$C$1026,$B11)</f>
        <v>72.0</v>
      </c>
      <c r="D11" s="5" t="n">
        <f>COUNTIFS('02_REFERENCE'!$B$2:$B$99,$B11,'02_REFERENCE'!$S$2:$S$99,"YES")</f>
        <v>32.0</v>
      </c>
      <c r="E11" s="5" t="n">
        <f>COUNTIFS('04_MATCHING'!$B$2:$B$1026,$A11,'04_MATCHING'!$C$2:$C$1026,$B11,'04_MATCHING'!$H$2:$H$1026,"Primary TP")</f>
        <v>18.0</v>
      </c>
      <c r="F11" s="5" t="n">
        <f>COUNTIFS('04_MATCHING'!$B$2:$B$1026,$A11,'04_MATCHING'!$C$2:$C$1026,$B11,'04_MATCHING'!$H$2:$H$1026,"False Positive")</f>
        <v>17.0</v>
      </c>
      <c r="G11" s="5" t="n">
        <f>COUNTIFS('04_MATCHING'!$B$2:$B$1026,$A11,'04_MATCHING'!$C$2:$C$1026,$B11,'04_MATCHING'!$H$2:$H$1026,"Duplicate")</f>
        <v>37.0</v>
      </c>
      <c r="H11" s="5" t="n">
        <f>D11-E11</f>
        <v>14</v>
      </c>
      <c r="I11" s="25" t="n">
        <f>IFERROR(E11/(E11+F11),"")</f>
        <v>0.5142857142857142</v>
      </c>
      <c r="J11" s="25" t="n">
        <f>IFERROR(E11/D11,"")</f>
        <v>0.5625</v>
      </c>
      <c r="K11" s="26" t="n">
        <f>IFERROR(2*I11*J11/(I11+J11),"")</f>
        <v>0.5373134328358209</v>
      </c>
      <c r="L11" s="5" t="str">
        <f>IF(E11&lt;=D11,"PASS","FAIL")</f>
        <v>PASS</v>
      </c>
      <c r="M11" s="5" t="str">
        <f>IF(E11+H11=D11,"PASS","FAIL")</f>
        <v>PASS</v>
      </c>
      <c r="N11" s="5" t="str">
        <f>IF(C11=E11+F11+G11,"PASS","FAIL")</f>
        <v>PASS</v>
      </c>
    </row>
    <row r="12">
      <c r="A12" s="5" t="inlineStr">
        <is>
          <t>CHATGPT</t>
        </is>
      </c>
      <c r="B12" s="5" t="inlineStr">
        <is>
          <t>S2</t>
        </is>
      </c>
      <c r="C12" s="5" t="n">
        <f>COUNTIFS('04_MATCHING'!$B$2:$B$1026,$A12,'04_MATCHING'!$C$2:$C$1026,$B12)</f>
        <v>60.0</v>
      </c>
      <c r="D12" s="5" t="n">
        <f>COUNTIFS('02_REFERENCE'!$B$2:$B$99,$B12,'02_REFERENCE'!$S$2:$S$99,"YES")</f>
        <v>33.0</v>
      </c>
      <c r="E12" s="5" t="n">
        <f>COUNTIFS('04_MATCHING'!$B$2:$B$1026,$A12,'04_MATCHING'!$C$2:$C$1026,$B12,'04_MATCHING'!$H$2:$H$1026,"Primary TP")</f>
        <v>18.0</v>
      </c>
      <c r="F12" s="5" t="n">
        <f>COUNTIFS('04_MATCHING'!$B$2:$B$1026,$A12,'04_MATCHING'!$C$2:$C$1026,$B12,'04_MATCHING'!$H$2:$H$1026,"False Positive")</f>
        <v>18.0</v>
      </c>
      <c r="G12" s="5" t="n">
        <f>COUNTIFS('04_MATCHING'!$B$2:$B$1026,$A12,'04_MATCHING'!$C$2:$C$1026,$B12,'04_MATCHING'!$H$2:$H$1026,"Duplicate")</f>
        <v>24.0</v>
      </c>
      <c r="H12" s="5" t="n">
        <f>D12-E12</f>
        <v>15</v>
      </c>
      <c r="I12" s="25" t="n">
        <f>IFERROR(E12/(E12+F12),"")</f>
        <v>0.5</v>
      </c>
      <c r="J12" s="25" t="n">
        <f>IFERROR(E12/D12,"")</f>
        <v>0.5454545454545454</v>
      </c>
      <c r="K12" s="26" t="n">
        <f>IFERROR(2*I12*J12/(I12+J12),"")</f>
        <v>0.5217391304347826</v>
      </c>
      <c r="L12" s="5" t="str">
        <f>IF(E12&lt;=D12,"PASS","FAIL")</f>
        <v>PASS</v>
      </c>
      <c r="M12" s="5" t="str">
        <f>IF(E12+H12=D12,"PASS","FAIL")</f>
        <v>PASS</v>
      </c>
      <c r="N12" s="5" t="str">
        <f>IF(C12=E12+F12+G12,"PASS","FAIL")</f>
        <v>PASS</v>
      </c>
    </row>
    <row r="13">
      <c r="A13" s="5" t="inlineStr">
        <is>
          <t>CHATGPT</t>
        </is>
      </c>
      <c r="B13" s="5" t="inlineStr">
        <is>
          <t>S3</t>
        </is>
      </c>
      <c r="C13" s="5" t="n">
        <f>COUNTIFS('04_MATCHING'!$B$2:$B$1026,$A13,'04_MATCHING'!$C$2:$C$1026,$B13)</f>
        <v>49.0</v>
      </c>
      <c r="D13" s="5" t="n">
        <f>COUNTIFS('02_REFERENCE'!$B$2:$B$99,$B13,'02_REFERENCE'!$S$2:$S$99,"YES")</f>
        <v>33.0</v>
      </c>
      <c r="E13" s="5" t="n">
        <f>COUNTIFS('04_MATCHING'!$B$2:$B$1026,$A13,'04_MATCHING'!$C$2:$C$1026,$B13,'04_MATCHING'!$H$2:$H$1026,"Primary TP")</f>
        <v>16.0</v>
      </c>
      <c r="F13" s="5" t="n">
        <f>COUNTIFS('04_MATCHING'!$B$2:$B$1026,$A13,'04_MATCHING'!$C$2:$C$1026,$B13,'04_MATCHING'!$H$2:$H$1026,"False Positive")</f>
        <v>22.0</v>
      </c>
      <c r="G13" s="5" t="n">
        <f>COUNTIFS('04_MATCHING'!$B$2:$B$1026,$A13,'04_MATCHING'!$C$2:$C$1026,$B13,'04_MATCHING'!$H$2:$H$1026,"Duplicate")</f>
        <v>11.0</v>
      </c>
      <c r="H13" s="5" t="n">
        <f>D13-E13</f>
        <v>17</v>
      </c>
      <c r="I13" s="25" t="n">
        <f>IFERROR(E13/(E13+F13),"")</f>
        <v>0.42105263157894735</v>
      </c>
      <c r="J13" s="25" t="n">
        <f>IFERROR(E13/D13,"")</f>
        <v>0.48484848484848486</v>
      </c>
      <c r="K13" s="26" t="n">
        <f>IFERROR(2*I13*J13/(I13+J13),"")</f>
        <v>0.4507042253521127</v>
      </c>
      <c r="L13" s="5" t="str">
        <f>IF(E13&lt;=D13,"PASS","FAIL")</f>
        <v>PASS</v>
      </c>
      <c r="M13" s="5" t="str">
        <f>IF(E13+H13=D13,"PASS","FAIL")</f>
        <v>PASS</v>
      </c>
      <c r="N13" s="5" t="str">
        <f>IF(C13=E13+F13+G13,"PASS","FAIL")</f>
        <v>PASS</v>
      </c>
    </row>
    <row r="14">
      <c r="A14" s="5" t="inlineStr">
        <is>
          <t>OLLAMA</t>
        </is>
      </c>
      <c r="B14" s="5" t="inlineStr">
        <is>
          <t>S1</t>
        </is>
      </c>
      <c r="C14" s="5" t="n">
        <f>COUNTIFS('04_MATCHING'!$B$2:$B$1026,$A14,'04_MATCHING'!$C$2:$C$1026,$B14)</f>
        <v>40.0</v>
      </c>
      <c r="D14" s="5" t="n">
        <f>COUNTIFS('02_REFERENCE'!$B$2:$B$99,$B14,'02_REFERENCE'!$S$2:$S$99,"YES")</f>
        <v>32.0</v>
      </c>
      <c r="E14" s="5" t="n">
        <f>COUNTIFS('04_MATCHING'!$B$2:$B$1026,$A14,'04_MATCHING'!$C$2:$C$1026,$B14,'04_MATCHING'!$H$2:$H$1026,"Primary TP")</f>
        <v>6.0</v>
      </c>
      <c r="F14" s="5" t="n">
        <f>COUNTIFS('04_MATCHING'!$B$2:$B$1026,$A14,'04_MATCHING'!$C$2:$C$1026,$B14,'04_MATCHING'!$H$2:$H$1026,"False Positive")</f>
        <v>19.0</v>
      </c>
      <c r="G14" s="5" t="n">
        <f>COUNTIFS('04_MATCHING'!$B$2:$B$1026,$A14,'04_MATCHING'!$C$2:$C$1026,$B14,'04_MATCHING'!$H$2:$H$1026,"Duplicate")</f>
        <v>15.0</v>
      </c>
      <c r="H14" s="5" t="n">
        <f>D14-E14</f>
        <v>26</v>
      </c>
      <c r="I14" s="25" t="n">
        <f>IFERROR(E14/(E14+F14),"")</f>
        <v>0.24</v>
      </c>
      <c r="J14" s="25" t="n">
        <f>IFERROR(E14/D14,"")</f>
        <v>0.1875</v>
      </c>
      <c r="K14" s="26" t="n">
        <f>IFERROR(2*I14*J14/(I14+J14),"")</f>
        <v>0.21052631578947367</v>
      </c>
      <c r="L14" s="5" t="str">
        <f>IF(E14&lt;=D14,"PASS","FAIL")</f>
        <v>PASS</v>
      </c>
      <c r="M14" s="5" t="str">
        <f>IF(E14+H14=D14,"PASS","FAIL")</f>
        <v>PASS</v>
      </c>
      <c r="N14" s="5" t="str">
        <f>IF(C14=E14+F14+G14,"PASS","FAIL")</f>
        <v>PASS</v>
      </c>
    </row>
    <row r="15">
      <c r="A15" s="5" t="inlineStr">
        <is>
          <t>OLLAMA</t>
        </is>
      </c>
      <c r="B15" s="5" t="inlineStr">
        <is>
          <t>S2</t>
        </is>
      </c>
      <c r="C15" s="5" t="n">
        <f>COUNTIFS('04_MATCHING'!$B$2:$B$1026,$A15,'04_MATCHING'!$C$2:$C$1026,$B15)</f>
        <v>28.0</v>
      </c>
      <c r="D15" s="5" t="n">
        <f>COUNTIFS('02_REFERENCE'!$B$2:$B$99,$B15,'02_REFERENCE'!$S$2:$S$99,"YES")</f>
        <v>33.0</v>
      </c>
      <c r="E15" s="5" t="n">
        <f>COUNTIFS('04_MATCHING'!$B$2:$B$1026,$A15,'04_MATCHING'!$C$2:$C$1026,$B15,'04_MATCHING'!$H$2:$H$1026,"Primary TP")</f>
        <v>7.0</v>
      </c>
      <c r="F15" s="5" t="n">
        <f>COUNTIFS('04_MATCHING'!$B$2:$B$1026,$A15,'04_MATCHING'!$C$2:$C$1026,$B15,'04_MATCHING'!$H$2:$H$1026,"False Positive")</f>
        <v>15.0</v>
      </c>
      <c r="G15" s="5" t="n">
        <f>COUNTIFS('04_MATCHING'!$B$2:$B$1026,$A15,'04_MATCHING'!$C$2:$C$1026,$B15,'04_MATCHING'!$H$2:$H$1026,"Duplicate")</f>
        <v>6.0</v>
      </c>
      <c r="H15" s="5" t="n">
        <f>D15-E15</f>
        <v>26</v>
      </c>
      <c r="I15" s="25" t="n">
        <f>IFERROR(E15/(E15+F15),"")</f>
        <v>0.3181818181818182</v>
      </c>
      <c r="J15" s="25" t="n">
        <f>IFERROR(E15/D15,"")</f>
        <v>0.21212121212121213</v>
      </c>
      <c r="K15" s="26" t="n">
        <f>IFERROR(2*I15*J15/(I15+J15),"")</f>
        <v>0.2545454545454546</v>
      </c>
      <c r="L15" s="5" t="str">
        <f>IF(E15&lt;=D15,"PASS","FAIL")</f>
        <v>PASS</v>
      </c>
      <c r="M15" s="5" t="str">
        <f>IF(E15+H15=D15,"PASS","FAIL")</f>
        <v>PASS</v>
      </c>
      <c r="N15" s="5" t="str">
        <f>IF(C15=E15+F15+G15,"PASS","FAIL")</f>
        <v>PASS</v>
      </c>
    </row>
    <row r="16">
      <c r="A16" s="5" t="inlineStr">
        <is>
          <t>OLLAMA</t>
        </is>
      </c>
      <c r="B16" s="5" t="inlineStr">
        <is>
          <t>S3</t>
        </is>
      </c>
      <c r="C16" s="5" t="n">
        <f>COUNTIFS('04_MATCHING'!$B$2:$B$1026,$A16,'04_MATCHING'!$C$2:$C$1026,$B16)</f>
        <v>24.0</v>
      </c>
      <c r="D16" s="5" t="n">
        <f>COUNTIFS('02_REFERENCE'!$B$2:$B$99,$B16,'02_REFERENCE'!$S$2:$S$99,"YES")</f>
        <v>33.0</v>
      </c>
      <c r="E16" s="5" t="n">
        <f>COUNTIFS('04_MATCHING'!$B$2:$B$1026,$A16,'04_MATCHING'!$C$2:$C$1026,$B16,'04_MATCHING'!$H$2:$H$1026,"Primary TP")</f>
        <v>7.0</v>
      </c>
      <c r="F16" s="5" t="n">
        <f>COUNTIFS('04_MATCHING'!$B$2:$B$1026,$A16,'04_MATCHING'!$C$2:$C$1026,$B16,'04_MATCHING'!$H$2:$H$1026,"False Positive")</f>
        <v>12.0</v>
      </c>
      <c r="G16" s="5" t="n">
        <f>COUNTIFS('04_MATCHING'!$B$2:$B$1026,$A16,'04_MATCHING'!$C$2:$C$1026,$B16,'04_MATCHING'!$H$2:$H$1026,"Duplicate")</f>
        <v>5.0</v>
      </c>
      <c r="H16" s="5" t="n">
        <f>D16-E16</f>
        <v>26</v>
      </c>
      <c r="I16" s="25" t="n">
        <f>IFERROR(E16/(E16+F16),"")</f>
        <v>0.3684210526315789</v>
      </c>
      <c r="J16" s="25" t="n">
        <f>IFERROR(E16/D16,"")</f>
        <v>0.21212121212121213</v>
      </c>
      <c r="K16" s="26" t="n">
        <f>IFERROR(2*I16*J16/(I16+J16),"")</f>
        <v>0.2692307692307693</v>
      </c>
      <c r="L16" s="5" t="str">
        <f>IF(E16&lt;=D16,"PASS","FAIL")</f>
        <v>PASS</v>
      </c>
      <c r="M16" s="5" t="str">
        <f>IF(E16+H16=D16,"PASS","FAIL")</f>
        <v>PASS</v>
      </c>
      <c r="N16" s="5" t="str">
        <f>IF(C16=E16+F16+G16,"PASS","FAIL")</f>
        <v>PASS</v>
      </c>
    </row>
    <row r="17">
      <c r="A17" s="5" t="inlineStr">
        <is>
          <t>THREMOLIA</t>
        </is>
      </c>
      <c r="B17" s="5" t="inlineStr">
        <is>
          <t>S1</t>
        </is>
      </c>
      <c r="C17" s="5" t="n">
        <f>COUNTIFS('04_MATCHING'!$B$2:$B$1026,$A17,'04_MATCHING'!$C$2:$C$1026,$B17)</f>
        <v>106.0</v>
      </c>
      <c r="D17" s="5" t="n">
        <f>COUNTIFS('02_REFERENCE'!$B$2:$B$99,$B17,'02_REFERENCE'!$S$2:$S$99,"YES")</f>
        <v>32.0</v>
      </c>
      <c r="E17" s="5" t="n">
        <f>COUNTIFS('04_MATCHING'!$B$2:$B$1026,$A17,'04_MATCHING'!$C$2:$C$1026,$B17,'04_MATCHING'!$H$2:$H$1026,"Primary TP")</f>
        <v>26.0</v>
      </c>
      <c r="F17" s="5" t="n">
        <f>COUNTIFS('04_MATCHING'!$B$2:$B$1026,$A17,'04_MATCHING'!$C$2:$C$1026,$B17,'04_MATCHING'!$H$2:$H$1026,"False Positive")</f>
        <v>29.0</v>
      </c>
      <c r="G17" s="5" t="n">
        <f>COUNTIFS('04_MATCHING'!$B$2:$B$1026,$A17,'04_MATCHING'!$C$2:$C$1026,$B17,'04_MATCHING'!$H$2:$H$1026,"Duplicate")</f>
        <v>51.0</v>
      </c>
      <c r="H17" s="5" t="n">
        <f>D17-E17</f>
        <v>6</v>
      </c>
      <c r="I17" s="25" t="n">
        <f>IFERROR(E17/(E17+F17),"")</f>
        <v>0.4727272727272727</v>
      </c>
      <c r="J17" s="25" t="n">
        <f>IFERROR(E17/D17,"")</f>
        <v>0.8125</v>
      </c>
      <c r="K17" s="26" t="n">
        <f>IFERROR(2*I17*J17/(I17+J17),"")</f>
        <v>0.5977011494252874</v>
      </c>
      <c r="L17" s="5" t="str">
        <f>IF(E17&lt;=D17,"PASS","FAIL")</f>
        <v>PASS</v>
      </c>
      <c r="M17" s="5" t="str">
        <f>IF(E17+H17=D17,"PASS","FAIL")</f>
        <v>PASS</v>
      </c>
      <c r="N17" s="5" t="str">
        <f>IF(C17=E17+F17+G17,"PASS","FAIL")</f>
        <v>PASS</v>
      </c>
    </row>
    <row r="18">
      <c r="A18" s="5" t="inlineStr">
        <is>
          <t>THREMOLIA</t>
        </is>
      </c>
      <c r="B18" s="5" t="inlineStr">
        <is>
          <t>S2</t>
        </is>
      </c>
      <c r="C18" s="5" t="n">
        <f>COUNTIFS('04_MATCHING'!$B$2:$B$1026,$A18,'04_MATCHING'!$C$2:$C$1026,$B18)</f>
        <v>105.0</v>
      </c>
      <c r="D18" s="5" t="n">
        <f>COUNTIFS('02_REFERENCE'!$B$2:$B$99,$B18,'02_REFERENCE'!$S$2:$S$99,"YES")</f>
        <v>33.0</v>
      </c>
      <c r="E18" s="5" t="n">
        <f>COUNTIFS('04_MATCHING'!$B$2:$B$1026,$A18,'04_MATCHING'!$C$2:$C$1026,$B18,'04_MATCHING'!$H$2:$H$1026,"Primary TP")</f>
        <v>23.0</v>
      </c>
      <c r="F18" s="5" t="n">
        <f>COUNTIFS('04_MATCHING'!$B$2:$B$1026,$A18,'04_MATCHING'!$C$2:$C$1026,$B18,'04_MATCHING'!$H$2:$H$1026,"False Positive")</f>
        <v>23.0</v>
      </c>
      <c r="G18" s="5" t="n">
        <f>COUNTIFS('04_MATCHING'!$B$2:$B$1026,$A18,'04_MATCHING'!$C$2:$C$1026,$B18,'04_MATCHING'!$H$2:$H$1026,"Duplicate")</f>
        <v>59.0</v>
      </c>
      <c r="H18" s="5" t="n">
        <f>D18-E18</f>
        <v>10</v>
      </c>
      <c r="I18" s="25" t="n">
        <f>IFERROR(E18/(E18+F18),"")</f>
        <v>0.5</v>
      </c>
      <c r="J18" s="25" t="n">
        <f>IFERROR(E18/D18,"")</f>
        <v>0.696969696969697</v>
      </c>
      <c r="K18" s="26" t="n">
        <f>IFERROR(2*I18*J18/(I18+J18),"")</f>
        <v>0.5822784810126582</v>
      </c>
      <c r="L18" s="5" t="str">
        <f>IF(E18&lt;=D18,"PASS","FAIL")</f>
        <v>PASS</v>
      </c>
      <c r="M18" s="5" t="str">
        <f>IF(E18+H18=D18,"PASS","FAIL")</f>
        <v>PASS</v>
      </c>
      <c r="N18" s="5" t="str">
        <f>IF(C18=E18+F18+G18,"PASS","FAIL")</f>
        <v>PASS</v>
      </c>
    </row>
    <row r="19">
      <c r="A19" s="5" t="inlineStr">
        <is>
          <t>THREMOLIA</t>
        </is>
      </c>
      <c r="B19" s="5" t="inlineStr">
        <is>
          <t>S3</t>
        </is>
      </c>
      <c r="C19" s="5" t="n">
        <f>COUNTIFS('04_MATCHING'!$B$2:$B$1026,$A19,'04_MATCHING'!$C$2:$C$1026,$B19)</f>
        <v>117.0</v>
      </c>
      <c r="D19" s="5" t="n">
        <f>COUNTIFS('02_REFERENCE'!$B$2:$B$99,$B19,'02_REFERENCE'!$S$2:$S$99,"YES")</f>
        <v>33.0</v>
      </c>
      <c r="E19" s="5" t="n">
        <f>COUNTIFS('04_MATCHING'!$B$2:$B$1026,$A19,'04_MATCHING'!$C$2:$C$1026,$B19,'04_MATCHING'!$H$2:$H$1026,"Primary TP")</f>
        <v>20.0</v>
      </c>
      <c r="F19" s="5" t="n">
        <f>COUNTIFS('04_MATCHING'!$B$2:$B$1026,$A19,'04_MATCHING'!$C$2:$C$1026,$B19,'04_MATCHING'!$H$2:$H$1026,"False Positive")</f>
        <v>43.0</v>
      </c>
      <c r="G19" s="5" t="n">
        <f>COUNTIFS('04_MATCHING'!$B$2:$B$1026,$A19,'04_MATCHING'!$C$2:$C$1026,$B19,'04_MATCHING'!$H$2:$H$1026,"Duplicate")</f>
        <v>54.0</v>
      </c>
      <c r="H19" s="5" t="n">
        <f>D19-E19</f>
        <v>13</v>
      </c>
      <c r="I19" s="25" t="n">
        <f>IFERROR(E19/(E19+F19),"")</f>
        <v>0.31746031746031744</v>
      </c>
      <c r="J19" s="25" t="n">
        <f>IFERROR(E19/D19,"")</f>
        <v>0.6060606060606061</v>
      </c>
      <c r="K19" s="26" t="n">
        <f>IFERROR(2*I19*J19/(I19+J19),"")</f>
        <v>0.4166666666666667</v>
      </c>
      <c r="L19" s="5" t="str">
        <f>IF(E19&lt;=D19,"PASS","FAIL")</f>
        <v>PASS</v>
      </c>
      <c r="M19" s="5" t="str">
        <f>IF(E19+H19=D19,"PASS","FAIL")</f>
        <v>PASS</v>
      </c>
      <c r="N19" s="5" t="str">
        <f>IF(C19=E19+F19+G19,"PASS","FAIL")</f>
        <v>PASS</v>
      </c>
    </row>
    <row r="20">
      <c r="A20" s="6" t="inlineStr">
        <is>
          <t>TOTAL</t>
        </is>
      </c>
      <c r="B20" s="6" t="inlineStr">
        <is>
          <t>All</t>
        </is>
      </c>
      <c r="C20" s="6" t="n">
        <f>SUM(C5:C19)</f>
        <v>1025</v>
      </c>
      <c r="D20" s="6" t="n">
        <f>SUM(D5:D19)</f>
        <v>490</v>
      </c>
      <c r="E20" s="6" t="n">
        <f>SUM(E5:E19)</f>
        <v>188</v>
      </c>
      <c r="F20" s="6" t="n">
        <f>SUM(F5:F19)</f>
        <v>498</v>
      </c>
      <c r="G20" s="6" t="n">
        <f>SUM(G5:G19)</f>
        <v>339</v>
      </c>
      <c r="H20" s="6" t="n">
        <f>SUM(H5:H19)</f>
        <v>302</v>
      </c>
      <c r="I20" s="27" t="n">
        <f>IFERROR(E20/(E20+F20),"")</f>
        <v>0.27405247813411077</v>
      </c>
      <c r="J20" s="27" t="n">
        <f>IFERROR(E20/D20,"")</f>
        <v>0.3836734693877551</v>
      </c>
      <c r="K20" s="28" t="n">
        <f>IFERROR(2*I20*J20/(I20+J20),"")</f>
        <v>0.31972789115646255</v>
      </c>
      <c r="N20" s="6" t="str">
        <f>IF(C20=E20+F20+G20,"PASS","FAIL")</f>
        <v>PASS</v>
      </c>
    </row>
    <row r="22">
      <c r="A22" s="2" t="inlineStr">
        <is>
          <t>Per-reference coverage grid (98 reference threats x 5 approaches). Covered = a Primary TP exists for that approach/scenario; FN = no Primary TP.</t>
        </is>
      </c>
    </row>
    <row r="23">
      <c r="A23" s="4" t="inlineStr">
        <is>
          <t>Scenario</t>
        </is>
      </c>
      <c r="B23" s="4" t="inlineStr">
        <is>
          <t>Reference Threat ID</t>
        </is>
      </c>
      <c r="C23" s="4" t="inlineStr">
        <is>
          <t>Threat Name</t>
        </is>
      </c>
      <c r="D23" s="4" t="inlineStr">
        <is>
          <t>OWASP</t>
        </is>
      </c>
      <c r="E23" s="4" t="inlineStr">
        <is>
          <t>TMT</t>
        </is>
      </c>
      <c r="F23" s="4" t="inlineStr">
        <is>
          <t>CHATGPT</t>
        </is>
      </c>
      <c r="G23" s="4" t="inlineStr">
        <is>
          <t>OLLAMA</t>
        </is>
      </c>
      <c r="H23" s="4" t="inlineStr">
        <is>
          <t>THREMOLIA</t>
        </is>
      </c>
      <c r="I23" s="4" t="inlineStr">
        <is>
          <t>Covered by # approaches</t>
        </is>
      </c>
    </row>
    <row r="24">
      <c r="A24" s="5" t="inlineStr">
        <is>
          <t>S1</t>
        </is>
      </c>
      <c r="B24" s="5" t="inlineStr">
        <is>
          <t>S1-RT-001</t>
        </is>
      </c>
      <c r="C24" s="7" t="inlineStr">
        <is>
          <t>Online brute-force password guessing</t>
        </is>
      </c>
      <c r="D24" s="5" t="str">
        <f>IF(COUNTIFS('04_MATCHING'!$B$2:$B$1026,"OWASP",'04_MATCHING'!$C$2:$C$1026,$A24,'04_MATCHING'!$G$2:$G$1026,$B24,'04_MATCHING'!$H$2:$H$1026,"Primary TP")&gt;0,"Covered","FN")</f>
        <v>FN</v>
      </c>
      <c r="E24" s="5" t="str">
        <f>IF(COUNTIFS('04_MATCHING'!$B$2:$B$1026,"TMT",'04_MATCHING'!$C$2:$C$1026,$A24,'04_MATCHING'!$G$2:$G$1026,$B24,'04_MATCHING'!$H$2:$H$1026,"Primary TP")&gt;0,"Covered","FN")</f>
        <v>FN</v>
      </c>
      <c r="F24" s="5" t="str">
        <f>IF(COUNTIFS('04_MATCHING'!$B$2:$B$1026,"CHATGPT",'04_MATCHING'!$C$2:$C$1026,$A24,'04_MATCHING'!$G$2:$G$1026,$B24,'04_MATCHING'!$H$2:$H$1026,"Primary TP")&gt;0,"Covered","FN")</f>
        <v>Covered</v>
      </c>
      <c r="G24" s="5" t="str">
        <f>IF(COUNTIFS('04_MATCHING'!$B$2:$B$1026,"OLLAMA",'04_MATCHING'!$C$2:$C$1026,$A24,'04_MATCHING'!$G$2:$G$1026,$B24,'04_MATCHING'!$H$2:$H$1026,"Primary TP")&gt;0,"Covered","FN")</f>
        <v>FN</v>
      </c>
      <c r="H24" s="5" t="str">
        <f>IF(COUNTIFS('04_MATCHING'!$B$2:$B$1026,"THREMOLIA",'04_MATCHING'!$C$2:$C$1026,$A24,'04_MATCHING'!$G$2:$G$1026,$B24,'04_MATCHING'!$H$2:$H$1026,"Primary TP")&gt;0,"Covered","FN")</f>
        <v>FN</v>
      </c>
      <c r="I24" s="5" t="n">
        <f>COUNTIF($D24:$H24,"Covered")</f>
        <v>1.0</v>
      </c>
    </row>
    <row r="25">
      <c r="A25" s="5" t="inlineStr">
        <is>
          <t>S1</t>
        </is>
      </c>
      <c r="B25" s="5" t="inlineStr">
        <is>
          <t>S1-RT-002</t>
        </is>
      </c>
      <c r="C25" s="7" t="inlineStr">
        <is>
          <t>Credential stuffing using breached credential corpora</t>
        </is>
      </c>
      <c r="D25" s="5" t="str">
        <f>IF(COUNTIFS('04_MATCHING'!$B$2:$B$1026,"OWASP",'04_MATCHING'!$C$2:$C$1026,$A25,'04_MATCHING'!$G$2:$G$1026,$B25,'04_MATCHING'!$H$2:$H$1026,"Primary TP")&gt;0,"Covered","FN")</f>
        <v>Covered</v>
      </c>
      <c r="E25" s="5" t="str">
        <f>IF(COUNTIFS('04_MATCHING'!$B$2:$B$1026,"TMT",'04_MATCHING'!$C$2:$C$1026,$A25,'04_MATCHING'!$G$2:$G$1026,$B25,'04_MATCHING'!$H$2:$H$1026,"Primary TP")&gt;0,"Covered","FN")</f>
        <v>FN</v>
      </c>
      <c r="F25" s="5" t="str">
        <f>IF(COUNTIFS('04_MATCHING'!$B$2:$B$1026,"CHATGPT",'04_MATCHING'!$C$2:$C$1026,$A25,'04_MATCHING'!$G$2:$G$1026,$B25,'04_MATCHING'!$H$2:$H$1026,"Primary TP")&gt;0,"Covered","FN")</f>
        <v>FN</v>
      </c>
      <c r="G25" s="5" t="str">
        <f>IF(COUNTIFS('04_MATCHING'!$B$2:$B$1026,"OLLAMA",'04_MATCHING'!$C$2:$C$1026,$A25,'04_MATCHING'!$G$2:$G$1026,$B25,'04_MATCHING'!$H$2:$H$1026,"Primary TP")&gt;0,"Covered","FN")</f>
        <v>FN</v>
      </c>
      <c r="H25" s="5" t="str">
        <f>IF(COUNTIFS('04_MATCHING'!$B$2:$B$1026,"THREMOLIA",'04_MATCHING'!$C$2:$C$1026,$A25,'04_MATCHING'!$G$2:$G$1026,$B25,'04_MATCHING'!$H$2:$H$1026,"Primary TP")&gt;0,"Covered","FN")</f>
        <v>Covered</v>
      </c>
      <c r="I25" s="5" t="n">
        <f>COUNTIF($D25:$H25,"Covered")</f>
        <v>2.0</v>
      </c>
    </row>
    <row r="26">
      <c r="A26" s="5" t="inlineStr">
        <is>
          <t>S1</t>
        </is>
      </c>
      <c r="B26" s="5" t="inlineStr">
        <is>
          <t>S1-RT-003</t>
        </is>
      </c>
      <c r="C26" s="7" t="inlineStr">
        <is>
          <t>Username and account enumeration</t>
        </is>
      </c>
      <c r="D26" s="5" t="str">
        <f>IF(COUNTIFS('04_MATCHING'!$B$2:$B$1026,"OWASP",'04_MATCHING'!$C$2:$C$1026,$A26,'04_MATCHING'!$G$2:$G$1026,$B26,'04_MATCHING'!$H$2:$H$1026,"Primary TP")&gt;0,"Covered","FN")</f>
        <v>FN</v>
      </c>
      <c r="E26" s="5" t="str">
        <f>IF(COUNTIFS('04_MATCHING'!$B$2:$B$1026,"TMT",'04_MATCHING'!$C$2:$C$1026,$A26,'04_MATCHING'!$G$2:$G$1026,$B26,'04_MATCHING'!$H$2:$H$1026,"Primary TP")&gt;0,"Covered","FN")</f>
        <v>FN</v>
      </c>
      <c r="F26" s="5" t="str">
        <f>IF(COUNTIFS('04_MATCHING'!$B$2:$B$1026,"CHATGPT",'04_MATCHING'!$C$2:$C$1026,$A26,'04_MATCHING'!$G$2:$G$1026,$B26,'04_MATCHING'!$H$2:$H$1026,"Primary TP")&gt;0,"Covered","FN")</f>
        <v>Covered</v>
      </c>
      <c r="G26" s="5" t="str">
        <f>IF(COUNTIFS('04_MATCHING'!$B$2:$B$1026,"OLLAMA",'04_MATCHING'!$C$2:$C$1026,$A26,'04_MATCHING'!$G$2:$G$1026,$B26,'04_MATCHING'!$H$2:$H$1026,"Primary TP")&gt;0,"Covered","FN")</f>
        <v>FN</v>
      </c>
      <c r="H26" s="5" t="str">
        <f>IF(COUNTIFS('04_MATCHING'!$B$2:$B$1026,"THREMOLIA",'04_MATCHING'!$C$2:$C$1026,$A26,'04_MATCHING'!$G$2:$G$1026,$B26,'04_MATCHING'!$H$2:$H$1026,"Primary TP")&gt;0,"Covered","FN")</f>
        <v>Covered</v>
      </c>
      <c r="I26" s="5" t="n">
        <f>COUNTIF($D26:$H26,"Covered")</f>
        <v>2.0</v>
      </c>
    </row>
    <row r="27">
      <c r="A27" s="5" t="inlineStr">
        <is>
          <t>S1</t>
        </is>
      </c>
      <c r="B27" s="5" t="inlineStr">
        <is>
          <t>S1-RT-004</t>
        </is>
      </c>
      <c r="C27" s="7" t="inlineStr">
        <is>
          <t>Authentication bypass through flawed authentication logic</t>
        </is>
      </c>
      <c r="D27" s="5" t="str">
        <f>IF(COUNTIFS('04_MATCHING'!$B$2:$B$1026,"OWASP",'04_MATCHING'!$C$2:$C$1026,$A27,'04_MATCHING'!$G$2:$G$1026,$B27,'04_MATCHING'!$H$2:$H$1026,"Primary TP")&gt;0,"Covered","FN")</f>
        <v>FN</v>
      </c>
      <c r="E27" s="5" t="str">
        <f>IF(COUNTIFS('04_MATCHING'!$B$2:$B$1026,"TMT",'04_MATCHING'!$C$2:$C$1026,$A27,'04_MATCHING'!$G$2:$G$1026,$B27,'04_MATCHING'!$H$2:$H$1026,"Primary TP")&gt;0,"Covered","FN")</f>
        <v>FN</v>
      </c>
      <c r="F27" s="5" t="str">
        <f>IF(COUNTIFS('04_MATCHING'!$B$2:$B$1026,"CHATGPT",'04_MATCHING'!$C$2:$C$1026,$A27,'04_MATCHING'!$G$2:$G$1026,$B27,'04_MATCHING'!$H$2:$H$1026,"Primary TP")&gt;0,"Covered","FN")</f>
        <v>Covered</v>
      </c>
      <c r="G27" s="5" t="str">
        <f>IF(COUNTIFS('04_MATCHING'!$B$2:$B$1026,"OLLAMA",'04_MATCHING'!$C$2:$C$1026,$A27,'04_MATCHING'!$G$2:$G$1026,$B27,'04_MATCHING'!$H$2:$H$1026,"Primary TP")&gt;0,"Covered","FN")</f>
        <v>Covered</v>
      </c>
      <c r="H27" s="5" t="str">
        <f>IF(COUNTIFS('04_MATCHING'!$B$2:$B$1026,"THREMOLIA",'04_MATCHING'!$C$2:$C$1026,$A27,'04_MATCHING'!$G$2:$G$1026,$B27,'04_MATCHING'!$H$2:$H$1026,"Primary TP")&gt;0,"Covered","FN")</f>
        <v>Covered</v>
      </c>
      <c r="I27" s="5" t="n">
        <f>COUNTIF($D27:$H27,"Covered")</f>
        <v>3.0</v>
      </c>
    </row>
    <row r="28">
      <c r="A28" s="5" t="inlineStr">
        <is>
          <t>S1</t>
        </is>
      </c>
      <c r="B28" s="5" t="inlineStr">
        <is>
          <t>S1-RT-006</t>
        </is>
      </c>
      <c r="C28" s="7" t="inlineStr">
        <is>
          <t>Exposure of credentials in transit on the authentication paths</t>
        </is>
      </c>
      <c r="D28" s="5" t="str">
        <f>IF(COUNTIFS('04_MATCHING'!$B$2:$B$1026,"OWASP",'04_MATCHING'!$C$2:$C$1026,$A28,'04_MATCHING'!$G$2:$G$1026,$B28,'04_MATCHING'!$H$2:$H$1026,"Primary TP")&gt;0,"Covered","FN")</f>
        <v>FN</v>
      </c>
      <c r="E28" s="5" t="str">
        <f>IF(COUNTIFS('04_MATCHING'!$B$2:$B$1026,"TMT",'04_MATCHING'!$C$2:$C$1026,$A28,'04_MATCHING'!$G$2:$G$1026,$B28,'04_MATCHING'!$H$2:$H$1026,"Primary TP")&gt;0,"Covered","FN")</f>
        <v>FN</v>
      </c>
      <c r="F28" s="5" t="str">
        <f>IF(COUNTIFS('04_MATCHING'!$B$2:$B$1026,"CHATGPT",'04_MATCHING'!$C$2:$C$1026,$A28,'04_MATCHING'!$G$2:$G$1026,$B28,'04_MATCHING'!$H$2:$H$1026,"Primary TP")&gt;0,"Covered","FN")</f>
        <v>FN</v>
      </c>
      <c r="G28" s="5" t="str">
        <f>IF(COUNTIFS('04_MATCHING'!$B$2:$B$1026,"OLLAMA",'04_MATCHING'!$C$2:$C$1026,$A28,'04_MATCHING'!$G$2:$G$1026,$B28,'04_MATCHING'!$H$2:$H$1026,"Primary TP")&gt;0,"Covered","FN")</f>
        <v>FN</v>
      </c>
      <c r="H28" s="5" t="str">
        <f>IF(COUNTIFS('04_MATCHING'!$B$2:$B$1026,"THREMOLIA",'04_MATCHING'!$C$2:$C$1026,$A28,'04_MATCHING'!$G$2:$G$1026,$B28,'04_MATCHING'!$H$2:$H$1026,"Primary TP")&gt;0,"Covered","FN")</f>
        <v>Covered</v>
      </c>
      <c r="I28" s="5" t="n">
        <f>COUNTIF($D28:$H28,"Covered")</f>
        <v>1.0</v>
      </c>
    </row>
    <row r="29">
      <c r="A29" s="5" t="inlineStr">
        <is>
          <t>S1</t>
        </is>
      </c>
      <c r="B29" s="5" t="inlineStr">
        <is>
          <t>S1-RT-008</t>
        </is>
      </c>
      <c r="C29" s="7" t="inlineStr">
        <is>
          <t>Injection into the credential verification exchange</t>
        </is>
      </c>
      <c r="D29" s="5" t="str">
        <f>IF(COUNTIFS('04_MATCHING'!$B$2:$B$1026,"OWASP",'04_MATCHING'!$C$2:$C$1026,$A29,'04_MATCHING'!$G$2:$G$1026,$B29,'04_MATCHING'!$H$2:$H$1026,"Primary TP")&gt;0,"Covered","FN")</f>
        <v>FN</v>
      </c>
      <c r="E29" s="5" t="str">
        <f>IF(COUNTIFS('04_MATCHING'!$B$2:$B$1026,"TMT",'04_MATCHING'!$C$2:$C$1026,$A29,'04_MATCHING'!$G$2:$G$1026,$B29,'04_MATCHING'!$H$2:$H$1026,"Primary TP")&gt;0,"Covered","FN")</f>
        <v>Covered</v>
      </c>
      <c r="F29" s="5" t="str">
        <f>IF(COUNTIFS('04_MATCHING'!$B$2:$B$1026,"CHATGPT",'04_MATCHING'!$C$2:$C$1026,$A29,'04_MATCHING'!$G$2:$G$1026,$B29,'04_MATCHING'!$H$2:$H$1026,"Primary TP")&gt;0,"Covered","FN")</f>
        <v>FN</v>
      </c>
      <c r="G29" s="5" t="str">
        <f>IF(COUNTIFS('04_MATCHING'!$B$2:$B$1026,"OLLAMA",'04_MATCHING'!$C$2:$C$1026,$A29,'04_MATCHING'!$G$2:$G$1026,$B29,'04_MATCHING'!$H$2:$H$1026,"Primary TP")&gt;0,"Covered","FN")</f>
        <v>FN</v>
      </c>
      <c r="H29" s="5" t="str">
        <f>IF(COUNTIFS('04_MATCHING'!$B$2:$B$1026,"THREMOLIA",'04_MATCHING'!$C$2:$C$1026,$A29,'04_MATCHING'!$G$2:$G$1026,$B29,'04_MATCHING'!$H$2:$H$1026,"Primary TP")&gt;0,"Covered","FN")</f>
        <v>Covered</v>
      </c>
      <c r="I29" s="5" t="n">
        <f>COUNTIF($D29:$H29,"Covered")</f>
        <v>2.0</v>
      </c>
    </row>
    <row r="30">
      <c r="A30" s="5" t="inlineStr">
        <is>
          <t>S1</t>
        </is>
      </c>
      <c r="B30" s="5" t="inlineStr">
        <is>
          <t>S1-RT-009</t>
        </is>
      </c>
      <c r="C30" s="7" t="inlineStr">
        <is>
          <t>Excessive database access scope across the application-to-database boundary</t>
        </is>
      </c>
      <c r="D30" s="5" t="str">
        <f>IF(COUNTIFS('04_MATCHING'!$B$2:$B$1026,"OWASP",'04_MATCHING'!$C$2:$C$1026,$A30,'04_MATCHING'!$G$2:$G$1026,$B30,'04_MATCHING'!$H$2:$H$1026,"Primary TP")&gt;0,"Covered","FN")</f>
        <v>FN</v>
      </c>
      <c r="E30" s="5" t="str">
        <f>IF(COUNTIFS('04_MATCHING'!$B$2:$B$1026,"TMT",'04_MATCHING'!$C$2:$C$1026,$A30,'04_MATCHING'!$G$2:$G$1026,$B30,'04_MATCHING'!$H$2:$H$1026,"Primary TP")&gt;0,"Covered","FN")</f>
        <v>FN</v>
      </c>
      <c r="F30" s="5" t="str">
        <f>IF(COUNTIFS('04_MATCHING'!$B$2:$B$1026,"CHATGPT",'04_MATCHING'!$C$2:$C$1026,$A30,'04_MATCHING'!$G$2:$G$1026,$B30,'04_MATCHING'!$H$2:$H$1026,"Primary TP")&gt;0,"Covered","FN")</f>
        <v>FN</v>
      </c>
      <c r="G30" s="5" t="str">
        <f>IF(COUNTIFS('04_MATCHING'!$B$2:$B$1026,"OLLAMA",'04_MATCHING'!$C$2:$C$1026,$A30,'04_MATCHING'!$G$2:$G$1026,$B30,'04_MATCHING'!$H$2:$H$1026,"Primary TP")&gt;0,"Covered","FN")</f>
        <v>FN</v>
      </c>
      <c r="H30" s="5" t="str">
        <f>IF(COUNTIFS('04_MATCHING'!$B$2:$B$1026,"THREMOLIA",'04_MATCHING'!$C$2:$C$1026,$A30,'04_MATCHING'!$G$2:$G$1026,$B30,'04_MATCHING'!$H$2:$H$1026,"Primary TP")&gt;0,"Covered","FN")</f>
        <v>FN</v>
      </c>
      <c r="I30" s="5" t="n">
        <f>COUNTIF($D30:$H30,"Covered")</f>
        <v>0.0</v>
      </c>
    </row>
    <row r="31">
      <c r="A31" s="5" t="inlineStr">
        <is>
          <t>S1</t>
        </is>
      </c>
      <c r="B31" s="5" t="inlineStr">
        <is>
          <t>S1-RT-010</t>
        </is>
      </c>
      <c r="C31" s="7" t="inlineStr">
        <is>
          <t>Broken object-level authorisation on account data</t>
        </is>
      </c>
      <c r="D31" s="5" t="str">
        <f>IF(COUNTIFS('04_MATCHING'!$B$2:$B$1026,"OWASP",'04_MATCHING'!$C$2:$C$1026,$A31,'04_MATCHING'!$G$2:$G$1026,$B31,'04_MATCHING'!$H$2:$H$1026,"Primary TP")&gt;0,"Covered","FN")</f>
        <v>FN</v>
      </c>
      <c r="E31" s="5" t="str">
        <f>IF(COUNTIFS('04_MATCHING'!$B$2:$B$1026,"TMT",'04_MATCHING'!$C$2:$C$1026,$A31,'04_MATCHING'!$G$2:$G$1026,$B31,'04_MATCHING'!$H$2:$H$1026,"Primary TP")&gt;0,"Covered","FN")</f>
        <v>FN</v>
      </c>
      <c r="F31" s="5" t="str">
        <f>IF(COUNTIFS('04_MATCHING'!$B$2:$B$1026,"CHATGPT",'04_MATCHING'!$C$2:$C$1026,$A31,'04_MATCHING'!$G$2:$G$1026,$B31,'04_MATCHING'!$H$2:$H$1026,"Primary TP")&gt;0,"Covered","FN")</f>
        <v>FN</v>
      </c>
      <c r="G31" s="5" t="str">
        <f>IF(COUNTIFS('04_MATCHING'!$B$2:$B$1026,"OLLAMA",'04_MATCHING'!$C$2:$C$1026,$A31,'04_MATCHING'!$G$2:$G$1026,$B31,'04_MATCHING'!$H$2:$H$1026,"Primary TP")&gt;0,"Covered","FN")</f>
        <v>FN</v>
      </c>
      <c r="H31" s="5" t="str">
        <f>IF(COUNTIFS('04_MATCHING'!$B$2:$B$1026,"THREMOLIA",'04_MATCHING'!$C$2:$C$1026,$A31,'04_MATCHING'!$G$2:$G$1026,$B31,'04_MATCHING'!$H$2:$H$1026,"Primary TP")&gt;0,"Covered","FN")</f>
        <v>FN</v>
      </c>
      <c r="I31" s="5" t="n">
        <f>COUNTIF($D31:$H31,"Covered")</f>
        <v>0.0</v>
      </c>
    </row>
    <row r="32">
      <c r="A32" s="5" t="inlineStr">
        <is>
          <t>S1</t>
        </is>
      </c>
      <c r="B32" s="5" t="inlineStr">
        <is>
          <t>S1-RT-011</t>
        </is>
      </c>
      <c r="C32" s="7" t="inlineStr">
        <is>
          <t>Missing authorisation on the chatbot interface</t>
        </is>
      </c>
      <c r="D32" s="5" t="str">
        <f>IF(COUNTIFS('04_MATCHING'!$B$2:$B$1026,"OWASP",'04_MATCHING'!$C$2:$C$1026,$A32,'04_MATCHING'!$G$2:$G$1026,$B32,'04_MATCHING'!$H$2:$H$1026,"Primary TP")&gt;0,"Covered","FN")</f>
        <v>FN</v>
      </c>
      <c r="E32" s="5" t="str">
        <f>IF(COUNTIFS('04_MATCHING'!$B$2:$B$1026,"TMT",'04_MATCHING'!$C$2:$C$1026,$A32,'04_MATCHING'!$G$2:$G$1026,$B32,'04_MATCHING'!$H$2:$H$1026,"Primary TP")&gt;0,"Covered","FN")</f>
        <v>FN</v>
      </c>
      <c r="F32" s="5" t="str">
        <f>IF(COUNTIFS('04_MATCHING'!$B$2:$B$1026,"CHATGPT",'04_MATCHING'!$C$2:$C$1026,$A32,'04_MATCHING'!$G$2:$G$1026,$B32,'04_MATCHING'!$H$2:$H$1026,"Primary TP")&gt;0,"Covered","FN")</f>
        <v>FN</v>
      </c>
      <c r="G32" s="5" t="str">
        <f>IF(COUNTIFS('04_MATCHING'!$B$2:$B$1026,"OLLAMA",'04_MATCHING'!$C$2:$C$1026,$A32,'04_MATCHING'!$G$2:$G$1026,$B32,'04_MATCHING'!$H$2:$H$1026,"Primary TP")&gt;0,"Covered","FN")</f>
        <v>FN</v>
      </c>
      <c r="H32" s="5" t="str">
        <f>IF(COUNTIFS('04_MATCHING'!$B$2:$B$1026,"THREMOLIA",'04_MATCHING'!$C$2:$C$1026,$A32,'04_MATCHING'!$G$2:$G$1026,$B32,'04_MATCHING'!$H$2:$H$1026,"Primary TP")&gt;0,"Covered","FN")</f>
        <v>Covered</v>
      </c>
      <c r="I32" s="5" t="n">
        <f>COUNTIF($D32:$H32,"Covered")</f>
        <v>1.0</v>
      </c>
    </row>
    <row r="33">
      <c r="A33" s="5" t="inlineStr">
        <is>
          <t>S1</t>
        </is>
      </c>
      <c r="B33" s="5" t="inlineStr">
        <is>
          <t>S1-RT-012</t>
        </is>
      </c>
      <c r="C33" s="7" t="inlineStr">
        <is>
          <t>Cross-user context leakage between chatbot sessions</t>
        </is>
      </c>
      <c r="D33" s="5" t="str">
        <f>IF(COUNTIFS('04_MATCHING'!$B$2:$B$1026,"OWASP",'04_MATCHING'!$C$2:$C$1026,$A33,'04_MATCHING'!$G$2:$G$1026,$B33,'04_MATCHING'!$H$2:$H$1026,"Primary TP")&gt;0,"Covered","FN")</f>
        <v>FN</v>
      </c>
      <c r="E33" s="5" t="str">
        <f>IF(COUNTIFS('04_MATCHING'!$B$2:$B$1026,"TMT",'04_MATCHING'!$C$2:$C$1026,$A33,'04_MATCHING'!$G$2:$G$1026,$B33,'04_MATCHING'!$H$2:$H$1026,"Primary TP")&gt;0,"Covered","FN")</f>
        <v>FN</v>
      </c>
      <c r="F33" s="5" t="str">
        <f>IF(COUNTIFS('04_MATCHING'!$B$2:$B$1026,"CHATGPT",'04_MATCHING'!$C$2:$C$1026,$A33,'04_MATCHING'!$G$2:$G$1026,$B33,'04_MATCHING'!$H$2:$H$1026,"Primary TP")&gt;0,"Covered","FN")</f>
        <v>FN</v>
      </c>
      <c r="G33" s="5" t="str">
        <f>IF(COUNTIFS('04_MATCHING'!$B$2:$B$1026,"OLLAMA",'04_MATCHING'!$C$2:$C$1026,$A33,'04_MATCHING'!$G$2:$G$1026,$B33,'04_MATCHING'!$H$2:$H$1026,"Primary TP")&gt;0,"Covered","FN")</f>
        <v>FN</v>
      </c>
      <c r="H33" s="5" t="str">
        <f>IF(COUNTIFS('04_MATCHING'!$B$2:$B$1026,"THREMOLIA",'04_MATCHING'!$C$2:$C$1026,$A33,'04_MATCHING'!$G$2:$G$1026,$B33,'04_MATCHING'!$H$2:$H$1026,"Primary TP")&gt;0,"Covered","FN")</f>
        <v>Covered</v>
      </c>
      <c r="I33" s="5" t="n">
        <f>COUNTIF($D33:$H33,"Covered")</f>
        <v>1.0</v>
      </c>
    </row>
    <row r="34">
      <c r="A34" s="5" t="inlineStr">
        <is>
          <t>S1</t>
        </is>
      </c>
      <c r="B34" s="5" t="inlineStr">
        <is>
          <t>S1-RT-013</t>
        </is>
      </c>
      <c r="C34" s="7" t="inlineStr">
        <is>
          <t>Session fixation on the authentication flow</t>
        </is>
      </c>
      <c r="D34" s="5" t="str">
        <f>IF(COUNTIFS('04_MATCHING'!$B$2:$B$1026,"OWASP",'04_MATCHING'!$C$2:$C$1026,$A34,'04_MATCHING'!$G$2:$G$1026,$B34,'04_MATCHING'!$H$2:$H$1026,"Primary TP")&gt;0,"Covered","FN")</f>
        <v>FN</v>
      </c>
      <c r="E34" s="5" t="str">
        <f>IF(COUNTIFS('04_MATCHING'!$B$2:$B$1026,"TMT",'04_MATCHING'!$C$2:$C$1026,$A34,'04_MATCHING'!$G$2:$G$1026,$B34,'04_MATCHING'!$H$2:$H$1026,"Primary TP")&gt;0,"Covered","FN")</f>
        <v>FN</v>
      </c>
      <c r="F34" s="5" t="str">
        <f>IF(COUNTIFS('04_MATCHING'!$B$2:$B$1026,"CHATGPT",'04_MATCHING'!$C$2:$C$1026,$A34,'04_MATCHING'!$G$2:$G$1026,$B34,'04_MATCHING'!$H$2:$H$1026,"Primary TP")&gt;0,"Covered","FN")</f>
        <v>FN</v>
      </c>
      <c r="G34" s="5" t="str">
        <f>IF(COUNTIFS('04_MATCHING'!$B$2:$B$1026,"OLLAMA",'04_MATCHING'!$C$2:$C$1026,$A34,'04_MATCHING'!$G$2:$G$1026,$B34,'04_MATCHING'!$H$2:$H$1026,"Primary TP")&gt;0,"Covered","FN")</f>
        <v>FN</v>
      </c>
      <c r="H34" s="5" t="str">
        <f>IF(COUNTIFS('04_MATCHING'!$B$2:$B$1026,"THREMOLIA",'04_MATCHING'!$C$2:$C$1026,$A34,'04_MATCHING'!$G$2:$G$1026,$B34,'04_MATCHING'!$H$2:$H$1026,"Primary TP")&gt;0,"Covered","FN")</f>
        <v>Covered</v>
      </c>
      <c r="I34" s="5" t="n">
        <f>COUNTIF($D34:$H34,"Covered")</f>
        <v>1.0</v>
      </c>
    </row>
    <row r="35">
      <c r="A35" s="5" t="inlineStr">
        <is>
          <t>S1</t>
        </is>
      </c>
      <c r="B35" s="5" t="inlineStr">
        <is>
          <t>S1-RT-014</t>
        </is>
      </c>
      <c r="C35" s="7" t="inlineStr">
        <is>
          <t>Session token theft at the delivery and persistence crossings</t>
        </is>
      </c>
      <c r="D35" s="5" t="str">
        <f>IF(COUNTIFS('04_MATCHING'!$B$2:$B$1026,"OWASP",'04_MATCHING'!$C$2:$C$1026,$A35,'04_MATCHING'!$G$2:$G$1026,$B35,'04_MATCHING'!$H$2:$H$1026,"Primary TP")&gt;0,"Covered","FN")</f>
        <v>Covered</v>
      </c>
      <c r="E35" s="5" t="str">
        <f>IF(COUNTIFS('04_MATCHING'!$B$2:$B$1026,"TMT",'04_MATCHING'!$C$2:$C$1026,$A35,'04_MATCHING'!$G$2:$G$1026,$B35,'04_MATCHING'!$H$2:$H$1026,"Primary TP")&gt;0,"Covered","FN")</f>
        <v>Covered</v>
      </c>
      <c r="F35" s="5" t="str">
        <f>IF(COUNTIFS('04_MATCHING'!$B$2:$B$1026,"CHATGPT",'04_MATCHING'!$C$2:$C$1026,$A35,'04_MATCHING'!$G$2:$G$1026,$B35,'04_MATCHING'!$H$2:$H$1026,"Primary TP")&gt;0,"Covered","FN")</f>
        <v>Covered</v>
      </c>
      <c r="G35" s="5" t="str">
        <f>IF(COUNTIFS('04_MATCHING'!$B$2:$B$1026,"OLLAMA",'04_MATCHING'!$C$2:$C$1026,$A35,'04_MATCHING'!$G$2:$G$1026,$B35,'04_MATCHING'!$H$2:$H$1026,"Primary TP")&gt;0,"Covered","FN")</f>
        <v>FN</v>
      </c>
      <c r="H35" s="5" t="str">
        <f>IF(COUNTIFS('04_MATCHING'!$B$2:$B$1026,"THREMOLIA",'04_MATCHING'!$C$2:$C$1026,$A35,'04_MATCHING'!$G$2:$G$1026,$B35,'04_MATCHING'!$H$2:$H$1026,"Primary TP")&gt;0,"Covered","FN")</f>
        <v>Covered</v>
      </c>
      <c r="I35" s="5" t="n">
        <f>COUNTIF($D35:$H35,"Covered")</f>
        <v>4.0</v>
      </c>
    </row>
    <row r="36">
      <c r="A36" s="5" t="inlineStr">
        <is>
          <t>S1</t>
        </is>
      </c>
      <c r="B36" s="5" t="inlineStr">
        <is>
          <t>S1-RT-015</t>
        </is>
      </c>
      <c r="C36" s="7" t="inlineStr">
        <is>
          <t>Predictable or weakly generated session tokens</t>
        </is>
      </c>
      <c r="D36" s="5" t="str">
        <f>IF(COUNTIFS('04_MATCHING'!$B$2:$B$1026,"OWASP",'04_MATCHING'!$C$2:$C$1026,$A36,'04_MATCHING'!$G$2:$G$1026,$B36,'04_MATCHING'!$H$2:$H$1026,"Primary TP")&gt;0,"Covered","FN")</f>
        <v>FN</v>
      </c>
      <c r="E36" s="5" t="str">
        <f>IF(COUNTIFS('04_MATCHING'!$B$2:$B$1026,"TMT",'04_MATCHING'!$C$2:$C$1026,$A36,'04_MATCHING'!$G$2:$G$1026,$B36,'04_MATCHING'!$H$2:$H$1026,"Primary TP")&gt;0,"Covered","FN")</f>
        <v>FN</v>
      </c>
      <c r="F36" s="5" t="str">
        <f>IF(COUNTIFS('04_MATCHING'!$B$2:$B$1026,"CHATGPT",'04_MATCHING'!$C$2:$C$1026,$A36,'04_MATCHING'!$G$2:$G$1026,$B36,'04_MATCHING'!$H$2:$H$1026,"Primary TP")&gt;0,"Covered","FN")</f>
        <v>FN</v>
      </c>
      <c r="G36" s="5" t="str">
        <f>IF(COUNTIFS('04_MATCHING'!$B$2:$B$1026,"OLLAMA",'04_MATCHING'!$C$2:$C$1026,$A36,'04_MATCHING'!$G$2:$G$1026,$B36,'04_MATCHING'!$H$2:$H$1026,"Primary TP")&gt;0,"Covered","FN")</f>
        <v>FN</v>
      </c>
      <c r="H36" s="5" t="str">
        <f>IF(COUNTIFS('04_MATCHING'!$B$2:$B$1026,"THREMOLIA",'04_MATCHING'!$C$2:$C$1026,$A36,'04_MATCHING'!$G$2:$G$1026,$B36,'04_MATCHING'!$H$2:$H$1026,"Primary TP")&gt;0,"Covered","FN")</f>
        <v>Covered</v>
      </c>
      <c r="I36" s="5" t="n">
        <f>COUNTIF($D36:$H36,"Covered")</f>
        <v>1.0</v>
      </c>
    </row>
    <row r="37">
      <c r="A37" s="5" t="inlineStr">
        <is>
          <t>S1</t>
        </is>
      </c>
      <c r="B37" s="5" t="inlineStr">
        <is>
          <t>S1-RT-016</t>
        </is>
      </c>
      <c r="C37" s="7" t="inlineStr">
        <is>
          <t>Token replay and absent session invalidation</t>
        </is>
      </c>
      <c r="D37" s="5" t="str">
        <f>IF(COUNTIFS('04_MATCHING'!$B$2:$B$1026,"OWASP",'04_MATCHING'!$C$2:$C$1026,$A37,'04_MATCHING'!$G$2:$G$1026,$B37,'04_MATCHING'!$H$2:$H$1026,"Primary TP")&gt;0,"Covered","FN")</f>
        <v>FN</v>
      </c>
      <c r="E37" s="5" t="str">
        <f>IF(COUNTIFS('04_MATCHING'!$B$2:$B$1026,"TMT",'04_MATCHING'!$C$2:$C$1026,$A37,'04_MATCHING'!$G$2:$G$1026,$B37,'04_MATCHING'!$H$2:$H$1026,"Primary TP")&gt;0,"Covered","FN")</f>
        <v>FN</v>
      </c>
      <c r="F37" s="5" t="str">
        <f>IF(COUNTIFS('04_MATCHING'!$B$2:$B$1026,"CHATGPT",'04_MATCHING'!$C$2:$C$1026,$A37,'04_MATCHING'!$G$2:$G$1026,$B37,'04_MATCHING'!$H$2:$H$1026,"Primary TP")&gt;0,"Covered","FN")</f>
        <v>FN</v>
      </c>
      <c r="G37" s="5" t="str">
        <f>IF(COUNTIFS('04_MATCHING'!$B$2:$B$1026,"OLLAMA",'04_MATCHING'!$C$2:$C$1026,$A37,'04_MATCHING'!$G$2:$G$1026,$B37,'04_MATCHING'!$H$2:$H$1026,"Primary TP")&gt;0,"Covered","FN")</f>
        <v>FN</v>
      </c>
      <c r="H37" s="5" t="str">
        <f>IF(COUNTIFS('04_MATCHING'!$B$2:$B$1026,"THREMOLIA",'04_MATCHING'!$C$2:$C$1026,$A37,'04_MATCHING'!$G$2:$G$1026,$B37,'04_MATCHING'!$H$2:$H$1026,"Primary TP")&gt;0,"Covered","FN")</f>
        <v>Covered</v>
      </c>
      <c r="I37" s="5" t="n">
        <f>COUNTIF($D37:$H37,"Covered")</f>
        <v>1.0</v>
      </c>
    </row>
    <row r="38">
      <c r="A38" s="5" t="inlineStr">
        <is>
          <t>S1</t>
        </is>
      </c>
      <c r="B38" s="5" t="inlineStr">
        <is>
          <t>S1-RT-017</t>
        </is>
      </c>
      <c r="C38" s="7" t="inlineStr">
        <is>
          <t>Session storage compromise and record tampering</t>
        </is>
      </c>
      <c r="D38" s="5" t="str">
        <f>IF(COUNTIFS('04_MATCHING'!$B$2:$B$1026,"OWASP",'04_MATCHING'!$C$2:$C$1026,$A38,'04_MATCHING'!$G$2:$G$1026,$B38,'04_MATCHING'!$H$2:$H$1026,"Primary TP")&gt;0,"Covered","FN")</f>
        <v>FN</v>
      </c>
      <c r="E38" s="5" t="str">
        <f>IF(COUNTIFS('04_MATCHING'!$B$2:$B$1026,"TMT",'04_MATCHING'!$C$2:$C$1026,$A38,'04_MATCHING'!$G$2:$G$1026,$B38,'04_MATCHING'!$H$2:$H$1026,"Primary TP")&gt;0,"Covered","FN")</f>
        <v>FN</v>
      </c>
      <c r="F38" s="5" t="str">
        <f>IF(COUNTIFS('04_MATCHING'!$B$2:$B$1026,"CHATGPT",'04_MATCHING'!$C$2:$C$1026,$A38,'04_MATCHING'!$G$2:$G$1026,$B38,'04_MATCHING'!$H$2:$H$1026,"Primary TP")&gt;0,"Covered","FN")</f>
        <v>Covered</v>
      </c>
      <c r="G38" s="5" t="str">
        <f>IF(COUNTIFS('04_MATCHING'!$B$2:$B$1026,"OLLAMA",'04_MATCHING'!$C$2:$C$1026,$A38,'04_MATCHING'!$G$2:$G$1026,$B38,'04_MATCHING'!$H$2:$H$1026,"Primary TP")&gt;0,"Covered","FN")</f>
        <v>Covered</v>
      </c>
      <c r="H38" s="5" t="str">
        <f>IF(COUNTIFS('04_MATCHING'!$B$2:$B$1026,"THREMOLIA",'04_MATCHING'!$C$2:$C$1026,$A38,'04_MATCHING'!$G$2:$G$1026,$B38,'04_MATCHING'!$H$2:$H$1026,"Primary TP")&gt;0,"Covered","FN")</f>
        <v>Covered</v>
      </c>
      <c r="I38" s="5" t="n">
        <f>COUNTIF($D38:$H38,"Covered")</f>
        <v>3.0</v>
      </c>
    </row>
    <row r="39">
      <c r="A39" s="5" t="inlineStr">
        <is>
          <t>S1</t>
        </is>
      </c>
      <c r="B39" s="5" t="inlineStr">
        <is>
          <t>S1-RT-018</t>
        </is>
      </c>
      <c r="C39" s="7" t="inlineStr">
        <is>
          <t>Mass disclosure of the user database</t>
        </is>
      </c>
      <c r="D39" s="5" t="str">
        <f>IF(COUNTIFS('04_MATCHING'!$B$2:$B$1026,"OWASP",'04_MATCHING'!$C$2:$C$1026,$A39,'04_MATCHING'!$G$2:$G$1026,$B39,'04_MATCHING'!$H$2:$H$1026,"Primary TP")&gt;0,"Covered","FN")</f>
        <v>Covered</v>
      </c>
      <c r="E39" s="5" t="str">
        <f>IF(COUNTIFS('04_MATCHING'!$B$2:$B$1026,"TMT",'04_MATCHING'!$C$2:$C$1026,$A39,'04_MATCHING'!$G$2:$G$1026,$B39,'04_MATCHING'!$H$2:$H$1026,"Primary TP")&gt;0,"Covered","FN")</f>
        <v>Covered</v>
      </c>
      <c r="F39" s="5" t="str">
        <f>IF(COUNTIFS('04_MATCHING'!$B$2:$B$1026,"CHATGPT",'04_MATCHING'!$C$2:$C$1026,$A39,'04_MATCHING'!$G$2:$G$1026,$B39,'04_MATCHING'!$H$2:$H$1026,"Primary TP")&gt;0,"Covered","FN")</f>
        <v>Covered</v>
      </c>
      <c r="G39" s="5" t="str">
        <f>IF(COUNTIFS('04_MATCHING'!$B$2:$B$1026,"OLLAMA",'04_MATCHING'!$C$2:$C$1026,$A39,'04_MATCHING'!$G$2:$G$1026,$B39,'04_MATCHING'!$H$2:$H$1026,"Primary TP")&gt;0,"Covered","FN")</f>
        <v>Covered</v>
      </c>
      <c r="H39" s="5" t="str">
        <f>IF(COUNTIFS('04_MATCHING'!$B$2:$B$1026,"THREMOLIA",'04_MATCHING'!$C$2:$C$1026,$A39,'04_MATCHING'!$G$2:$G$1026,$B39,'04_MATCHING'!$H$2:$H$1026,"Primary TP")&gt;0,"Covered","FN")</f>
        <v>Covered</v>
      </c>
      <c r="I39" s="5" t="n">
        <f>COUNTIF($D39:$H39,"Covered")</f>
        <v>5.0</v>
      </c>
    </row>
    <row r="40">
      <c r="A40" s="5" t="inlineStr">
        <is>
          <t>S1</t>
        </is>
      </c>
      <c r="B40" s="5" t="inlineStr">
        <is>
          <t>S1-RT-019</t>
        </is>
      </c>
      <c r="C40" s="7" t="inlineStr">
        <is>
          <t>Verbose error and diagnostic disclosure</t>
        </is>
      </c>
      <c r="D40" s="5" t="str">
        <f>IF(COUNTIFS('04_MATCHING'!$B$2:$B$1026,"OWASP",'04_MATCHING'!$C$2:$C$1026,$A40,'04_MATCHING'!$G$2:$G$1026,$B40,'04_MATCHING'!$H$2:$H$1026,"Primary TP")&gt;0,"Covered","FN")</f>
        <v>FN</v>
      </c>
      <c r="E40" s="5" t="str">
        <f>IF(COUNTIFS('04_MATCHING'!$B$2:$B$1026,"TMT",'04_MATCHING'!$C$2:$C$1026,$A40,'04_MATCHING'!$G$2:$G$1026,$B40,'04_MATCHING'!$H$2:$H$1026,"Primary TP")&gt;0,"Covered","FN")</f>
        <v>FN</v>
      </c>
      <c r="F40" s="5" t="str">
        <f>IF(COUNTIFS('04_MATCHING'!$B$2:$B$1026,"CHATGPT",'04_MATCHING'!$C$2:$C$1026,$A40,'04_MATCHING'!$G$2:$G$1026,$B40,'04_MATCHING'!$H$2:$H$1026,"Primary TP")&gt;0,"Covered","FN")</f>
        <v>Covered</v>
      </c>
      <c r="G40" s="5" t="str">
        <f>IF(COUNTIFS('04_MATCHING'!$B$2:$B$1026,"OLLAMA",'04_MATCHING'!$C$2:$C$1026,$A40,'04_MATCHING'!$G$2:$G$1026,$B40,'04_MATCHING'!$H$2:$H$1026,"Primary TP")&gt;0,"Covered","FN")</f>
        <v>FN</v>
      </c>
      <c r="H40" s="5" t="str">
        <f>IF(COUNTIFS('04_MATCHING'!$B$2:$B$1026,"THREMOLIA",'04_MATCHING'!$C$2:$C$1026,$A40,'04_MATCHING'!$G$2:$G$1026,$B40,'04_MATCHING'!$H$2:$H$1026,"Primary TP")&gt;0,"Covered","FN")</f>
        <v>Covered</v>
      </c>
      <c r="I40" s="5" t="n">
        <f>COUNTIF($D40:$H40,"Covered")</f>
        <v>2.0</v>
      </c>
    </row>
    <row r="41">
      <c r="A41" s="5" t="inlineStr">
        <is>
          <t>S1</t>
        </is>
      </c>
      <c r="B41" s="5" t="inlineStr">
        <is>
          <t>S1-RT-020</t>
        </is>
      </c>
      <c r="C41" s="7" t="inlineStr">
        <is>
          <t>Exposure of the external service API credential</t>
        </is>
      </c>
      <c r="D41" s="5" t="str">
        <f>IF(COUNTIFS('04_MATCHING'!$B$2:$B$1026,"OWASP",'04_MATCHING'!$C$2:$C$1026,$A41,'04_MATCHING'!$G$2:$G$1026,$B41,'04_MATCHING'!$H$2:$H$1026,"Primary TP")&gt;0,"Covered","FN")</f>
        <v>FN</v>
      </c>
      <c r="E41" s="5" t="str">
        <f>IF(COUNTIFS('04_MATCHING'!$B$2:$B$1026,"TMT",'04_MATCHING'!$C$2:$C$1026,$A41,'04_MATCHING'!$G$2:$G$1026,$B41,'04_MATCHING'!$H$2:$H$1026,"Primary TP")&gt;0,"Covered","FN")</f>
        <v>FN</v>
      </c>
      <c r="F41" s="5" t="str">
        <f>IF(COUNTIFS('04_MATCHING'!$B$2:$B$1026,"CHATGPT",'04_MATCHING'!$C$2:$C$1026,$A41,'04_MATCHING'!$G$2:$G$1026,$B41,'04_MATCHING'!$H$2:$H$1026,"Primary TP")&gt;0,"Covered","FN")</f>
        <v>Covered</v>
      </c>
      <c r="G41" s="5" t="str">
        <f>IF(COUNTIFS('04_MATCHING'!$B$2:$B$1026,"OLLAMA",'04_MATCHING'!$C$2:$C$1026,$A41,'04_MATCHING'!$G$2:$G$1026,$B41,'04_MATCHING'!$H$2:$H$1026,"Primary TP")&gt;0,"Covered","FN")</f>
        <v>FN</v>
      </c>
      <c r="H41" s="5" t="str">
        <f>IF(COUNTIFS('04_MATCHING'!$B$2:$B$1026,"THREMOLIA",'04_MATCHING'!$C$2:$C$1026,$A41,'04_MATCHING'!$G$2:$G$1026,$B41,'04_MATCHING'!$H$2:$H$1026,"Primary TP")&gt;0,"Covered","FN")</f>
        <v>Covered</v>
      </c>
      <c r="I41" s="5" t="n">
        <f>COUNTIF($D41:$H41,"Covered")</f>
        <v>2.0</v>
      </c>
    </row>
    <row r="42">
      <c r="A42" s="5" t="inlineStr">
        <is>
          <t>S1</t>
        </is>
      </c>
      <c r="B42" s="5" t="inlineStr">
        <is>
          <t>S1-RT-021</t>
        </is>
      </c>
      <c r="C42" s="7" t="inlineStr">
        <is>
          <t>Unspecified attribution of security-relevant actions</t>
        </is>
      </c>
      <c r="D42" s="5" t="str">
        <f>IF(COUNTIFS('04_MATCHING'!$B$2:$B$1026,"OWASP",'04_MATCHING'!$C$2:$C$1026,$A42,'04_MATCHING'!$G$2:$G$1026,$B42,'04_MATCHING'!$H$2:$H$1026,"Primary TP")&gt;0,"Covered","FN")</f>
        <v>FN</v>
      </c>
      <c r="E42" s="5" t="str">
        <f>IF(COUNTIFS('04_MATCHING'!$B$2:$B$1026,"TMT",'04_MATCHING'!$C$2:$C$1026,$A42,'04_MATCHING'!$G$2:$G$1026,$B42,'04_MATCHING'!$H$2:$H$1026,"Primary TP")&gt;0,"Covered","FN")</f>
        <v>Covered</v>
      </c>
      <c r="F42" s="5" t="str">
        <f>IF(COUNTIFS('04_MATCHING'!$B$2:$B$1026,"CHATGPT",'04_MATCHING'!$C$2:$C$1026,$A42,'04_MATCHING'!$G$2:$G$1026,$B42,'04_MATCHING'!$H$2:$H$1026,"Primary TP")&gt;0,"Covered","FN")</f>
        <v>FN</v>
      </c>
      <c r="G42" s="5" t="str">
        <f>IF(COUNTIFS('04_MATCHING'!$B$2:$B$1026,"OLLAMA",'04_MATCHING'!$C$2:$C$1026,$A42,'04_MATCHING'!$G$2:$G$1026,$B42,'04_MATCHING'!$H$2:$H$1026,"Primary TP")&gt;0,"Covered","FN")</f>
        <v>FN</v>
      </c>
      <c r="H42" s="5" t="str">
        <f>IF(COUNTIFS('04_MATCHING'!$B$2:$B$1026,"THREMOLIA",'04_MATCHING'!$C$2:$C$1026,$A42,'04_MATCHING'!$G$2:$G$1026,$B42,'04_MATCHING'!$H$2:$H$1026,"Primary TP")&gt;0,"Covered","FN")</f>
        <v>Covered</v>
      </c>
      <c r="I42" s="5" t="n">
        <f>COUNTIF($D42:$H42,"Covered")</f>
        <v>2.0</v>
      </c>
    </row>
    <row r="43">
      <c r="A43" s="5" t="inlineStr">
        <is>
          <t>S1</t>
        </is>
      </c>
      <c r="B43" s="5" t="inlineStr">
        <is>
          <t>S1-RT-022</t>
        </is>
      </c>
      <c r="C43" s="7" t="inlineStr">
        <is>
          <t>Direct prompt injection</t>
        </is>
      </c>
      <c r="D43" s="5" t="str">
        <f>IF(COUNTIFS('04_MATCHING'!$B$2:$B$1026,"OWASP",'04_MATCHING'!$C$2:$C$1026,$A43,'04_MATCHING'!$G$2:$G$1026,$B43,'04_MATCHING'!$H$2:$H$1026,"Primary TP")&gt;0,"Covered","FN")</f>
        <v>FN</v>
      </c>
      <c r="E43" s="5" t="str">
        <f>IF(COUNTIFS('04_MATCHING'!$B$2:$B$1026,"TMT",'04_MATCHING'!$C$2:$C$1026,$A43,'04_MATCHING'!$G$2:$G$1026,$B43,'04_MATCHING'!$H$2:$H$1026,"Primary TP")&gt;0,"Covered","FN")</f>
        <v>Covered</v>
      </c>
      <c r="F43" s="5" t="str">
        <f>IF(COUNTIFS('04_MATCHING'!$B$2:$B$1026,"CHATGPT",'04_MATCHING'!$C$2:$C$1026,$A43,'04_MATCHING'!$G$2:$G$1026,$B43,'04_MATCHING'!$H$2:$H$1026,"Primary TP")&gt;0,"Covered","FN")</f>
        <v>Covered</v>
      </c>
      <c r="G43" s="5" t="str">
        <f>IF(COUNTIFS('04_MATCHING'!$B$2:$B$1026,"OLLAMA",'04_MATCHING'!$C$2:$C$1026,$A43,'04_MATCHING'!$G$2:$G$1026,$B43,'04_MATCHING'!$H$2:$H$1026,"Primary TP")&gt;0,"Covered","FN")</f>
        <v>Covered</v>
      </c>
      <c r="H43" s="5" t="str">
        <f>IF(COUNTIFS('04_MATCHING'!$B$2:$B$1026,"THREMOLIA",'04_MATCHING'!$C$2:$C$1026,$A43,'04_MATCHING'!$G$2:$G$1026,$B43,'04_MATCHING'!$H$2:$H$1026,"Primary TP")&gt;0,"Covered","FN")</f>
        <v>Covered</v>
      </c>
      <c r="I43" s="5" t="n">
        <f>COUNTIF($D43:$H43,"Covered")</f>
        <v>4.0</v>
      </c>
    </row>
    <row r="44">
      <c r="A44" s="5" t="inlineStr">
        <is>
          <t>S1</t>
        </is>
      </c>
      <c r="B44" s="5" t="inlineStr">
        <is>
          <t>S1-RT-023</t>
        </is>
      </c>
      <c r="C44" s="7" t="inlineStr">
        <is>
          <t>Indirect prompt injection through the context repository</t>
        </is>
      </c>
      <c r="D44" s="5" t="str">
        <f>IF(COUNTIFS('04_MATCHING'!$B$2:$B$1026,"OWASP",'04_MATCHING'!$C$2:$C$1026,$A44,'04_MATCHING'!$G$2:$G$1026,$B44,'04_MATCHING'!$H$2:$H$1026,"Primary TP")&gt;0,"Covered","FN")</f>
        <v>Covered</v>
      </c>
      <c r="E44" s="5" t="str">
        <f>IF(COUNTIFS('04_MATCHING'!$B$2:$B$1026,"TMT",'04_MATCHING'!$C$2:$C$1026,$A44,'04_MATCHING'!$G$2:$G$1026,$B44,'04_MATCHING'!$H$2:$H$1026,"Primary TP")&gt;0,"Covered","FN")</f>
        <v>FN</v>
      </c>
      <c r="F44" s="5" t="str">
        <f>IF(COUNTIFS('04_MATCHING'!$B$2:$B$1026,"CHATGPT",'04_MATCHING'!$C$2:$C$1026,$A44,'04_MATCHING'!$G$2:$G$1026,$B44,'04_MATCHING'!$H$2:$H$1026,"Primary TP")&gt;0,"Covered","FN")</f>
        <v>Covered</v>
      </c>
      <c r="G44" s="5" t="str">
        <f>IF(COUNTIFS('04_MATCHING'!$B$2:$B$1026,"OLLAMA",'04_MATCHING'!$C$2:$C$1026,$A44,'04_MATCHING'!$G$2:$G$1026,$B44,'04_MATCHING'!$H$2:$H$1026,"Primary TP")&gt;0,"Covered","FN")</f>
        <v>FN</v>
      </c>
      <c r="H44" s="5" t="str">
        <f>IF(COUNTIFS('04_MATCHING'!$B$2:$B$1026,"THREMOLIA",'04_MATCHING'!$C$2:$C$1026,$A44,'04_MATCHING'!$G$2:$G$1026,$B44,'04_MATCHING'!$H$2:$H$1026,"Primary TP")&gt;0,"Covered","FN")</f>
        <v>Covered</v>
      </c>
      <c r="I44" s="5" t="n">
        <f>COUNTIF($D44:$H44,"Covered")</f>
        <v>3.0</v>
      </c>
    </row>
    <row r="45">
      <c r="A45" s="5" t="inlineStr">
        <is>
          <t>S1</t>
        </is>
      </c>
      <c r="B45" s="5" t="inlineStr">
        <is>
          <t>S1-RT-024</t>
        </is>
      </c>
      <c r="C45" s="7" t="inlineStr">
        <is>
          <t>Sensitive information disclosure to the external LLM provider</t>
        </is>
      </c>
      <c r="D45" s="5" t="str">
        <f>IF(COUNTIFS('04_MATCHING'!$B$2:$B$1026,"OWASP",'04_MATCHING'!$C$2:$C$1026,$A45,'04_MATCHING'!$G$2:$G$1026,$B45,'04_MATCHING'!$H$2:$H$1026,"Primary TP")&gt;0,"Covered","FN")</f>
        <v>FN</v>
      </c>
      <c r="E45" s="5" t="str">
        <f>IF(COUNTIFS('04_MATCHING'!$B$2:$B$1026,"TMT",'04_MATCHING'!$C$2:$C$1026,$A45,'04_MATCHING'!$G$2:$G$1026,$B45,'04_MATCHING'!$H$2:$H$1026,"Primary TP")&gt;0,"Covered","FN")</f>
        <v>FN</v>
      </c>
      <c r="F45" s="5" t="str">
        <f>IF(COUNTIFS('04_MATCHING'!$B$2:$B$1026,"CHATGPT",'04_MATCHING'!$C$2:$C$1026,$A45,'04_MATCHING'!$G$2:$G$1026,$B45,'04_MATCHING'!$H$2:$H$1026,"Primary TP")&gt;0,"Covered","FN")</f>
        <v>Covered</v>
      </c>
      <c r="G45" s="5" t="str">
        <f>IF(COUNTIFS('04_MATCHING'!$B$2:$B$1026,"OLLAMA",'04_MATCHING'!$C$2:$C$1026,$A45,'04_MATCHING'!$G$2:$G$1026,$B45,'04_MATCHING'!$H$2:$H$1026,"Primary TP")&gt;0,"Covered","FN")</f>
        <v>FN</v>
      </c>
      <c r="H45" s="5" t="str">
        <f>IF(COUNTIFS('04_MATCHING'!$B$2:$B$1026,"THREMOLIA",'04_MATCHING'!$C$2:$C$1026,$A45,'04_MATCHING'!$G$2:$G$1026,$B45,'04_MATCHING'!$H$2:$H$1026,"Primary TP")&gt;0,"Covered","FN")</f>
        <v>Covered</v>
      </c>
      <c r="I45" s="5" t="n">
        <f>COUNTIF($D45:$H45,"Covered")</f>
        <v>2.0</v>
      </c>
    </row>
    <row r="46">
      <c r="A46" s="5" t="inlineStr">
        <is>
          <t>S1</t>
        </is>
      </c>
      <c r="B46" s="5" t="inlineStr">
        <is>
          <t>S1-RT-025</t>
        </is>
      </c>
      <c r="C46" s="7" t="inlineStr">
        <is>
          <t>System prompt and instruction extraction</t>
        </is>
      </c>
      <c r="D46" s="5" t="str">
        <f>IF(COUNTIFS('04_MATCHING'!$B$2:$B$1026,"OWASP",'04_MATCHING'!$C$2:$C$1026,$A46,'04_MATCHING'!$G$2:$G$1026,$B46,'04_MATCHING'!$H$2:$H$1026,"Primary TP")&gt;0,"Covered","FN")</f>
        <v>FN</v>
      </c>
      <c r="E46" s="5" t="str">
        <f>IF(COUNTIFS('04_MATCHING'!$B$2:$B$1026,"TMT",'04_MATCHING'!$C$2:$C$1026,$A46,'04_MATCHING'!$G$2:$G$1026,$B46,'04_MATCHING'!$H$2:$H$1026,"Primary TP")&gt;0,"Covered","FN")</f>
        <v>FN</v>
      </c>
      <c r="F46" s="5" t="str">
        <f>IF(COUNTIFS('04_MATCHING'!$B$2:$B$1026,"CHATGPT",'04_MATCHING'!$C$2:$C$1026,$A46,'04_MATCHING'!$G$2:$G$1026,$B46,'04_MATCHING'!$H$2:$H$1026,"Primary TP")&gt;0,"Covered","FN")</f>
        <v>Covered</v>
      </c>
      <c r="G46" s="5" t="str">
        <f>IF(COUNTIFS('04_MATCHING'!$B$2:$B$1026,"OLLAMA",'04_MATCHING'!$C$2:$C$1026,$A46,'04_MATCHING'!$G$2:$G$1026,$B46,'04_MATCHING'!$H$2:$H$1026,"Primary TP")&gt;0,"Covered","FN")</f>
        <v>FN</v>
      </c>
      <c r="H46" s="5" t="str">
        <f>IF(COUNTIFS('04_MATCHING'!$B$2:$B$1026,"THREMOLIA",'04_MATCHING'!$C$2:$C$1026,$A46,'04_MATCHING'!$G$2:$G$1026,$B46,'04_MATCHING'!$H$2:$H$1026,"Primary TP")&gt;0,"Covered","FN")</f>
        <v>FN</v>
      </c>
      <c r="I46" s="5" t="n">
        <f>COUNTIF($D46:$H46,"Covered")</f>
        <v>1.0</v>
      </c>
    </row>
    <row r="47">
      <c r="A47" s="5" t="inlineStr">
        <is>
          <t>S1</t>
        </is>
      </c>
      <c r="B47" s="5" t="inlineStr">
        <is>
          <t>S1-RT-026</t>
        </is>
      </c>
      <c r="C47" s="7" t="inlineStr">
        <is>
          <t>Disclosure of knowledge-base and context content through the assistant</t>
        </is>
      </c>
      <c r="D47" s="5" t="str">
        <f>IF(COUNTIFS('04_MATCHING'!$B$2:$B$1026,"OWASP",'04_MATCHING'!$C$2:$C$1026,$A47,'04_MATCHING'!$G$2:$G$1026,$B47,'04_MATCHING'!$H$2:$H$1026,"Primary TP")&gt;0,"Covered","FN")</f>
        <v>FN</v>
      </c>
      <c r="E47" s="5" t="str">
        <f>IF(COUNTIFS('04_MATCHING'!$B$2:$B$1026,"TMT",'04_MATCHING'!$C$2:$C$1026,$A47,'04_MATCHING'!$G$2:$G$1026,$B47,'04_MATCHING'!$H$2:$H$1026,"Primary TP")&gt;0,"Covered","FN")</f>
        <v>FN</v>
      </c>
      <c r="F47" s="5" t="str">
        <f>IF(COUNTIFS('04_MATCHING'!$B$2:$B$1026,"CHATGPT",'04_MATCHING'!$C$2:$C$1026,$A47,'04_MATCHING'!$G$2:$G$1026,$B47,'04_MATCHING'!$H$2:$H$1026,"Primary TP")&gt;0,"Covered","FN")</f>
        <v>Covered</v>
      </c>
      <c r="G47" s="5" t="str">
        <f>IF(COUNTIFS('04_MATCHING'!$B$2:$B$1026,"OLLAMA",'04_MATCHING'!$C$2:$C$1026,$A47,'04_MATCHING'!$G$2:$G$1026,$B47,'04_MATCHING'!$H$2:$H$1026,"Primary TP")&gt;0,"Covered","FN")</f>
        <v>FN</v>
      </c>
      <c r="H47" s="5" t="str">
        <f>IF(COUNTIFS('04_MATCHING'!$B$2:$B$1026,"THREMOLIA",'04_MATCHING'!$C$2:$C$1026,$A47,'04_MATCHING'!$G$2:$G$1026,$B47,'04_MATCHING'!$H$2:$H$1026,"Primary TP")&gt;0,"Covered","FN")</f>
        <v>Covered</v>
      </c>
      <c r="I47" s="5" t="n">
        <f>COUNTIF($D47:$H47,"Covered")</f>
        <v>2.0</v>
      </c>
    </row>
    <row r="48">
      <c r="A48" s="5" t="inlineStr">
        <is>
          <t>S1</t>
        </is>
      </c>
      <c r="B48" s="5" t="inlineStr">
        <is>
          <t>S1-RT-027</t>
        </is>
      </c>
      <c r="C48" s="7" t="inlineStr">
        <is>
          <t>Conditional provider-side exposure of submitted prompts</t>
        </is>
      </c>
      <c r="D48" s="5" t="str">
        <f>IF(COUNTIFS('04_MATCHING'!$B$2:$B$1026,"OWASP",'04_MATCHING'!$C$2:$C$1026,$A48,'04_MATCHING'!$G$2:$G$1026,$B48,'04_MATCHING'!$H$2:$H$1026,"Primary TP")&gt;0,"Covered","FN")</f>
        <v>FN</v>
      </c>
      <c r="E48" s="5" t="str">
        <f>IF(COUNTIFS('04_MATCHING'!$B$2:$B$1026,"TMT",'04_MATCHING'!$C$2:$C$1026,$A48,'04_MATCHING'!$G$2:$G$1026,$B48,'04_MATCHING'!$H$2:$H$1026,"Primary TP")&gt;0,"Covered","FN")</f>
        <v>FN</v>
      </c>
      <c r="F48" s="5" t="str">
        <f>IF(COUNTIFS('04_MATCHING'!$B$2:$B$1026,"CHATGPT",'04_MATCHING'!$C$2:$C$1026,$A48,'04_MATCHING'!$G$2:$G$1026,$B48,'04_MATCHING'!$H$2:$H$1026,"Primary TP")&gt;0,"Covered","FN")</f>
        <v>FN</v>
      </c>
      <c r="G48" s="5" t="str">
        <f>IF(COUNTIFS('04_MATCHING'!$B$2:$B$1026,"OLLAMA",'04_MATCHING'!$C$2:$C$1026,$A48,'04_MATCHING'!$G$2:$G$1026,$B48,'04_MATCHING'!$H$2:$H$1026,"Primary TP")&gt;0,"Covered","FN")</f>
        <v>FN</v>
      </c>
      <c r="H48" s="5" t="str">
        <f>IF(COUNTIFS('04_MATCHING'!$B$2:$B$1026,"THREMOLIA",'04_MATCHING'!$C$2:$C$1026,$A48,'04_MATCHING'!$G$2:$G$1026,$B48,'04_MATCHING'!$H$2:$H$1026,"Primary TP")&gt;0,"Covered","FN")</f>
        <v>FN</v>
      </c>
      <c r="I48" s="5" t="n">
        <f>COUNTIF($D48:$H48,"Covered")</f>
        <v>0.0</v>
      </c>
    </row>
    <row r="49">
      <c r="A49" s="5" t="inlineStr">
        <is>
          <t>S1</t>
        </is>
      </c>
      <c r="B49" s="5" t="inlineStr">
        <is>
          <t>S1-RT-028</t>
        </is>
      </c>
      <c r="C49" s="7" t="inlineStr">
        <is>
          <t>Denial of service against the authentication service</t>
        </is>
      </c>
      <c r="D49" s="5" t="str">
        <f>IF(COUNTIFS('04_MATCHING'!$B$2:$B$1026,"OWASP",'04_MATCHING'!$C$2:$C$1026,$A49,'04_MATCHING'!$G$2:$G$1026,$B49,'04_MATCHING'!$H$2:$H$1026,"Primary TP")&gt;0,"Covered","FN")</f>
        <v>Covered</v>
      </c>
      <c r="E49" s="5" t="str">
        <f>IF(COUNTIFS('04_MATCHING'!$B$2:$B$1026,"TMT",'04_MATCHING'!$C$2:$C$1026,$A49,'04_MATCHING'!$G$2:$G$1026,$B49,'04_MATCHING'!$H$2:$H$1026,"Primary TP")&gt;0,"Covered","FN")</f>
        <v>Covered</v>
      </c>
      <c r="F49" s="5" t="str">
        <f>IF(COUNTIFS('04_MATCHING'!$B$2:$B$1026,"CHATGPT",'04_MATCHING'!$C$2:$C$1026,$A49,'04_MATCHING'!$G$2:$G$1026,$B49,'04_MATCHING'!$H$2:$H$1026,"Primary TP")&gt;0,"Covered","FN")</f>
        <v>Covered</v>
      </c>
      <c r="G49" s="5" t="str">
        <f>IF(COUNTIFS('04_MATCHING'!$B$2:$B$1026,"OLLAMA",'04_MATCHING'!$C$2:$C$1026,$A49,'04_MATCHING'!$G$2:$G$1026,$B49,'04_MATCHING'!$H$2:$H$1026,"Primary TP")&gt;0,"Covered","FN")</f>
        <v>FN</v>
      </c>
      <c r="H49" s="5" t="str">
        <f>IF(COUNTIFS('04_MATCHING'!$B$2:$B$1026,"THREMOLIA",'04_MATCHING'!$C$2:$C$1026,$A49,'04_MATCHING'!$G$2:$G$1026,$B49,'04_MATCHING'!$H$2:$H$1026,"Primary TP")&gt;0,"Covered","FN")</f>
        <v>Covered</v>
      </c>
      <c r="I49" s="5" t="n">
        <f>COUNTIF($D49:$H49,"Covered")</f>
        <v>4.0</v>
      </c>
    </row>
    <row r="50">
      <c r="A50" s="5" t="inlineStr">
        <is>
          <t>S1</t>
        </is>
      </c>
      <c r="B50" s="5" t="inlineStr">
        <is>
          <t>S1-RT-029</t>
        </is>
      </c>
      <c r="C50" s="7" t="inlineStr">
        <is>
          <t>External LLM provider unavailability or degradation</t>
        </is>
      </c>
      <c r="D50" s="5" t="str">
        <f>IF(COUNTIFS('04_MATCHING'!$B$2:$B$1026,"OWASP",'04_MATCHING'!$C$2:$C$1026,$A50,'04_MATCHING'!$G$2:$G$1026,$B50,'04_MATCHING'!$H$2:$H$1026,"Primary TP")&gt;0,"Covered","FN")</f>
        <v>FN</v>
      </c>
      <c r="E50" s="5" t="str">
        <f>IF(COUNTIFS('04_MATCHING'!$B$2:$B$1026,"TMT",'04_MATCHING'!$C$2:$C$1026,$A50,'04_MATCHING'!$G$2:$G$1026,$B50,'04_MATCHING'!$H$2:$H$1026,"Primary TP")&gt;0,"Covered","FN")</f>
        <v>Covered</v>
      </c>
      <c r="F50" s="5" t="str">
        <f>IF(COUNTIFS('04_MATCHING'!$B$2:$B$1026,"CHATGPT",'04_MATCHING'!$C$2:$C$1026,$A50,'04_MATCHING'!$G$2:$G$1026,$B50,'04_MATCHING'!$H$2:$H$1026,"Primary TP")&gt;0,"Covered","FN")</f>
        <v>Covered</v>
      </c>
      <c r="G50" s="5" t="str">
        <f>IF(COUNTIFS('04_MATCHING'!$B$2:$B$1026,"OLLAMA",'04_MATCHING'!$C$2:$C$1026,$A50,'04_MATCHING'!$G$2:$G$1026,$B50,'04_MATCHING'!$H$2:$H$1026,"Primary TP")&gt;0,"Covered","FN")</f>
        <v>FN</v>
      </c>
      <c r="H50" s="5" t="str">
        <f>IF(COUNTIFS('04_MATCHING'!$B$2:$B$1026,"THREMOLIA",'04_MATCHING'!$C$2:$C$1026,$A50,'04_MATCHING'!$G$2:$G$1026,$B50,'04_MATCHING'!$H$2:$H$1026,"Primary TP")&gt;0,"Covered","FN")</f>
        <v>Covered</v>
      </c>
      <c r="I50" s="5" t="n">
        <f>COUNTIF($D50:$H50,"Covered")</f>
        <v>3.0</v>
      </c>
    </row>
    <row r="51">
      <c r="A51" s="5" t="inlineStr">
        <is>
          <t>S1</t>
        </is>
      </c>
      <c r="B51" s="5" t="inlineStr">
        <is>
          <t>S1-RT-030</t>
        </is>
      </c>
      <c r="C51" s="7" t="inlineStr">
        <is>
          <t>Unbounded consumption of the LLM processing pipeline</t>
        </is>
      </c>
      <c r="D51" s="5" t="str">
        <f>IF(COUNTIFS('04_MATCHING'!$B$2:$B$1026,"OWASP",'04_MATCHING'!$C$2:$C$1026,$A51,'04_MATCHING'!$G$2:$G$1026,$B51,'04_MATCHING'!$H$2:$H$1026,"Primary TP")&gt;0,"Covered","FN")</f>
        <v>Covered</v>
      </c>
      <c r="E51" s="5" t="str">
        <f>IF(COUNTIFS('04_MATCHING'!$B$2:$B$1026,"TMT",'04_MATCHING'!$C$2:$C$1026,$A51,'04_MATCHING'!$G$2:$G$1026,$B51,'04_MATCHING'!$H$2:$H$1026,"Primary TP")&gt;0,"Covered","FN")</f>
        <v>FN</v>
      </c>
      <c r="F51" s="5" t="str">
        <f>IF(COUNTIFS('04_MATCHING'!$B$2:$B$1026,"CHATGPT",'04_MATCHING'!$C$2:$C$1026,$A51,'04_MATCHING'!$G$2:$G$1026,$B51,'04_MATCHING'!$H$2:$H$1026,"Primary TP")&gt;0,"Covered","FN")</f>
        <v>Covered</v>
      </c>
      <c r="G51" s="5" t="str">
        <f>IF(COUNTIFS('04_MATCHING'!$B$2:$B$1026,"OLLAMA",'04_MATCHING'!$C$2:$C$1026,$A51,'04_MATCHING'!$G$2:$G$1026,$B51,'04_MATCHING'!$H$2:$H$1026,"Primary TP")&gt;0,"Covered","FN")</f>
        <v>FN</v>
      </c>
      <c r="H51" s="5" t="str">
        <f>IF(COUNTIFS('04_MATCHING'!$B$2:$B$1026,"THREMOLIA",'04_MATCHING'!$C$2:$C$1026,$A51,'04_MATCHING'!$G$2:$G$1026,$B51,'04_MATCHING'!$H$2:$H$1026,"Primary TP")&gt;0,"Covered","FN")</f>
        <v>Covered</v>
      </c>
      <c r="I51" s="5" t="n">
        <f>COUNTIF($D51:$H51,"Covered")</f>
        <v>3.0</v>
      </c>
    </row>
    <row r="52">
      <c r="A52" s="5" t="inlineStr">
        <is>
          <t>S1</t>
        </is>
      </c>
      <c r="B52" s="5" t="inlineStr">
        <is>
          <t>S1-RT-032</t>
        </is>
      </c>
      <c r="C52" s="7" t="inlineStr">
        <is>
          <t>Hallucinated authentication guidance</t>
        </is>
      </c>
      <c r="D52" s="5" t="str">
        <f>IF(COUNTIFS('04_MATCHING'!$B$2:$B$1026,"OWASP",'04_MATCHING'!$C$2:$C$1026,$A52,'04_MATCHING'!$G$2:$G$1026,$B52,'04_MATCHING'!$H$2:$H$1026,"Primary TP")&gt;0,"Covered","FN")</f>
        <v>FN</v>
      </c>
      <c r="E52" s="5" t="str">
        <f>IF(COUNTIFS('04_MATCHING'!$B$2:$B$1026,"TMT",'04_MATCHING'!$C$2:$C$1026,$A52,'04_MATCHING'!$G$2:$G$1026,$B52,'04_MATCHING'!$H$2:$H$1026,"Primary TP")&gt;0,"Covered","FN")</f>
        <v>FN</v>
      </c>
      <c r="F52" s="5" t="str">
        <f>IF(COUNTIFS('04_MATCHING'!$B$2:$B$1026,"CHATGPT",'04_MATCHING'!$C$2:$C$1026,$A52,'04_MATCHING'!$G$2:$G$1026,$B52,'04_MATCHING'!$H$2:$H$1026,"Primary TP")&gt;0,"Covered","FN")</f>
        <v>Covered</v>
      </c>
      <c r="G52" s="5" t="str">
        <f>IF(COUNTIFS('04_MATCHING'!$B$2:$B$1026,"OLLAMA",'04_MATCHING'!$C$2:$C$1026,$A52,'04_MATCHING'!$G$2:$G$1026,$B52,'04_MATCHING'!$H$2:$H$1026,"Primary TP")&gt;0,"Covered","FN")</f>
        <v>FN</v>
      </c>
      <c r="H52" s="5" t="str">
        <f>IF(COUNTIFS('04_MATCHING'!$B$2:$B$1026,"THREMOLIA",'04_MATCHING'!$C$2:$C$1026,$A52,'04_MATCHING'!$G$2:$G$1026,$B52,'04_MATCHING'!$H$2:$H$1026,"Primary TP")&gt;0,"Covered","FN")</f>
        <v>FN</v>
      </c>
      <c r="I52" s="5" t="n">
        <f>COUNTIF($D52:$H52,"Covered")</f>
        <v>1.0</v>
      </c>
    </row>
    <row r="53">
      <c r="A53" s="5" t="inlineStr">
        <is>
          <t>S1</t>
        </is>
      </c>
      <c r="B53" s="5" t="inlineStr">
        <is>
          <t>S1-RT-033</t>
        </is>
      </c>
      <c r="C53" s="7" t="inlineStr">
        <is>
          <t>Insecure handling of generated output</t>
        </is>
      </c>
      <c r="D53" s="5" t="str">
        <f>IF(COUNTIFS('04_MATCHING'!$B$2:$B$1026,"OWASP",'04_MATCHING'!$C$2:$C$1026,$A53,'04_MATCHING'!$G$2:$G$1026,$B53,'04_MATCHING'!$H$2:$H$1026,"Primary TP")&gt;0,"Covered","FN")</f>
        <v>FN</v>
      </c>
      <c r="E53" s="5" t="str">
        <f>IF(COUNTIFS('04_MATCHING'!$B$2:$B$1026,"TMT",'04_MATCHING'!$C$2:$C$1026,$A53,'04_MATCHING'!$G$2:$G$1026,$B53,'04_MATCHING'!$H$2:$H$1026,"Primary TP")&gt;0,"Covered","FN")</f>
        <v>Covered</v>
      </c>
      <c r="F53" s="5" t="str">
        <f>IF(COUNTIFS('04_MATCHING'!$B$2:$B$1026,"CHATGPT",'04_MATCHING'!$C$2:$C$1026,$A53,'04_MATCHING'!$G$2:$G$1026,$B53,'04_MATCHING'!$H$2:$H$1026,"Primary TP")&gt;0,"Covered","FN")</f>
        <v>Covered</v>
      </c>
      <c r="G53" s="5" t="str">
        <f>IF(COUNTIFS('04_MATCHING'!$B$2:$B$1026,"OLLAMA",'04_MATCHING'!$C$2:$C$1026,$A53,'04_MATCHING'!$G$2:$G$1026,$B53,'04_MATCHING'!$H$2:$H$1026,"Primary TP")&gt;0,"Covered","FN")</f>
        <v>Covered</v>
      </c>
      <c r="H53" s="5" t="str">
        <f>IF(COUNTIFS('04_MATCHING'!$B$2:$B$1026,"THREMOLIA",'04_MATCHING'!$C$2:$C$1026,$A53,'04_MATCHING'!$G$2:$G$1026,$B53,'04_MATCHING'!$H$2:$H$1026,"Primary TP")&gt;0,"Covered","FN")</f>
        <v>Covered</v>
      </c>
      <c r="I53" s="5" t="n">
        <f>COUNTIF($D53:$H53,"Covered")</f>
        <v>4.0</v>
      </c>
    </row>
    <row r="54">
      <c r="A54" s="5" t="inlineStr">
        <is>
          <t>S1</t>
        </is>
      </c>
      <c r="B54" s="5" t="inlineStr">
        <is>
          <t>S1-RT-034</t>
        </is>
      </c>
      <c r="C54" s="7" t="inlineStr">
        <is>
          <t>Delivery of attacker-authored instructions through the assistant</t>
        </is>
      </c>
      <c r="D54" s="5" t="str">
        <f>IF(COUNTIFS('04_MATCHING'!$B$2:$B$1026,"OWASP",'04_MATCHING'!$C$2:$C$1026,$A54,'04_MATCHING'!$G$2:$G$1026,$B54,'04_MATCHING'!$H$2:$H$1026,"Primary TP")&gt;0,"Covered","FN")</f>
        <v>FN</v>
      </c>
      <c r="E54" s="5" t="str">
        <f>IF(COUNTIFS('04_MATCHING'!$B$2:$B$1026,"TMT",'04_MATCHING'!$C$2:$C$1026,$A54,'04_MATCHING'!$G$2:$G$1026,$B54,'04_MATCHING'!$H$2:$H$1026,"Primary TP")&gt;0,"Covered","FN")</f>
        <v>FN</v>
      </c>
      <c r="F54" s="5" t="str">
        <f>IF(COUNTIFS('04_MATCHING'!$B$2:$B$1026,"CHATGPT",'04_MATCHING'!$C$2:$C$1026,$A54,'04_MATCHING'!$G$2:$G$1026,$B54,'04_MATCHING'!$H$2:$H$1026,"Primary TP")&gt;0,"Covered","FN")</f>
        <v>FN</v>
      </c>
      <c r="G54" s="5" t="str">
        <f>IF(COUNTIFS('04_MATCHING'!$B$2:$B$1026,"OLLAMA",'04_MATCHING'!$C$2:$C$1026,$A54,'04_MATCHING'!$G$2:$G$1026,$B54,'04_MATCHING'!$H$2:$H$1026,"Primary TP")&gt;0,"Covered","FN")</f>
        <v>FN</v>
      </c>
      <c r="H54" s="5" t="str">
        <f>IF(COUNTIFS('04_MATCHING'!$B$2:$B$1026,"THREMOLIA",'04_MATCHING'!$C$2:$C$1026,$A54,'04_MATCHING'!$G$2:$G$1026,$B54,'04_MATCHING'!$H$2:$H$1026,"Primary TP")&gt;0,"Covered","FN")</f>
        <v>Covered</v>
      </c>
      <c r="I54" s="5" t="n">
        <f>COUNTIF($D54:$H54,"Covered")</f>
        <v>1.0</v>
      </c>
    </row>
    <row r="55">
      <c r="A55" s="5" t="inlineStr">
        <is>
          <t>S1</t>
        </is>
      </c>
      <c r="B55" s="5" t="inlineStr">
        <is>
          <t>S1-RT-036</t>
        </is>
      </c>
      <c r="C55" s="7" t="inlineStr">
        <is>
          <t>Compromise or substitution of the external model service</t>
        </is>
      </c>
      <c r="D55" s="5" t="str">
        <f>IF(COUNTIFS('04_MATCHING'!$B$2:$B$1026,"OWASP",'04_MATCHING'!$C$2:$C$1026,$A55,'04_MATCHING'!$G$2:$G$1026,$B55,'04_MATCHING'!$H$2:$H$1026,"Primary TP")&gt;0,"Covered","FN")</f>
        <v>FN</v>
      </c>
      <c r="E55" s="5" t="str">
        <f>IF(COUNTIFS('04_MATCHING'!$B$2:$B$1026,"TMT",'04_MATCHING'!$C$2:$C$1026,$A55,'04_MATCHING'!$G$2:$G$1026,$B55,'04_MATCHING'!$H$2:$H$1026,"Primary TP")&gt;0,"Covered","FN")</f>
        <v>Covered</v>
      </c>
      <c r="F55" s="5" t="str">
        <f>IF(COUNTIFS('04_MATCHING'!$B$2:$B$1026,"CHATGPT",'04_MATCHING'!$C$2:$C$1026,$A55,'04_MATCHING'!$G$2:$G$1026,$B55,'04_MATCHING'!$H$2:$H$1026,"Primary TP")&gt;0,"Covered","FN")</f>
        <v>FN</v>
      </c>
      <c r="G55" s="5" t="str">
        <f>IF(COUNTIFS('04_MATCHING'!$B$2:$B$1026,"OLLAMA",'04_MATCHING'!$C$2:$C$1026,$A55,'04_MATCHING'!$G$2:$G$1026,$B55,'04_MATCHING'!$H$2:$H$1026,"Primary TP")&gt;0,"Covered","FN")</f>
        <v>Covered</v>
      </c>
      <c r="H55" s="5" t="str">
        <f>IF(COUNTIFS('04_MATCHING'!$B$2:$B$1026,"THREMOLIA",'04_MATCHING'!$C$2:$C$1026,$A55,'04_MATCHING'!$G$2:$G$1026,$B55,'04_MATCHING'!$H$2:$H$1026,"Primary TP")&gt;0,"Covered","FN")</f>
        <v>Covered</v>
      </c>
      <c r="I55" s="5" t="n">
        <f>COUNTIF($D55:$H55,"Covered")</f>
        <v>3.0</v>
      </c>
    </row>
    <row r="56">
      <c r="A56" s="5" t="inlineStr">
        <is>
          <t>S2</t>
        </is>
      </c>
      <c r="B56" s="5" t="inlineStr">
        <is>
          <t>S2-RT-001</t>
        </is>
      </c>
      <c r="C56" s="7" t="inlineStr">
        <is>
          <t>Authentication bypass through flawed enforcement of identity-bound access</t>
        </is>
      </c>
      <c r="D56" s="5" t="str">
        <f>IF(COUNTIFS('04_MATCHING'!$B$2:$B$1026,"OWASP",'04_MATCHING'!$C$2:$C$1026,$A56,'04_MATCHING'!$G$2:$G$1026,$B56,'04_MATCHING'!$H$2:$H$1026,"Primary TP")&gt;0,"Covered","FN")</f>
        <v>FN</v>
      </c>
      <c r="E56" s="5" t="str">
        <f>IF(COUNTIFS('04_MATCHING'!$B$2:$B$1026,"TMT",'04_MATCHING'!$C$2:$C$1026,$A56,'04_MATCHING'!$G$2:$G$1026,$B56,'04_MATCHING'!$H$2:$H$1026,"Primary TP")&gt;0,"Covered","FN")</f>
        <v>FN</v>
      </c>
      <c r="F56" s="5" t="str">
        <f>IF(COUNTIFS('04_MATCHING'!$B$2:$B$1026,"CHATGPT",'04_MATCHING'!$C$2:$C$1026,$A56,'04_MATCHING'!$G$2:$G$1026,$B56,'04_MATCHING'!$H$2:$H$1026,"Primary TP")&gt;0,"Covered","FN")</f>
        <v>FN</v>
      </c>
      <c r="G56" s="5" t="str">
        <f>IF(COUNTIFS('04_MATCHING'!$B$2:$B$1026,"OLLAMA",'04_MATCHING'!$C$2:$C$1026,$A56,'04_MATCHING'!$G$2:$G$1026,$B56,'04_MATCHING'!$H$2:$H$1026,"Primary TP")&gt;0,"Covered","FN")</f>
        <v>FN</v>
      </c>
      <c r="H56" s="5" t="str">
        <f>IF(COUNTIFS('04_MATCHING'!$B$2:$B$1026,"THREMOLIA",'04_MATCHING'!$C$2:$C$1026,$A56,'04_MATCHING'!$G$2:$G$1026,$B56,'04_MATCHING'!$H$2:$H$1026,"Primary TP")&gt;0,"Covered","FN")</f>
        <v>Covered</v>
      </c>
      <c r="I56" s="5" t="n">
        <f>COUNTIF($D56:$H56,"Covered")</f>
        <v>1.0</v>
      </c>
    </row>
    <row r="57">
      <c r="A57" s="5" t="inlineStr">
        <is>
          <t>S2</t>
        </is>
      </c>
      <c r="B57" s="5" t="inlineStr">
        <is>
          <t>S2-RT-002</t>
        </is>
      </c>
      <c r="C57" s="7" t="inlineStr">
        <is>
          <t>Theft of user identity-assertion material at the user boundary</t>
        </is>
      </c>
      <c r="D57" s="5" t="str">
        <f>IF(COUNTIFS('04_MATCHING'!$B$2:$B$1026,"OWASP",'04_MATCHING'!$C$2:$C$1026,$A57,'04_MATCHING'!$G$2:$G$1026,$B57,'04_MATCHING'!$H$2:$H$1026,"Primary TP")&gt;0,"Covered","FN")</f>
        <v>FN</v>
      </c>
      <c r="E57" s="5" t="str">
        <f>IF(COUNTIFS('04_MATCHING'!$B$2:$B$1026,"TMT",'04_MATCHING'!$C$2:$C$1026,$A57,'04_MATCHING'!$G$2:$G$1026,$B57,'04_MATCHING'!$H$2:$H$1026,"Primary TP")&gt;0,"Covered","FN")</f>
        <v>FN</v>
      </c>
      <c r="F57" s="5" t="str">
        <f>IF(COUNTIFS('04_MATCHING'!$B$2:$B$1026,"CHATGPT",'04_MATCHING'!$C$2:$C$1026,$A57,'04_MATCHING'!$G$2:$G$1026,$B57,'04_MATCHING'!$H$2:$H$1026,"Primary TP")&gt;0,"Covered","FN")</f>
        <v>FN</v>
      </c>
      <c r="G57" s="5" t="str">
        <f>IF(COUNTIFS('04_MATCHING'!$B$2:$B$1026,"OLLAMA",'04_MATCHING'!$C$2:$C$1026,$A57,'04_MATCHING'!$G$2:$G$1026,$B57,'04_MATCHING'!$H$2:$H$1026,"Primary TP")&gt;0,"Covered","FN")</f>
        <v>FN</v>
      </c>
      <c r="H57" s="5" t="str">
        <f>IF(COUNTIFS('04_MATCHING'!$B$2:$B$1026,"THREMOLIA",'04_MATCHING'!$C$2:$C$1026,$A57,'04_MATCHING'!$G$2:$G$1026,$B57,'04_MATCHING'!$H$2:$H$1026,"Primary TP")&gt;0,"Covered","FN")</f>
        <v>Covered</v>
      </c>
      <c r="I57" s="5" t="n">
        <f>COUNTIF($D57:$H57,"Covered")</f>
        <v>1.0</v>
      </c>
    </row>
    <row r="58">
      <c r="A58" s="5" t="inlineStr">
        <is>
          <t>S2</t>
        </is>
      </c>
      <c r="B58" s="5" t="inlineStr">
        <is>
          <t>S2-RT-003</t>
        </is>
      </c>
      <c r="C58" s="7" t="inlineStr">
        <is>
          <t>Authorisation-check bypass through flawed logic in the File Management Service</t>
        </is>
      </c>
      <c r="D58" s="5" t="str">
        <f>IF(COUNTIFS('04_MATCHING'!$B$2:$B$1026,"OWASP",'04_MATCHING'!$C$2:$C$1026,$A58,'04_MATCHING'!$G$2:$G$1026,$B58,'04_MATCHING'!$H$2:$H$1026,"Primary TP")&gt;0,"Covered","FN")</f>
        <v>FN</v>
      </c>
      <c r="E58" s="5" t="str">
        <f>IF(COUNTIFS('04_MATCHING'!$B$2:$B$1026,"TMT",'04_MATCHING'!$C$2:$C$1026,$A58,'04_MATCHING'!$G$2:$G$1026,$B58,'04_MATCHING'!$H$2:$H$1026,"Primary TP")&gt;0,"Covered","FN")</f>
        <v>FN</v>
      </c>
      <c r="F58" s="5" t="str">
        <f>IF(COUNTIFS('04_MATCHING'!$B$2:$B$1026,"CHATGPT",'04_MATCHING'!$C$2:$C$1026,$A58,'04_MATCHING'!$G$2:$G$1026,$B58,'04_MATCHING'!$H$2:$H$1026,"Primary TP")&gt;0,"Covered","FN")</f>
        <v>Covered</v>
      </c>
      <c r="G58" s="5" t="str">
        <f>IF(COUNTIFS('04_MATCHING'!$B$2:$B$1026,"OLLAMA",'04_MATCHING'!$C$2:$C$1026,$A58,'04_MATCHING'!$G$2:$G$1026,$B58,'04_MATCHING'!$H$2:$H$1026,"Primary TP")&gt;0,"Covered","FN")</f>
        <v>Covered</v>
      </c>
      <c r="H58" s="5" t="str">
        <f>IF(COUNTIFS('04_MATCHING'!$B$2:$B$1026,"THREMOLIA",'04_MATCHING'!$C$2:$C$1026,$A58,'04_MATCHING'!$G$2:$G$1026,$B58,'04_MATCHING'!$H$2:$H$1026,"Primary TP")&gt;0,"Covered","FN")</f>
        <v>Covered</v>
      </c>
      <c r="I58" s="5" t="n">
        <f>COUNTIF($D58:$H58,"Covered")</f>
        <v>3.0</v>
      </c>
    </row>
    <row r="59">
      <c r="A59" s="5" t="inlineStr">
        <is>
          <t>S2</t>
        </is>
      </c>
      <c r="B59" s="5" t="inlineStr">
        <is>
          <t>S2-RT-004</t>
        </is>
      </c>
      <c r="C59" s="7" t="inlineStr">
        <is>
          <t>Broken object-level authorisation on file identifiers</t>
        </is>
      </c>
      <c r="D59" s="5" t="str">
        <f>IF(COUNTIFS('04_MATCHING'!$B$2:$B$1026,"OWASP",'04_MATCHING'!$C$2:$C$1026,$A59,'04_MATCHING'!$G$2:$G$1026,$B59,'04_MATCHING'!$H$2:$H$1026,"Primary TP")&gt;0,"Covered","FN")</f>
        <v>FN</v>
      </c>
      <c r="E59" s="5" t="str">
        <f>IF(COUNTIFS('04_MATCHING'!$B$2:$B$1026,"TMT",'04_MATCHING'!$C$2:$C$1026,$A59,'04_MATCHING'!$G$2:$G$1026,$B59,'04_MATCHING'!$H$2:$H$1026,"Primary TP")&gt;0,"Covered","FN")</f>
        <v>FN</v>
      </c>
      <c r="F59" s="5" t="str">
        <f>IF(COUNTIFS('04_MATCHING'!$B$2:$B$1026,"CHATGPT",'04_MATCHING'!$C$2:$C$1026,$A59,'04_MATCHING'!$G$2:$G$1026,$B59,'04_MATCHING'!$H$2:$H$1026,"Primary TP")&gt;0,"Covered","FN")</f>
        <v>Covered</v>
      </c>
      <c r="G59" s="5" t="str">
        <f>IF(COUNTIFS('04_MATCHING'!$B$2:$B$1026,"OLLAMA",'04_MATCHING'!$C$2:$C$1026,$A59,'04_MATCHING'!$G$2:$G$1026,$B59,'04_MATCHING'!$H$2:$H$1026,"Primary TP")&gt;0,"Covered","FN")</f>
        <v>FN</v>
      </c>
      <c r="H59" s="5" t="str">
        <f>IF(COUNTIFS('04_MATCHING'!$B$2:$B$1026,"THREMOLIA",'04_MATCHING'!$C$2:$C$1026,$A59,'04_MATCHING'!$G$2:$G$1026,$B59,'04_MATCHING'!$H$2:$H$1026,"Primary TP")&gt;0,"Covered","FN")</f>
        <v>Covered</v>
      </c>
      <c r="I59" s="5" t="n">
        <f>COUNTIF($D59:$H59,"Covered")</f>
        <v>2.0</v>
      </c>
    </row>
    <row r="60">
      <c r="A60" s="5" t="inlineStr">
        <is>
          <t>S2</t>
        </is>
      </c>
      <c r="B60" s="5" t="inlineStr">
        <is>
          <t>S2-RT-005</t>
        </is>
      </c>
      <c r="C60" s="7" t="inlineStr">
        <is>
          <t>Escape from the per-user storage scope through crafted file references</t>
        </is>
      </c>
      <c r="D60" s="5" t="str">
        <f>IF(COUNTIFS('04_MATCHING'!$B$2:$B$1026,"OWASP",'04_MATCHING'!$C$2:$C$1026,$A60,'04_MATCHING'!$G$2:$G$1026,$B60,'04_MATCHING'!$H$2:$H$1026,"Primary TP")&gt;0,"Covered","FN")</f>
        <v>FN</v>
      </c>
      <c r="E60" s="5" t="str">
        <f>IF(COUNTIFS('04_MATCHING'!$B$2:$B$1026,"TMT",'04_MATCHING'!$C$2:$C$1026,$A60,'04_MATCHING'!$G$2:$G$1026,$B60,'04_MATCHING'!$H$2:$H$1026,"Primary TP")&gt;0,"Covered","FN")</f>
        <v>FN</v>
      </c>
      <c r="F60" s="5" t="str">
        <f>IF(COUNTIFS('04_MATCHING'!$B$2:$B$1026,"CHATGPT",'04_MATCHING'!$C$2:$C$1026,$A60,'04_MATCHING'!$G$2:$G$1026,$B60,'04_MATCHING'!$H$2:$H$1026,"Primary TP")&gt;0,"Covered","FN")</f>
        <v>FN</v>
      </c>
      <c r="G60" s="5" t="str">
        <f>IF(COUNTIFS('04_MATCHING'!$B$2:$B$1026,"OLLAMA",'04_MATCHING'!$C$2:$C$1026,$A60,'04_MATCHING'!$G$2:$G$1026,$B60,'04_MATCHING'!$H$2:$H$1026,"Primary TP")&gt;0,"Covered","FN")</f>
        <v>FN</v>
      </c>
      <c r="H60" s="5" t="str">
        <f>IF(COUNTIFS('04_MATCHING'!$B$2:$B$1026,"THREMOLIA",'04_MATCHING'!$C$2:$C$1026,$A60,'04_MATCHING'!$G$2:$G$1026,$B60,'04_MATCHING'!$H$2:$H$1026,"Primary TP")&gt;0,"Covered","FN")</f>
        <v>Covered</v>
      </c>
      <c r="I60" s="5" t="n">
        <f>COUNTIF($D60:$H60,"Covered")</f>
        <v>1.0</v>
      </c>
    </row>
    <row r="61">
      <c r="A61" s="5" t="inlineStr">
        <is>
          <t>S2</t>
        </is>
      </c>
      <c r="B61" s="5" t="inlineStr">
        <is>
          <t>S2-RT-006</t>
        </is>
      </c>
      <c r="C61" s="7" t="inlineStr">
        <is>
          <t>Injection affecting file lookup and metadata processing</t>
        </is>
      </c>
      <c r="D61" s="5" t="str">
        <f>IF(COUNTIFS('04_MATCHING'!$B$2:$B$1026,"OWASP",'04_MATCHING'!$C$2:$C$1026,$A61,'04_MATCHING'!$G$2:$G$1026,$B61,'04_MATCHING'!$H$2:$H$1026,"Primary TP")&gt;0,"Covered","FN")</f>
        <v>FN</v>
      </c>
      <c r="E61" s="5" t="str">
        <f>IF(COUNTIFS('04_MATCHING'!$B$2:$B$1026,"TMT",'04_MATCHING'!$C$2:$C$1026,$A61,'04_MATCHING'!$G$2:$G$1026,$B61,'04_MATCHING'!$H$2:$H$1026,"Primary TP")&gt;0,"Covered","FN")</f>
        <v>FN</v>
      </c>
      <c r="F61" s="5" t="str">
        <f>IF(COUNTIFS('04_MATCHING'!$B$2:$B$1026,"CHATGPT",'04_MATCHING'!$C$2:$C$1026,$A61,'04_MATCHING'!$G$2:$G$1026,$B61,'04_MATCHING'!$H$2:$H$1026,"Primary TP")&gt;0,"Covered","FN")</f>
        <v>FN</v>
      </c>
      <c r="G61" s="5" t="str">
        <f>IF(COUNTIFS('04_MATCHING'!$B$2:$B$1026,"OLLAMA",'04_MATCHING'!$C$2:$C$1026,$A61,'04_MATCHING'!$G$2:$G$1026,$B61,'04_MATCHING'!$H$2:$H$1026,"Primary TP")&gt;0,"Covered","FN")</f>
        <v>FN</v>
      </c>
      <c r="H61" s="5" t="str">
        <f>IF(COUNTIFS('04_MATCHING'!$B$2:$B$1026,"THREMOLIA",'04_MATCHING'!$C$2:$C$1026,$A61,'04_MATCHING'!$G$2:$G$1026,$B61,'04_MATCHING'!$H$2:$H$1026,"Primary TP")&gt;0,"Covered","FN")</f>
        <v>Covered</v>
      </c>
      <c r="I61" s="5" t="n">
        <f>COUNTIF($D61:$H61,"Covered")</f>
        <v>1.0</v>
      </c>
    </row>
    <row r="62">
      <c r="A62" s="5" t="inlineStr">
        <is>
          <t>S2</t>
        </is>
      </c>
      <c r="B62" s="5" t="inlineStr">
        <is>
          <t>S2-RT-007</t>
        </is>
      </c>
      <c r="C62" s="7" t="inlineStr">
        <is>
          <t>Privilege-separation gap in the File Management Service's storage access</t>
        </is>
      </c>
      <c r="D62" s="5" t="str">
        <f>IF(COUNTIFS('04_MATCHING'!$B$2:$B$1026,"OWASP",'04_MATCHING'!$C$2:$C$1026,$A62,'04_MATCHING'!$G$2:$G$1026,$B62,'04_MATCHING'!$H$2:$H$1026,"Primary TP")&gt;0,"Covered","FN")</f>
        <v>FN</v>
      </c>
      <c r="E62" s="5" t="str">
        <f>IF(COUNTIFS('04_MATCHING'!$B$2:$B$1026,"TMT",'04_MATCHING'!$C$2:$C$1026,$A62,'04_MATCHING'!$G$2:$G$1026,$B62,'04_MATCHING'!$H$2:$H$1026,"Primary TP")&gt;0,"Covered","FN")</f>
        <v>FN</v>
      </c>
      <c r="F62" s="5" t="str">
        <f>IF(COUNTIFS('04_MATCHING'!$B$2:$B$1026,"CHATGPT",'04_MATCHING'!$C$2:$C$1026,$A62,'04_MATCHING'!$G$2:$G$1026,$B62,'04_MATCHING'!$H$2:$H$1026,"Primary TP")&gt;0,"Covered","FN")</f>
        <v>FN</v>
      </c>
      <c r="G62" s="5" t="str">
        <f>IF(COUNTIFS('04_MATCHING'!$B$2:$B$1026,"OLLAMA",'04_MATCHING'!$C$2:$C$1026,$A62,'04_MATCHING'!$G$2:$G$1026,$B62,'04_MATCHING'!$H$2:$H$1026,"Primary TP")&gt;0,"Covered","FN")</f>
        <v>FN</v>
      </c>
      <c r="H62" s="5" t="str">
        <f>IF(COUNTIFS('04_MATCHING'!$B$2:$B$1026,"THREMOLIA",'04_MATCHING'!$C$2:$C$1026,$A62,'04_MATCHING'!$G$2:$G$1026,$B62,'04_MATCHING'!$H$2:$H$1026,"Primary TP")&gt;0,"Covered","FN")</f>
        <v>FN</v>
      </c>
      <c r="I62" s="5" t="n">
        <f>COUNTIF($D62:$H62,"Covered")</f>
        <v>0.0</v>
      </c>
    </row>
    <row r="63">
      <c r="A63" s="5" t="inlineStr">
        <is>
          <t>S2</t>
        </is>
      </c>
      <c r="B63" s="5" t="inlineStr">
        <is>
          <t>S2-RT-008</t>
        </is>
      </c>
      <c r="C63" s="7" t="inlineStr">
        <is>
          <t>Unauthorised access to document context through the assistant path</t>
        </is>
      </c>
      <c r="D63" s="5" t="str">
        <f>IF(COUNTIFS('04_MATCHING'!$B$2:$B$1026,"OWASP",'04_MATCHING'!$C$2:$C$1026,$A63,'04_MATCHING'!$G$2:$G$1026,$B63,'04_MATCHING'!$H$2:$H$1026,"Primary TP")&gt;0,"Covered","FN")</f>
        <v>FN</v>
      </c>
      <c r="E63" s="5" t="str">
        <f>IF(COUNTIFS('04_MATCHING'!$B$2:$B$1026,"TMT",'04_MATCHING'!$C$2:$C$1026,$A63,'04_MATCHING'!$G$2:$G$1026,$B63,'04_MATCHING'!$H$2:$H$1026,"Primary TP")&gt;0,"Covered","FN")</f>
        <v>Covered</v>
      </c>
      <c r="F63" s="5" t="str">
        <f>IF(COUNTIFS('04_MATCHING'!$B$2:$B$1026,"CHATGPT",'04_MATCHING'!$C$2:$C$1026,$A63,'04_MATCHING'!$G$2:$G$1026,$B63,'04_MATCHING'!$H$2:$H$1026,"Primary TP")&gt;0,"Covered","FN")</f>
        <v>FN</v>
      </c>
      <c r="G63" s="5" t="str">
        <f>IF(COUNTIFS('04_MATCHING'!$B$2:$B$1026,"OLLAMA",'04_MATCHING'!$C$2:$C$1026,$A63,'04_MATCHING'!$G$2:$G$1026,$B63,'04_MATCHING'!$H$2:$H$1026,"Primary TP")&gt;0,"Covered","FN")</f>
        <v>FN</v>
      </c>
      <c r="H63" s="5" t="str">
        <f>IF(COUNTIFS('04_MATCHING'!$B$2:$B$1026,"THREMOLIA",'04_MATCHING'!$C$2:$C$1026,$A63,'04_MATCHING'!$G$2:$G$1026,$B63,'04_MATCHING'!$H$2:$H$1026,"Primary TP")&gt;0,"Covered","FN")</f>
        <v>FN</v>
      </c>
      <c r="I63" s="5" t="n">
        <f>COUNTIF($D63:$H63,"Covered")</f>
        <v>1.0</v>
      </c>
    </row>
    <row r="64">
      <c r="A64" s="5" t="inlineStr">
        <is>
          <t>S2</t>
        </is>
      </c>
      <c r="B64" s="5" t="inlineStr">
        <is>
          <t>S2-RT-009</t>
        </is>
      </c>
      <c r="C64" s="7" t="inlineStr">
        <is>
          <t>Authorisation gap in assistant document-context preparation</t>
        </is>
      </c>
      <c r="D64" s="5" t="str">
        <f>IF(COUNTIFS('04_MATCHING'!$B$2:$B$1026,"OWASP",'04_MATCHING'!$C$2:$C$1026,$A64,'04_MATCHING'!$G$2:$G$1026,$B64,'04_MATCHING'!$H$2:$H$1026,"Primary TP")&gt;0,"Covered","FN")</f>
        <v>FN</v>
      </c>
      <c r="E64" s="5" t="str">
        <f>IF(COUNTIFS('04_MATCHING'!$B$2:$B$1026,"TMT",'04_MATCHING'!$C$2:$C$1026,$A64,'04_MATCHING'!$G$2:$G$1026,$B64,'04_MATCHING'!$H$2:$H$1026,"Primary TP")&gt;0,"Covered","FN")</f>
        <v>FN</v>
      </c>
      <c r="F64" s="5" t="str">
        <f>IF(COUNTIFS('04_MATCHING'!$B$2:$B$1026,"CHATGPT",'04_MATCHING'!$C$2:$C$1026,$A64,'04_MATCHING'!$G$2:$G$1026,$B64,'04_MATCHING'!$H$2:$H$1026,"Primary TP")&gt;0,"Covered","FN")</f>
        <v>FN</v>
      </c>
      <c r="G64" s="5" t="str">
        <f>IF(COUNTIFS('04_MATCHING'!$B$2:$B$1026,"OLLAMA",'04_MATCHING'!$C$2:$C$1026,$A64,'04_MATCHING'!$G$2:$G$1026,$B64,'04_MATCHING'!$H$2:$H$1026,"Primary TP")&gt;0,"Covered","FN")</f>
        <v>FN</v>
      </c>
      <c r="H64" s="5" t="str">
        <f>IF(COUNTIFS('04_MATCHING'!$B$2:$B$1026,"THREMOLIA",'04_MATCHING'!$C$2:$C$1026,$A64,'04_MATCHING'!$G$2:$G$1026,$B64,'04_MATCHING'!$H$2:$H$1026,"Primary TP")&gt;0,"Covered","FN")</f>
        <v>Covered</v>
      </c>
      <c r="I64" s="5" t="n">
        <f>COUNTIF($D64:$H64,"Covered")</f>
        <v>1.0</v>
      </c>
    </row>
    <row r="65">
      <c r="A65" s="5" t="inlineStr">
        <is>
          <t>S2</t>
        </is>
      </c>
      <c r="B65" s="5" t="inlineStr">
        <is>
          <t>S2-RT-010</t>
        </is>
      </c>
      <c r="C65" s="7" t="inlineStr">
        <is>
          <t>Malicious file upload and platform-mediated distribution</t>
        </is>
      </c>
      <c r="D65" s="5" t="str">
        <f>IF(COUNTIFS('04_MATCHING'!$B$2:$B$1026,"OWASP",'04_MATCHING'!$C$2:$C$1026,$A65,'04_MATCHING'!$G$2:$G$1026,$B65,'04_MATCHING'!$H$2:$H$1026,"Primary TP")&gt;0,"Covered","FN")</f>
        <v>Covered</v>
      </c>
      <c r="E65" s="5" t="str">
        <f>IF(COUNTIFS('04_MATCHING'!$B$2:$B$1026,"TMT",'04_MATCHING'!$C$2:$C$1026,$A65,'04_MATCHING'!$G$2:$G$1026,$B65,'04_MATCHING'!$H$2:$H$1026,"Primary TP")&gt;0,"Covered","FN")</f>
        <v>FN</v>
      </c>
      <c r="F65" s="5" t="str">
        <f>IF(COUNTIFS('04_MATCHING'!$B$2:$B$1026,"CHATGPT",'04_MATCHING'!$C$2:$C$1026,$A65,'04_MATCHING'!$G$2:$G$1026,$B65,'04_MATCHING'!$H$2:$H$1026,"Primary TP")&gt;0,"Covered","FN")</f>
        <v>Covered</v>
      </c>
      <c r="G65" s="5" t="str">
        <f>IF(COUNTIFS('04_MATCHING'!$B$2:$B$1026,"OLLAMA",'04_MATCHING'!$C$2:$C$1026,$A65,'04_MATCHING'!$G$2:$G$1026,$B65,'04_MATCHING'!$H$2:$H$1026,"Primary TP")&gt;0,"Covered","FN")</f>
        <v>Covered</v>
      </c>
      <c r="H65" s="5" t="str">
        <f>IF(COUNTIFS('04_MATCHING'!$B$2:$B$1026,"THREMOLIA",'04_MATCHING'!$C$2:$C$1026,$A65,'04_MATCHING'!$G$2:$G$1026,$B65,'04_MATCHING'!$H$2:$H$1026,"Primary TP")&gt;0,"Covered","FN")</f>
        <v>Covered</v>
      </c>
      <c r="I65" s="5" t="n">
        <f>COUNTIF($D65:$H65,"Covered")</f>
        <v>4.0</v>
      </c>
    </row>
    <row r="66">
      <c r="A66" s="5" t="inlineStr">
        <is>
          <t>S2</t>
        </is>
      </c>
      <c r="B66" s="5" t="inlineStr">
        <is>
          <t>S2-RT-011</t>
        </is>
      </c>
      <c r="C66" s="7" t="inlineStr">
        <is>
          <t>Stored active content executed in the application's client context through retrieved files</t>
        </is>
      </c>
      <c r="D66" s="5" t="str">
        <f>IF(COUNTIFS('04_MATCHING'!$B$2:$B$1026,"OWASP",'04_MATCHING'!$C$2:$C$1026,$A66,'04_MATCHING'!$G$2:$G$1026,$B66,'04_MATCHING'!$H$2:$H$1026,"Primary TP")&gt;0,"Covered","FN")</f>
        <v>Covered</v>
      </c>
      <c r="E66" s="5" t="str">
        <f>IF(COUNTIFS('04_MATCHING'!$B$2:$B$1026,"TMT",'04_MATCHING'!$C$2:$C$1026,$A66,'04_MATCHING'!$G$2:$G$1026,$B66,'04_MATCHING'!$H$2:$H$1026,"Primary TP")&gt;0,"Covered","FN")</f>
        <v>Covered</v>
      </c>
      <c r="F66" s="5" t="str">
        <f>IF(COUNTIFS('04_MATCHING'!$B$2:$B$1026,"CHATGPT",'04_MATCHING'!$C$2:$C$1026,$A66,'04_MATCHING'!$G$2:$G$1026,$B66,'04_MATCHING'!$H$2:$H$1026,"Primary TP")&gt;0,"Covered","FN")</f>
        <v>FN</v>
      </c>
      <c r="G66" s="5" t="str">
        <f>IF(COUNTIFS('04_MATCHING'!$B$2:$B$1026,"OLLAMA",'04_MATCHING'!$C$2:$C$1026,$A66,'04_MATCHING'!$G$2:$G$1026,$B66,'04_MATCHING'!$H$2:$H$1026,"Primary TP")&gt;0,"Covered","FN")</f>
        <v>FN</v>
      </c>
      <c r="H66" s="5" t="str">
        <f>IF(COUNTIFS('04_MATCHING'!$B$2:$B$1026,"THREMOLIA",'04_MATCHING'!$C$2:$C$1026,$A66,'04_MATCHING'!$G$2:$G$1026,$B66,'04_MATCHING'!$H$2:$H$1026,"Primary TP")&gt;0,"Covered","FN")</f>
        <v>Covered</v>
      </c>
      <c r="I66" s="5" t="n">
        <f>COUNTIF($D66:$H66,"Covered")</f>
        <v>3.0</v>
      </c>
    </row>
    <row r="67">
      <c r="A67" s="5" t="inlineStr">
        <is>
          <t>S2</t>
        </is>
      </c>
      <c r="B67" s="5" t="inlineStr">
        <is>
          <t>S2-RT-012</t>
        </is>
      </c>
      <c r="C67" s="7" t="inlineStr">
        <is>
          <t>Server-side exploitation of document processing</t>
        </is>
      </c>
      <c r="D67" s="5" t="str">
        <f>IF(COUNTIFS('04_MATCHING'!$B$2:$B$1026,"OWASP",'04_MATCHING'!$C$2:$C$1026,$A67,'04_MATCHING'!$G$2:$G$1026,$B67,'04_MATCHING'!$H$2:$H$1026,"Primary TP")&gt;0,"Covered","FN")</f>
        <v>FN</v>
      </c>
      <c r="E67" s="5" t="str">
        <f>IF(COUNTIFS('04_MATCHING'!$B$2:$B$1026,"TMT",'04_MATCHING'!$C$2:$C$1026,$A67,'04_MATCHING'!$G$2:$G$1026,$B67,'04_MATCHING'!$H$2:$H$1026,"Primary TP")&gt;0,"Covered","FN")</f>
        <v>FN</v>
      </c>
      <c r="F67" s="5" t="str">
        <f>IF(COUNTIFS('04_MATCHING'!$B$2:$B$1026,"CHATGPT",'04_MATCHING'!$C$2:$C$1026,$A67,'04_MATCHING'!$G$2:$G$1026,$B67,'04_MATCHING'!$H$2:$H$1026,"Primary TP")&gt;0,"Covered","FN")</f>
        <v>FN</v>
      </c>
      <c r="G67" s="5" t="str">
        <f>IF(COUNTIFS('04_MATCHING'!$B$2:$B$1026,"OLLAMA",'04_MATCHING'!$C$2:$C$1026,$A67,'04_MATCHING'!$G$2:$G$1026,$B67,'04_MATCHING'!$H$2:$H$1026,"Primary TP")&gt;0,"Covered","FN")</f>
        <v>FN</v>
      </c>
      <c r="H67" s="5" t="str">
        <f>IF(COUNTIFS('04_MATCHING'!$B$2:$B$1026,"THREMOLIA",'04_MATCHING'!$C$2:$C$1026,$A67,'04_MATCHING'!$G$2:$G$1026,$B67,'04_MATCHING'!$H$2:$H$1026,"Primary TP")&gt;0,"Covered","FN")</f>
        <v>FN</v>
      </c>
      <c r="I67" s="5" t="n">
        <f>COUNTIF($D67:$H67,"Covered")</f>
        <v>0.0</v>
      </c>
    </row>
    <row r="68">
      <c r="A68" s="5" t="inlineStr">
        <is>
          <t>S2</t>
        </is>
      </c>
      <c r="B68" s="5" t="inlineStr">
        <is>
          <t>S2-RT-013</t>
        </is>
      </c>
      <c r="C68" s="7" t="inlineStr">
        <is>
          <t>File metadata manipulation</t>
        </is>
      </c>
      <c r="D68" s="5" t="str">
        <f>IF(COUNTIFS('04_MATCHING'!$B$2:$B$1026,"OWASP",'04_MATCHING'!$C$2:$C$1026,$A68,'04_MATCHING'!$G$2:$G$1026,$B68,'04_MATCHING'!$H$2:$H$1026,"Primary TP")&gt;0,"Covered","FN")</f>
        <v>FN</v>
      </c>
      <c r="E68" s="5" t="str">
        <f>IF(COUNTIFS('04_MATCHING'!$B$2:$B$1026,"TMT",'04_MATCHING'!$C$2:$C$1026,$A68,'04_MATCHING'!$G$2:$G$1026,$B68,'04_MATCHING'!$H$2:$H$1026,"Primary TP")&gt;0,"Covered","FN")</f>
        <v>FN</v>
      </c>
      <c r="F68" s="5" t="str">
        <f>IF(COUNTIFS('04_MATCHING'!$B$2:$B$1026,"CHATGPT",'04_MATCHING'!$C$2:$C$1026,$A68,'04_MATCHING'!$G$2:$G$1026,$B68,'04_MATCHING'!$H$2:$H$1026,"Primary TP")&gt;0,"Covered","FN")</f>
        <v>Covered</v>
      </c>
      <c r="G68" s="5" t="str">
        <f>IF(COUNTIFS('04_MATCHING'!$B$2:$B$1026,"OLLAMA",'04_MATCHING'!$C$2:$C$1026,$A68,'04_MATCHING'!$G$2:$G$1026,$B68,'04_MATCHING'!$H$2:$H$1026,"Primary TP")&gt;0,"Covered","FN")</f>
        <v>Covered</v>
      </c>
      <c r="H68" s="5" t="str">
        <f>IF(COUNTIFS('04_MATCHING'!$B$2:$B$1026,"THREMOLIA",'04_MATCHING'!$C$2:$C$1026,$A68,'04_MATCHING'!$G$2:$G$1026,$B68,'04_MATCHING'!$H$2:$H$1026,"Primary TP")&gt;0,"Covered","FN")</f>
        <v>Covered</v>
      </c>
      <c r="I68" s="5" t="n">
        <f>COUNTIF($D68:$H68,"Covered")</f>
        <v>3.0</v>
      </c>
    </row>
    <row r="69">
      <c r="A69" s="5" t="inlineStr">
        <is>
          <t>S2</t>
        </is>
      </c>
      <c r="B69" s="5" t="inlineStr">
        <is>
          <t>S2-RT-014</t>
        </is>
      </c>
      <c r="C69" s="7" t="inlineStr">
        <is>
          <t>Undetected tampering of stored file content</t>
        </is>
      </c>
      <c r="D69" s="5" t="str">
        <f>IF(COUNTIFS('04_MATCHING'!$B$2:$B$1026,"OWASP",'04_MATCHING'!$C$2:$C$1026,$A69,'04_MATCHING'!$G$2:$G$1026,$B69,'04_MATCHING'!$H$2:$H$1026,"Primary TP")&gt;0,"Covered","FN")</f>
        <v>FN</v>
      </c>
      <c r="E69" s="5" t="str">
        <f>IF(COUNTIFS('04_MATCHING'!$B$2:$B$1026,"TMT",'04_MATCHING'!$C$2:$C$1026,$A69,'04_MATCHING'!$G$2:$G$1026,$B69,'04_MATCHING'!$H$2:$H$1026,"Primary TP")&gt;0,"Covered","FN")</f>
        <v>FN</v>
      </c>
      <c r="F69" s="5" t="str">
        <f>IF(COUNTIFS('04_MATCHING'!$B$2:$B$1026,"CHATGPT",'04_MATCHING'!$C$2:$C$1026,$A69,'04_MATCHING'!$G$2:$G$1026,$B69,'04_MATCHING'!$H$2:$H$1026,"Primary TP")&gt;0,"Covered","FN")</f>
        <v>FN</v>
      </c>
      <c r="G69" s="5" t="str">
        <f>IF(COUNTIFS('04_MATCHING'!$B$2:$B$1026,"OLLAMA",'04_MATCHING'!$C$2:$C$1026,$A69,'04_MATCHING'!$G$2:$G$1026,$B69,'04_MATCHING'!$H$2:$H$1026,"Primary TP")&gt;0,"Covered","FN")</f>
        <v>FN</v>
      </c>
      <c r="H69" s="5" t="str">
        <f>IF(COUNTIFS('04_MATCHING'!$B$2:$B$1026,"THREMOLIA",'04_MATCHING'!$C$2:$C$1026,$A69,'04_MATCHING'!$G$2:$G$1026,$B69,'04_MATCHING'!$H$2:$H$1026,"Primary TP")&gt;0,"Covered","FN")</f>
        <v>Covered</v>
      </c>
      <c r="I69" s="5" t="n">
        <f>COUNTIF($D69:$H69,"Covered")</f>
        <v>1.0</v>
      </c>
    </row>
    <row r="70">
      <c r="A70" s="5" t="inlineStr">
        <is>
          <t>S2</t>
        </is>
      </c>
      <c r="B70" s="5" t="inlineStr">
        <is>
          <t>S2-RT-015</t>
        </is>
      </c>
      <c r="C70" s="7" t="inlineStr">
        <is>
          <t>Mass disclosure of Server Storage and the User Permission Database</t>
        </is>
      </c>
      <c r="D70" s="5" t="str">
        <f>IF(COUNTIFS('04_MATCHING'!$B$2:$B$1026,"OWASP",'04_MATCHING'!$C$2:$C$1026,$A70,'04_MATCHING'!$G$2:$G$1026,$B70,'04_MATCHING'!$H$2:$H$1026,"Primary TP")&gt;0,"Covered","FN")</f>
        <v>Covered</v>
      </c>
      <c r="E70" s="5" t="str">
        <f>IF(COUNTIFS('04_MATCHING'!$B$2:$B$1026,"TMT",'04_MATCHING'!$C$2:$C$1026,$A70,'04_MATCHING'!$G$2:$G$1026,$B70,'04_MATCHING'!$H$2:$H$1026,"Primary TP")&gt;0,"Covered","FN")</f>
        <v>Covered</v>
      </c>
      <c r="F70" s="5" t="str">
        <f>IF(COUNTIFS('04_MATCHING'!$B$2:$B$1026,"CHATGPT",'04_MATCHING'!$C$2:$C$1026,$A70,'04_MATCHING'!$G$2:$G$1026,$B70,'04_MATCHING'!$H$2:$H$1026,"Primary TP")&gt;0,"Covered","FN")</f>
        <v>Covered</v>
      </c>
      <c r="G70" s="5" t="str">
        <f>IF(COUNTIFS('04_MATCHING'!$B$2:$B$1026,"OLLAMA",'04_MATCHING'!$C$2:$C$1026,$A70,'04_MATCHING'!$G$2:$G$1026,$B70,'04_MATCHING'!$H$2:$H$1026,"Primary TP")&gt;0,"Covered","FN")</f>
        <v>Covered</v>
      </c>
      <c r="H70" s="5" t="str">
        <f>IF(COUNTIFS('04_MATCHING'!$B$2:$B$1026,"THREMOLIA",'04_MATCHING'!$C$2:$C$1026,$A70,'04_MATCHING'!$G$2:$G$1026,$B70,'04_MATCHING'!$H$2:$H$1026,"Primary TP")&gt;0,"Covered","FN")</f>
        <v>Covered</v>
      </c>
      <c r="I70" s="5" t="n">
        <f>COUNTIF($D70:$H70,"Covered")</f>
        <v>5.0</v>
      </c>
    </row>
    <row r="71">
      <c r="A71" s="5" t="inlineStr">
        <is>
          <t>S2</t>
        </is>
      </c>
      <c r="B71" s="5" t="inlineStr">
        <is>
          <t>S2-RT-016</t>
        </is>
      </c>
      <c r="C71" s="7" t="inlineStr">
        <is>
          <t>File enumeration and verbose error disclosure</t>
        </is>
      </c>
      <c r="D71" s="5" t="str">
        <f>IF(COUNTIFS('04_MATCHING'!$B$2:$B$1026,"OWASP",'04_MATCHING'!$C$2:$C$1026,$A71,'04_MATCHING'!$G$2:$G$1026,$B71,'04_MATCHING'!$H$2:$H$1026,"Primary TP")&gt;0,"Covered","FN")</f>
        <v>FN</v>
      </c>
      <c r="E71" s="5" t="str">
        <f>IF(COUNTIFS('04_MATCHING'!$B$2:$B$1026,"TMT",'04_MATCHING'!$C$2:$C$1026,$A71,'04_MATCHING'!$G$2:$G$1026,$B71,'04_MATCHING'!$H$2:$H$1026,"Primary TP")&gt;0,"Covered","FN")</f>
        <v>FN</v>
      </c>
      <c r="F71" s="5" t="str">
        <f>IF(COUNTIFS('04_MATCHING'!$B$2:$B$1026,"CHATGPT",'04_MATCHING'!$C$2:$C$1026,$A71,'04_MATCHING'!$G$2:$G$1026,$B71,'04_MATCHING'!$H$2:$H$1026,"Primary TP")&gt;0,"Covered","FN")</f>
        <v>Covered</v>
      </c>
      <c r="G71" s="5" t="str">
        <f>IF(COUNTIFS('04_MATCHING'!$B$2:$B$1026,"OLLAMA",'04_MATCHING'!$C$2:$C$1026,$A71,'04_MATCHING'!$G$2:$G$1026,$B71,'04_MATCHING'!$H$2:$H$1026,"Primary TP")&gt;0,"Covered","FN")</f>
        <v>FN</v>
      </c>
      <c r="H71" s="5" t="str">
        <f>IF(COUNTIFS('04_MATCHING'!$B$2:$B$1026,"THREMOLIA",'04_MATCHING'!$C$2:$C$1026,$A71,'04_MATCHING'!$G$2:$G$1026,$B71,'04_MATCHING'!$H$2:$H$1026,"Primary TP")&gt;0,"Covered","FN")</f>
        <v>FN</v>
      </c>
      <c r="I71" s="5" t="n">
        <f>COUNTIF($D71:$H71,"Covered")</f>
        <v>1.0</v>
      </c>
    </row>
    <row r="72">
      <c r="A72" s="5" t="inlineStr">
        <is>
          <t>S2</t>
        </is>
      </c>
      <c r="B72" s="5" t="inlineStr">
        <is>
          <t>S2-RT-017</t>
        </is>
      </c>
      <c r="C72" s="7" t="inlineStr">
        <is>
          <t>Interception of files, questions and document context in transit</t>
        </is>
      </c>
      <c r="D72" s="5" t="str">
        <f>IF(COUNTIFS('04_MATCHING'!$B$2:$B$1026,"OWASP",'04_MATCHING'!$C$2:$C$1026,$A72,'04_MATCHING'!$G$2:$G$1026,$B72,'04_MATCHING'!$H$2:$H$1026,"Primary TP")&gt;0,"Covered","FN")</f>
        <v>Covered</v>
      </c>
      <c r="E72" s="5" t="str">
        <f>IF(COUNTIFS('04_MATCHING'!$B$2:$B$1026,"TMT",'04_MATCHING'!$C$2:$C$1026,$A72,'04_MATCHING'!$G$2:$G$1026,$B72,'04_MATCHING'!$H$2:$H$1026,"Primary TP")&gt;0,"Covered","FN")</f>
        <v>Covered</v>
      </c>
      <c r="F72" s="5" t="str">
        <f>IF(COUNTIFS('04_MATCHING'!$B$2:$B$1026,"CHATGPT",'04_MATCHING'!$C$2:$C$1026,$A72,'04_MATCHING'!$G$2:$G$1026,$B72,'04_MATCHING'!$H$2:$H$1026,"Primary TP")&gt;0,"Covered","FN")</f>
        <v>FN</v>
      </c>
      <c r="G72" s="5" t="str">
        <f>IF(COUNTIFS('04_MATCHING'!$B$2:$B$1026,"OLLAMA",'04_MATCHING'!$C$2:$C$1026,$A72,'04_MATCHING'!$G$2:$G$1026,$B72,'04_MATCHING'!$H$2:$H$1026,"Primary TP")&gt;0,"Covered","FN")</f>
        <v>FN</v>
      </c>
      <c r="H72" s="5" t="str">
        <f>IF(COUNTIFS('04_MATCHING'!$B$2:$B$1026,"THREMOLIA",'04_MATCHING'!$C$2:$C$1026,$A72,'04_MATCHING'!$G$2:$G$1026,$B72,'04_MATCHING'!$H$2:$H$1026,"Primary TP")&gt;0,"Covered","FN")</f>
        <v>Covered</v>
      </c>
      <c r="I72" s="5" t="n">
        <f>COUNTIF($D72:$H72,"Covered")</f>
        <v>3.0</v>
      </c>
    </row>
    <row r="73">
      <c r="A73" s="5" t="inlineStr">
        <is>
          <t>S2</t>
        </is>
      </c>
      <c r="B73" s="5" t="inlineStr">
        <is>
          <t>S2-RT-018</t>
        </is>
      </c>
      <c r="C73" s="7" t="inlineStr">
        <is>
          <t>Sensitive document content disclosure to the External LLM Provider</t>
        </is>
      </c>
      <c r="D73" s="5" t="str">
        <f>IF(COUNTIFS('04_MATCHING'!$B$2:$B$1026,"OWASP",'04_MATCHING'!$C$2:$C$1026,$A73,'04_MATCHING'!$G$2:$G$1026,$B73,'04_MATCHING'!$H$2:$H$1026,"Primary TP")&gt;0,"Covered","FN")</f>
        <v>FN</v>
      </c>
      <c r="E73" s="5" t="str">
        <f>IF(COUNTIFS('04_MATCHING'!$B$2:$B$1026,"TMT",'04_MATCHING'!$C$2:$C$1026,$A73,'04_MATCHING'!$G$2:$G$1026,$B73,'04_MATCHING'!$H$2:$H$1026,"Primary TP")&gt;0,"Covered","FN")</f>
        <v>FN</v>
      </c>
      <c r="F73" s="5" t="str">
        <f>IF(COUNTIFS('04_MATCHING'!$B$2:$B$1026,"CHATGPT",'04_MATCHING'!$C$2:$C$1026,$A73,'04_MATCHING'!$G$2:$G$1026,$B73,'04_MATCHING'!$H$2:$H$1026,"Primary TP")&gt;0,"Covered","FN")</f>
        <v>Covered</v>
      </c>
      <c r="G73" s="5" t="str">
        <f>IF(COUNTIFS('04_MATCHING'!$B$2:$B$1026,"OLLAMA",'04_MATCHING'!$C$2:$C$1026,$A73,'04_MATCHING'!$G$2:$G$1026,$B73,'04_MATCHING'!$H$2:$H$1026,"Primary TP")&gt;0,"Covered","FN")</f>
        <v>Covered</v>
      </c>
      <c r="H73" s="5" t="str">
        <f>IF(COUNTIFS('04_MATCHING'!$B$2:$B$1026,"THREMOLIA",'04_MATCHING'!$C$2:$C$1026,$A73,'04_MATCHING'!$G$2:$G$1026,$B73,'04_MATCHING'!$H$2:$H$1026,"Primary TP")&gt;0,"Covered","FN")</f>
        <v>Covered</v>
      </c>
      <c r="I73" s="5" t="n">
        <f>COUNTIF($D73:$H73,"Covered")</f>
        <v>3.0</v>
      </c>
    </row>
    <row r="74">
      <c r="A74" s="5" t="inlineStr">
        <is>
          <t>S2</t>
        </is>
      </c>
      <c r="B74" s="5" t="inlineStr">
        <is>
          <t>S2-RT-019</t>
        </is>
      </c>
      <c r="C74" s="7" t="inlineStr">
        <is>
          <t>Conditional provider-side exposure of submitted context</t>
        </is>
      </c>
      <c r="D74" s="5" t="str">
        <f>IF(COUNTIFS('04_MATCHING'!$B$2:$B$1026,"OWASP",'04_MATCHING'!$C$2:$C$1026,$A74,'04_MATCHING'!$G$2:$G$1026,$B74,'04_MATCHING'!$H$2:$H$1026,"Primary TP")&gt;0,"Covered","FN")</f>
        <v>FN</v>
      </c>
      <c r="E74" s="5" t="str">
        <f>IF(COUNTIFS('04_MATCHING'!$B$2:$B$1026,"TMT",'04_MATCHING'!$C$2:$C$1026,$A74,'04_MATCHING'!$G$2:$G$1026,$B74,'04_MATCHING'!$H$2:$H$1026,"Primary TP")&gt;0,"Covered","FN")</f>
        <v>FN</v>
      </c>
      <c r="F74" s="5" t="str">
        <f>IF(COUNTIFS('04_MATCHING'!$B$2:$B$1026,"CHATGPT",'04_MATCHING'!$C$2:$C$1026,$A74,'04_MATCHING'!$G$2:$G$1026,$B74,'04_MATCHING'!$H$2:$H$1026,"Primary TP")&gt;0,"Covered","FN")</f>
        <v>Covered</v>
      </c>
      <c r="G74" s="5" t="str">
        <f>IF(COUNTIFS('04_MATCHING'!$B$2:$B$1026,"OLLAMA",'04_MATCHING'!$C$2:$C$1026,$A74,'04_MATCHING'!$G$2:$G$1026,$B74,'04_MATCHING'!$H$2:$H$1026,"Primary TP")&gt;0,"Covered","FN")</f>
        <v>FN</v>
      </c>
      <c r="H74" s="5" t="str">
        <f>IF(COUNTIFS('04_MATCHING'!$B$2:$B$1026,"THREMOLIA",'04_MATCHING'!$C$2:$C$1026,$A74,'04_MATCHING'!$G$2:$G$1026,$B74,'04_MATCHING'!$H$2:$H$1026,"Primary TP")&gt;0,"Covered","FN")</f>
        <v>FN</v>
      </c>
      <c r="I74" s="5" t="n">
        <f>COUNTIF($D74:$H74,"Covered")</f>
        <v>1.0</v>
      </c>
    </row>
    <row r="75">
      <c r="A75" s="5" t="inlineStr">
        <is>
          <t>S2</t>
        </is>
      </c>
      <c r="B75" s="5" t="inlineStr">
        <is>
          <t>S2-RT-020</t>
        </is>
      </c>
      <c r="C75" s="7" t="inlineStr">
        <is>
          <t>Exposure of the external provider credential</t>
        </is>
      </c>
      <c r="D75" s="5" t="str">
        <f>IF(COUNTIFS('04_MATCHING'!$B$2:$B$1026,"OWASP",'04_MATCHING'!$C$2:$C$1026,$A75,'04_MATCHING'!$G$2:$G$1026,$B75,'04_MATCHING'!$H$2:$H$1026,"Primary TP")&gt;0,"Covered","FN")</f>
        <v>FN</v>
      </c>
      <c r="E75" s="5" t="str">
        <f>IF(COUNTIFS('04_MATCHING'!$B$2:$B$1026,"TMT",'04_MATCHING'!$C$2:$C$1026,$A75,'04_MATCHING'!$G$2:$G$1026,$B75,'04_MATCHING'!$H$2:$H$1026,"Primary TP")&gt;0,"Covered","FN")</f>
        <v>FN</v>
      </c>
      <c r="F75" s="5" t="str">
        <f>IF(COUNTIFS('04_MATCHING'!$B$2:$B$1026,"CHATGPT",'04_MATCHING'!$C$2:$C$1026,$A75,'04_MATCHING'!$G$2:$G$1026,$B75,'04_MATCHING'!$H$2:$H$1026,"Primary TP")&gt;0,"Covered","FN")</f>
        <v>FN</v>
      </c>
      <c r="G75" s="5" t="str">
        <f>IF(COUNTIFS('04_MATCHING'!$B$2:$B$1026,"OLLAMA",'04_MATCHING'!$C$2:$C$1026,$A75,'04_MATCHING'!$G$2:$G$1026,$B75,'04_MATCHING'!$H$2:$H$1026,"Primary TP")&gt;0,"Covered","FN")</f>
        <v>FN</v>
      </c>
      <c r="H75" s="5" t="str">
        <f>IF(COUNTIFS('04_MATCHING'!$B$2:$B$1026,"THREMOLIA",'04_MATCHING'!$C$2:$C$1026,$A75,'04_MATCHING'!$G$2:$G$1026,$B75,'04_MATCHING'!$H$2:$H$1026,"Primary TP")&gt;0,"Covered","FN")</f>
        <v>FN</v>
      </c>
      <c r="I75" s="5" t="n">
        <f>COUNTIF($D75:$H75,"Covered")</f>
        <v>0.0</v>
      </c>
    </row>
    <row r="76">
      <c r="A76" s="5" t="inlineStr">
        <is>
          <t>S2</t>
        </is>
      </c>
      <c r="B76" s="5" t="inlineStr">
        <is>
          <t>S2-RT-021</t>
        </is>
      </c>
      <c r="C76" s="7" t="inlineStr">
        <is>
          <t>Unspecified attribution of security-relevant events</t>
        </is>
      </c>
      <c r="D76" s="5" t="str">
        <f>IF(COUNTIFS('04_MATCHING'!$B$2:$B$1026,"OWASP",'04_MATCHING'!$C$2:$C$1026,$A76,'04_MATCHING'!$G$2:$G$1026,$B76,'04_MATCHING'!$H$2:$H$1026,"Primary TP")&gt;0,"Covered","FN")</f>
        <v>FN</v>
      </c>
      <c r="E76" s="5" t="str">
        <f>IF(COUNTIFS('04_MATCHING'!$B$2:$B$1026,"TMT",'04_MATCHING'!$C$2:$C$1026,$A76,'04_MATCHING'!$G$2:$G$1026,$B76,'04_MATCHING'!$H$2:$H$1026,"Primary TP")&gt;0,"Covered","FN")</f>
        <v>Covered</v>
      </c>
      <c r="F76" s="5" t="str">
        <f>IF(COUNTIFS('04_MATCHING'!$B$2:$B$1026,"CHATGPT",'04_MATCHING'!$C$2:$C$1026,$A76,'04_MATCHING'!$G$2:$G$1026,$B76,'04_MATCHING'!$H$2:$H$1026,"Primary TP")&gt;0,"Covered","FN")</f>
        <v>Covered</v>
      </c>
      <c r="G76" s="5" t="str">
        <f>IF(COUNTIFS('04_MATCHING'!$B$2:$B$1026,"OLLAMA",'04_MATCHING'!$C$2:$C$1026,$A76,'04_MATCHING'!$G$2:$G$1026,$B76,'04_MATCHING'!$H$2:$H$1026,"Primary TP")&gt;0,"Covered","FN")</f>
        <v>FN</v>
      </c>
      <c r="H76" s="5" t="str">
        <f>IF(COUNTIFS('04_MATCHING'!$B$2:$B$1026,"THREMOLIA",'04_MATCHING'!$C$2:$C$1026,$A76,'04_MATCHING'!$G$2:$G$1026,$B76,'04_MATCHING'!$H$2:$H$1026,"Primary TP")&gt;0,"Covered","FN")</f>
        <v>Covered</v>
      </c>
      <c r="I76" s="5" t="n">
        <f>COUNTIF($D76:$H76,"Covered")</f>
        <v>3.0</v>
      </c>
    </row>
    <row r="77">
      <c r="A77" s="5" t="inlineStr">
        <is>
          <t>S2</t>
        </is>
      </c>
      <c r="B77" s="5" t="inlineStr">
        <is>
          <t>S2-RT-022</t>
        </is>
      </c>
      <c r="C77" s="7" t="inlineStr">
        <is>
          <t>Direct prompt injection through the assistant question</t>
        </is>
      </c>
      <c r="D77" s="5" t="str">
        <f>IF(COUNTIFS('04_MATCHING'!$B$2:$B$1026,"OWASP",'04_MATCHING'!$C$2:$C$1026,$A77,'04_MATCHING'!$G$2:$G$1026,$B77,'04_MATCHING'!$H$2:$H$1026,"Primary TP")&gt;0,"Covered","FN")</f>
        <v>FN</v>
      </c>
      <c r="E77" s="5" t="str">
        <f>IF(COUNTIFS('04_MATCHING'!$B$2:$B$1026,"TMT",'04_MATCHING'!$C$2:$C$1026,$A77,'04_MATCHING'!$G$2:$G$1026,$B77,'04_MATCHING'!$H$2:$H$1026,"Primary TP")&gt;0,"Covered","FN")</f>
        <v>Covered</v>
      </c>
      <c r="F77" s="5" t="str">
        <f>IF(COUNTIFS('04_MATCHING'!$B$2:$B$1026,"CHATGPT",'04_MATCHING'!$C$2:$C$1026,$A77,'04_MATCHING'!$G$2:$G$1026,$B77,'04_MATCHING'!$H$2:$H$1026,"Primary TP")&gt;0,"Covered","FN")</f>
        <v>Covered</v>
      </c>
      <c r="G77" s="5" t="str">
        <f>IF(COUNTIFS('04_MATCHING'!$B$2:$B$1026,"OLLAMA",'04_MATCHING'!$C$2:$C$1026,$A77,'04_MATCHING'!$G$2:$G$1026,$B77,'04_MATCHING'!$H$2:$H$1026,"Primary TP")&gt;0,"Covered","FN")</f>
        <v>FN</v>
      </c>
      <c r="H77" s="5" t="str">
        <f>IF(COUNTIFS('04_MATCHING'!$B$2:$B$1026,"THREMOLIA",'04_MATCHING'!$C$2:$C$1026,$A77,'04_MATCHING'!$G$2:$G$1026,$B77,'04_MATCHING'!$H$2:$H$1026,"Primary TP")&gt;0,"Covered","FN")</f>
        <v>Covered</v>
      </c>
      <c r="I77" s="5" t="n">
        <f>COUNTIF($D77:$H77,"Covered")</f>
        <v>3.0</v>
      </c>
    </row>
    <row r="78">
      <c r="A78" s="5" t="inlineStr">
        <is>
          <t>S2</t>
        </is>
      </c>
      <c r="B78" s="5" t="inlineStr">
        <is>
          <t>S2-RT-023</t>
        </is>
      </c>
      <c r="C78" s="7" t="inlineStr">
        <is>
          <t>Indirect prompt injection through uploaded document content</t>
        </is>
      </c>
      <c r="D78" s="5" t="str">
        <f>IF(COUNTIFS('04_MATCHING'!$B$2:$B$1026,"OWASP",'04_MATCHING'!$C$2:$C$1026,$A78,'04_MATCHING'!$G$2:$G$1026,$B78,'04_MATCHING'!$H$2:$H$1026,"Primary TP")&gt;0,"Covered","FN")</f>
        <v>FN</v>
      </c>
      <c r="E78" s="5" t="str">
        <f>IF(COUNTIFS('04_MATCHING'!$B$2:$B$1026,"TMT",'04_MATCHING'!$C$2:$C$1026,$A78,'04_MATCHING'!$G$2:$G$1026,$B78,'04_MATCHING'!$H$2:$H$1026,"Primary TP")&gt;0,"Covered","FN")</f>
        <v>FN</v>
      </c>
      <c r="F78" s="5" t="str">
        <f>IF(COUNTIFS('04_MATCHING'!$B$2:$B$1026,"CHATGPT",'04_MATCHING'!$C$2:$C$1026,$A78,'04_MATCHING'!$G$2:$G$1026,$B78,'04_MATCHING'!$H$2:$H$1026,"Primary TP")&gt;0,"Covered","FN")</f>
        <v>Covered</v>
      </c>
      <c r="G78" s="5" t="str">
        <f>IF(COUNTIFS('04_MATCHING'!$B$2:$B$1026,"OLLAMA",'04_MATCHING'!$C$2:$C$1026,$A78,'04_MATCHING'!$G$2:$G$1026,$B78,'04_MATCHING'!$H$2:$H$1026,"Primary TP")&gt;0,"Covered","FN")</f>
        <v>Covered</v>
      </c>
      <c r="H78" s="5" t="str">
        <f>IF(COUNTIFS('04_MATCHING'!$B$2:$B$1026,"THREMOLIA",'04_MATCHING'!$C$2:$C$1026,$A78,'04_MATCHING'!$G$2:$G$1026,$B78,'04_MATCHING'!$H$2:$H$1026,"Primary TP")&gt;0,"Covered","FN")</f>
        <v>Covered</v>
      </c>
      <c r="I78" s="5" t="n">
        <f>COUNTIF($D78:$H78,"Covered")</f>
        <v>3.0</v>
      </c>
    </row>
    <row r="79">
      <c r="A79" s="5" t="inlineStr">
        <is>
          <t>S2</t>
        </is>
      </c>
      <c r="B79" s="5" t="inlineStr">
        <is>
          <t>S2-RT-024</t>
        </is>
      </c>
      <c r="C79" s="7" t="inlineStr">
        <is>
          <t>Extraction of privileged assistant instructions and prompt content</t>
        </is>
      </c>
      <c r="D79" s="5" t="str">
        <f>IF(COUNTIFS('04_MATCHING'!$B$2:$B$1026,"OWASP",'04_MATCHING'!$C$2:$C$1026,$A79,'04_MATCHING'!$G$2:$G$1026,$B79,'04_MATCHING'!$H$2:$H$1026,"Primary TP")&gt;0,"Covered","FN")</f>
        <v>FN</v>
      </c>
      <c r="E79" s="5" t="str">
        <f>IF(COUNTIFS('04_MATCHING'!$B$2:$B$1026,"TMT",'04_MATCHING'!$C$2:$C$1026,$A79,'04_MATCHING'!$G$2:$G$1026,$B79,'04_MATCHING'!$H$2:$H$1026,"Primary TP")&gt;0,"Covered","FN")</f>
        <v>FN</v>
      </c>
      <c r="F79" s="5" t="str">
        <f>IF(COUNTIFS('04_MATCHING'!$B$2:$B$1026,"CHATGPT",'04_MATCHING'!$C$2:$C$1026,$A79,'04_MATCHING'!$G$2:$G$1026,$B79,'04_MATCHING'!$H$2:$H$1026,"Primary TP")&gt;0,"Covered","FN")</f>
        <v>Covered</v>
      </c>
      <c r="G79" s="5" t="str">
        <f>IF(COUNTIFS('04_MATCHING'!$B$2:$B$1026,"OLLAMA",'04_MATCHING'!$C$2:$C$1026,$A79,'04_MATCHING'!$G$2:$G$1026,$B79,'04_MATCHING'!$H$2:$H$1026,"Primary TP")&gt;0,"Covered","FN")</f>
        <v>FN</v>
      </c>
      <c r="H79" s="5" t="str">
        <f>IF(COUNTIFS('04_MATCHING'!$B$2:$B$1026,"THREMOLIA",'04_MATCHING'!$C$2:$C$1026,$A79,'04_MATCHING'!$G$2:$G$1026,$B79,'04_MATCHING'!$H$2:$H$1026,"Primary TP")&gt;0,"Covered","FN")</f>
        <v>FN</v>
      </c>
      <c r="I79" s="5" t="n">
        <f>COUNTIF($D79:$H79,"Covered")</f>
        <v>1.0</v>
      </c>
    </row>
    <row r="80">
      <c r="A80" s="5" t="inlineStr">
        <is>
          <t>S2</t>
        </is>
      </c>
      <c r="B80" s="5" t="inlineStr">
        <is>
          <t>S2-RT-025</t>
        </is>
      </c>
      <c r="C80" s="7" t="inlineStr">
        <is>
          <t>Cross-user context-isolation failure in the assistant pipeline</t>
        </is>
      </c>
      <c r="D80" s="5" t="str">
        <f>IF(COUNTIFS('04_MATCHING'!$B$2:$B$1026,"OWASP",'04_MATCHING'!$C$2:$C$1026,$A80,'04_MATCHING'!$G$2:$G$1026,$B80,'04_MATCHING'!$H$2:$H$1026,"Primary TP")&gt;0,"Covered","FN")</f>
        <v>FN</v>
      </c>
      <c r="E80" s="5" t="str">
        <f>IF(COUNTIFS('04_MATCHING'!$B$2:$B$1026,"TMT",'04_MATCHING'!$C$2:$C$1026,$A80,'04_MATCHING'!$G$2:$G$1026,$B80,'04_MATCHING'!$H$2:$H$1026,"Primary TP")&gt;0,"Covered","FN")</f>
        <v>FN</v>
      </c>
      <c r="F80" s="5" t="str">
        <f>IF(COUNTIFS('04_MATCHING'!$B$2:$B$1026,"CHATGPT",'04_MATCHING'!$C$2:$C$1026,$A80,'04_MATCHING'!$G$2:$G$1026,$B80,'04_MATCHING'!$H$2:$H$1026,"Primary TP")&gt;0,"Covered","FN")</f>
        <v>FN</v>
      </c>
      <c r="G80" s="5" t="str">
        <f>IF(COUNTIFS('04_MATCHING'!$B$2:$B$1026,"OLLAMA",'04_MATCHING'!$C$2:$C$1026,$A80,'04_MATCHING'!$G$2:$G$1026,$B80,'04_MATCHING'!$H$2:$H$1026,"Primary TP")&gt;0,"Covered","FN")</f>
        <v>FN</v>
      </c>
      <c r="H80" s="5" t="str">
        <f>IF(COUNTIFS('04_MATCHING'!$B$2:$B$1026,"THREMOLIA",'04_MATCHING'!$C$2:$C$1026,$A80,'04_MATCHING'!$G$2:$G$1026,$B80,'04_MATCHING'!$H$2:$H$1026,"Primary TP")&gt;0,"Covered","FN")</f>
        <v>FN</v>
      </c>
      <c r="I80" s="5" t="n">
        <f>COUNTIF($D80:$H80,"Covered")</f>
        <v>0.0</v>
      </c>
    </row>
    <row r="81">
      <c r="A81" s="5" t="inlineStr">
        <is>
          <t>S2</t>
        </is>
      </c>
      <c r="B81" s="5" t="inlineStr">
        <is>
          <t>S2-RT-026</t>
        </is>
      </c>
      <c r="C81" s="7" t="inlineStr">
        <is>
          <t>Insecure handling of generated output</t>
        </is>
      </c>
      <c r="D81" s="5" t="str">
        <f>IF(COUNTIFS('04_MATCHING'!$B$2:$B$1026,"OWASP",'04_MATCHING'!$C$2:$C$1026,$A81,'04_MATCHING'!$G$2:$G$1026,$B81,'04_MATCHING'!$H$2:$H$1026,"Primary TP")&gt;0,"Covered","FN")</f>
        <v>FN</v>
      </c>
      <c r="E81" s="5" t="str">
        <f>IF(COUNTIFS('04_MATCHING'!$B$2:$B$1026,"TMT",'04_MATCHING'!$C$2:$C$1026,$A81,'04_MATCHING'!$G$2:$G$1026,$B81,'04_MATCHING'!$H$2:$H$1026,"Primary TP")&gt;0,"Covered","FN")</f>
        <v>Covered</v>
      </c>
      <c r="F81" s="5" t="str">
        <f>IF(COUNTIFS('04_MATCHING'!$B$2:$B$1026,"CHATGPT",'04_MATCHING'!$C$2:$C$1026,$A81,'04_MATCHING'!$G$2:$G$1026,$B81,'04_MATCHING'!$H$2:$H$1026,"Primary TP")&gt;0,"Covered","FN")</f>
        <v>FN</v>
      </c>
      <c r="G81" s="5" t="str">
        <f>IF(COUNTIFS('04_MATCHING'!$B$2:$B$1026,"OLLAMA",'04_MATCHING'!$C$2:$C$1026,$A81,'04_MATCHING'!$G$2:$G$1026,$B81,'04_MATCHING'!$H$2:$H$1026,"Primary TP")&gt;0,"Covered","FN")</f>
        <v>FN</v>
      </c>
      <c r="H81" s="5" t="str">
        <f>IF(COUNTIFS('04_MATCHING'!$B$2:$B$1026,"THREMOLIA",'04_MATCHING'!$C$2:$C$1026,$A81,'04_MATCHING'!$G$2:$G$1026,$B81,'04_MATCHING'!$H$2:$H$1026,"Primary TP")&gt;0,"Covered","FN")</f>
        <v>Covered</v>
      </c>
      <c r="I81" s="5" t="n">
        <f>COUNTIF($D81:$H81,"Covered")</f>
        <v>2.0</v>
      </c>
    </row>
    <row r="82">
      <c r="A82" s="5" t="inlineStr">
        <is>
          <t>S2</t>
        </is>
      </c>
      <c r="B82" s="5" t="inlineStr">
        <is>
          <t>S2-RT-027</t>
        </is>
      </c>
      <c r="C82" s="7" t="inlineStr">
        <is>
          <t>Hallucinated document summaries and answers</t>
        </is>
      </c>
      <c r="D82" s="5" t="str">
        <f>IF(COUNTIFS('04_MATCHING'!$B$2:$B$1026,"OWASP",'04_MATCHING'!$C$2:$C$1026,$A82,'04_MATCHING'!$G$2:$G$1026,$B82,'04_MATCHING'!$H$2:$H$1026,"Primary TP")&gt;0,"Covered","FN")</f>
        <v>FN</v>
      </c>
      <c r="E82" s="5" t="str">
        <f>IF(COUNTIFS('04_MATCHING'!$B$2:$B$1026,"TMT",'04_MATCHING'!$C$2:$C$1026,$A82,'04_MATCHING'!$G$2:$G$1026,$B82,'04_MATCHING'!$H$2:$H$1026,"Primary TP")&gt;0,"Covered","FN")</f>
        <v>FN</v>
      </c>
      <c r="F82" s="5" t="str">
        <f>IF(COUNTIFS('04_MATCHING'!$B$2:$B$1026,"CHATGPT",'04_MATCHING'!$C$2:$C$1026,$A82,'04_MATCHING'!$G$2:$G$1026,$B82,'04_MATCHING'!$H$2:$H$1026,"Primary TP")&gt;0,"Covered","FN")</f>
        <v>Covered</v>
      </c>
      <c r="G82" s="5" t="str">
        <f>IF(COUNTIFS('04_MATCHING'!$B$2:$B$1026,"OLLAMA",'04_MATCHING'!$C$2:$C$1026,$A82,'04_MATCHING'!$G$2:$G$1026,$B82,'04_MATCHING'!$H$2:$H$1026,"Primary TP")&gt;0,"Covered","FN")</f>
        <v>FN</v>
      </c>
      <c r="H82" s="5" t="str">
        <f>IF(COUNTIFS('04_MATCHING'!$B$2:$B$1026,"THREMOLIA",'04_MATCHING'!$C$2:$C$1026,$A82,'04_MATCHING'!$G$2:$G$1026,$B82,'04_MATCHING'!$H$2:$H$1026,"Primary TP")&gt;0,"Covered","FN")</f>
        <v>FN</v>
      </c>
      <c r="I82" s="5" t="n">
        <f>COUNTIF($D82:$H82,"Covered")</f>
        <v>1.0</v>
      </c>
    </row>
    <row r="83">
      <c r="A83" s="5" t="inlineStr">
        <is>
          <t>S2</t>
        </is>
      </c>
      <c r="B83" s="5" t="inlineStr">
        <is>
          <t>S2-RT-028</t>
        </is>
      </c>
      <c r="C83" s="7" t="inlineStr">
        <is>
          <t>Delivery of attacker-authored instructions through the assistant</t>
        </is>
      </c>
      <c r="D83" s="5" t="str">
        <f>IF(COUNTIFS('04_MATCHING'!$B$2:$B$1026,"OWASP",'04_MATCHING'!$C$2:$C$1026,$A83,'04_MATCHING'!$G$2:$G$1026,$B83,'04_MATCHING'!$H$2:$H$1026,"Primary TP")&gt;0,"Covered","FN")</f>
        <v>FN</v>
      </c>
      <c r="E83" s="5" t="str">
        <f>IF(COUNTIFS('04_MATCHING'!$B$2:$B$1026,"TMT",'04_MATCHING'!$C$2:$C$1026,$A83,'04_MATCHING'!$G$2:$G$1026,$B83,'04_MATCHING'!$H$2:$H$1026,"Primary TP")&gt;0,"Covered","FN")</f>
        <v>FN</v>
      </c>
      <c r="F83" s="5" t="str">
        <f>IF(COUNTIFS('04_MATCHING'!$B$2:$B$1026,"CHATGPT",'04_MATCHING'!$C$2:$C$1026,$A83,'04_MATCHING'!$G$2:$G$1026,$B83,'04_MATCHING'!$H$2:$H$1026,"Primary TP")&gt;0,"Covered","FN")</f>
        <v>FN</v>
      </c>
      <c r="G83" s="5" t="str">
        <f>IF(COUNTIFS('04_MATCHING'!$B$2:$B$1026,"OLLAMA",'04_MATCHING'!$C$2:$C$1026,$A83,'04_MATCHING'!$G$2:$G$1026,$B83,'04_MATCHING'!$H$2:$H$1026,"Primary TP")&gt;0,"Covered","FN")</f>
        <v>FN</v>
      </c>
      <c r="H83" s="5" t="str">
        <f>IF(COUNTIFS('04_MATCHING'!$B$2:$B$1026,"THREMOLIA",'04_MATCHING'!$C$2:$C$1026,$A83,'04_MATCHING'!$G$2:$G$1026,$B83,'04_MATCHING'!$H$2:$H$1026,"Primary TP")&gt;0,"Covered","FN")</f>
        <v>FN</v>
      </c>
      <c r="I83" s="5" t="n">
        <f>COUNTIF($D83:$H83,"Covered")</f>
        <v>0.0</v>
      </c>
    </row>
    <row r="84">
      <c r="A84" s="5" t="inlineStr">
        <is>
          <t>S2</t>
        </is>
      </c>
      <c r="B84" s="5" t="inlineStr">
        <is>
          <t>S2-RT-030</t>
        </is>
      </c>
      <c r="C84" s="7" t="inlineStr">
        <is>
          <t>Compromise or substitution of the external model service</t>
        </is>
      </c>
      <c r="D84" s="5" t="str">
        <f>IF(COUNTIFS('04_MATCHING'!$B$2:$B$1026,"OWASP",'04_MATCHING'!$C$2:$C$1026,$A84,'04_MATCHING'!$G$2:$G$1026,$B84,'04_MATCHING'!$H$2:$H$1026,"Primary TP")&gt;0,"Covered","FN")</f>
        <v>FN</v>
      </c>
      <c r="E84" s="5" t="str">
        <f>IF(COUNTIFS('04_MATCHING'!$B$2:$B$1026,"TMT",'04_MATCHING'!$C$2:$C$1026,$A84,'04_MATCHING'!$G$2:$G$1026,$B84,'04_MATCHING'!$H$2:$H$1026,"Primary TP")&gt;0,"Covered","FN")</f>
        <v>Covered</v>
      </c>
      <c r="F84" s="5" t="str">
        <f>IF(COUNTIFS('04_MATCHING'!$B$2:$B$1026,"CHATGPT",'04_MATCHING'!$C$2:$C$1026,$A84,'04_MATCHING'!$G$2:$G$1026,$B84,'04_MATCHING'!$H$2:$H$1026,"Primary TP")&gt;0,"Covered","FN")</f>
        <v>Covered</v>
      </c>
      <c r="G84" s="5" t="str">
        <f>IF(COUNTIFS('04_MATCHING'!$B$2:$B$1026,"OLLAMA",'04_MATCHING'!$C$2:$C$1026,$A84,'04_MATCHING'!$G$2:$G$1026,$B84,'04_MATCHING'!$H$2:$H$1026,"Primary TP")&gt;0,"Covered","FN")</f>
        <v>Covered</v>
      </c>
      <c r="H84" s="5" t="str">
        <f>IF(COUNTIFS('04_MATCHING'!$B$2:$B$1026,"THREMOLIA",'04_MATCHING'!$C$2:$C$1026,$A84,'04_MATCHING'!$G$2:$G$1026,$B84,'04_MATCHING'!$H$2:$H$1026,"Primary TP")&gt;0,"Covered","FN")</f>
        <v>Covered</v>
      </c>
      <c r="I84" s="5" t="n">
        <f>COUNTIF($D84:$H84,"Covered")</f>
        <v>4.0</v>
      </c>
    </row>
    <row r="85">
      <c r="A85" s="5" t="inlineStr">
        <is>
          <t>S2</t>
        </is>
      </c>
      <c r="B85" s="5" t="inlineStr">
        <is>
          <t>S2-RT-031</t>
        </is>
      </c>
      <c r="C85" s="7" t="inlineStr">
        <is>
          <t>Denial of service against file management and storage</t>
        </is>
      </c>
      <c r="D85" s="5" t="str">
        <f>IF(COUNTIFS('04_MATCHING'!$B$2:$B$1026,"OWASP",'04_MATCHING'!$C$2:$C$1026,$A85,'04_MATCHING'!$G$2:$G$1026,$B85,'04_MATCHING'!$H$2:$H$1026,"Primary TP")&gt;0,"Covered","FN")</f>
        <v>Covered</v>
      </c>
      <c r="E85" s="5" t="str">
        <f>IF(COUNTIFS('04_MATCHING'!$B$2:$B$1026,"TMT",'04_MATCHING'!$C$2:$C$1026,$A85,'04_MATCHING'!$G$2:$G$1026,$B85,'04_MATCHING'!$H$2:$H$1026,"Primary TP")&gt;0,"Covered","FN")</f>
        <v>Covered</v>
      </c>
      <c r="F85" s="5" t="str">
        <f>IF(COUNTIFS('04_MATCHING'!$B$2:$B$1026,"CHATGPT",'04_MATCHING'!$C$2:$C$1026,$A85,'04_MATCHING'!$G$2:$G$1026,$B85,'04_MATCHING'!$H$2:$H$1026,"Primary TP")&gt;0,"Covered","FN")</f>
        <v>Covered</v>
      </c>
      <c r="G85" s="5" t="str">
        <f>IF(COUNTIFS('04_MATCHING'!$B$2:$B$1026,"OLLAMA",'04_MATCHING'!$C$2:$C$1026,$A85,'04_MATCHING'!$G$2:$G$1026,$B85,'04_MATCHING'!$H$2:$H$1026,"Primary TP")&gt;0,"Covered","FN")</f>
        <v>FN</v>
      </c>
      <c r="H85" s="5" t="str">
        <f>IF(COUNTIFS('04_MATCHING'!$B$2:$B$1026,"THREMOLIA",'04_MATCHING'!$C$2:$C$1026,$A85,'04_MATCHING'!$G$2:$G$1026,$B85,'04_MATCHING'!$H$2:$H$1026,"Primary TP")&gt;0,"Covered","FN")</f>
        <v>Covered</v>
      </c>
      <c r="I85" s="5" t="n">
        <f>COUNTIF($D85:$H85,"Covered")</f>
        <v>4.0</v>
      </c>
    </row>
    <row r="86">
      <c r="A86" s="5" t="inlineStr">
        <is>
          <t>S2</t>
        </is>
      </c>
      <c r="B86" s="5" t="inlineStr">
        <is>
          <t>S2-RT-032</t>
        </is>
      </c>
      <c r="C86" s="7" t="inlineStr">
        <is>
          <t>External LLM provider unavailability or degradation</t>
        </is>
      </c>
      <c r="D86" s="5" t="str">
        <f>IF(COUNTIFS('04_MATCHING'!$B$2:$B$1026,"OWASP",'04_MATCHING'!$C$2:$C$1026,$A86,'04_MATCHING'!$G$2:$G$1026,$B86,'04_MATCHING'!$H$2:$H$1026,"Primary TP")&gt;0,"Covered","FN")</f>
        <v>FN</v>
      </c>
      <c r="E86" s="5" t="str">
        <f>IF(COUNTIFS('04_MATCHING'!$B$2:$B$1026,"TMT",'04_MATCHING'!$C$2:$C$1026,$A86,'04_MATCHING'!$G$2:$G$1026,$B86,'04_MATCHING'!$H$2:$H$1026,"Primary TP")&gt;0,"Covered","FN")</f>
        <v>Covered</v>
      </c>
      <c r="F86" s="5" t="str">
        <f>IF(COUNTIFS('04_MATCHING'!$B$2:$B$1026,"CHATGPT",'04_MATCHING'!$C$2:$C$1026,$A86,'04_MATCHING'!$G$2:$G$1026,$B86,'04_MATCHING'!$H$2:$H$1026,"Primary TP")&gt;0,"Covered","FN")</f>
        <v>Covered</v>
      </c>
      <c r="G86" s="5" t="str">
        <f>IF(COUNTIFS('04_MATCHING'!$B$2:$B$1026,"OLLAMA",'04_MATCHING'!$C$2:$C$1026,$A86,'04_MATCHING'!$G$2:$G$1026,$B86,'04_MATCHING'!$H$2:$H$1026,"Primary TP")&gt;0,"Covered","FN")</f>
        <v>FN</v>
      </c>
      <c r="H86" s="5" t="str">
        <f>IF(COUNTIFS('04_MATCHING'!$B$2:$B$1026,"THREMOLIA",'04_MATCHING'!$C$2:$C$1026,$A86,'04_MATCHING'!$G$2:$G$1026,$B86,'04_MATCHING'!$H$2:$H$1026,"Primary TP")&gt;0,"Covered","FN")</f>
        <v>Covered</v>
      </c>
      <c r="I86" s="5" t="n">
        <f>COUNTIF($D86:$H86,"Covered")</f>
        <v>3.0</v>
      </c>
    </row>
    <row r="87">
      <c r="A87" s="5" t="inlineStr">
        <is>
          <t>S2</t>
        </is>
      </c>
      <c r="B87" s="5" t="inlineStr">
        <is>
          <t>S2-RT-033</t>
        </is>
      </c>
      <c r="C87" s="7" t="inlineStr">
        <is>
          <t>Unbounded consumption of the LLM processing pipeline</t>
        </is>
      </c>
      <c r="D87" s="5" t="str">
        <f>IF(COUNTIFS('04_MATCHING'!$B$2:$B$1026,"OWASP",'04_MATCHING'!$C$2:$C$1026,$A87,'04_MATCHING'!$G$2:$G$1026,$B87,'04_MATCHING'!$H$2:$H$1026,"Primary TP")&gt;0,"Covered","FN")</f>
        <v>Covered</v>
      </c>
      <c r="E87" s="5" t="str">
        <f>IF(COUNTIFS('04_MATCHING'!$B$2:$B$1026,"TMT",'04_MATCHING'!$C$2:$C$1026,$A87,'04_MATCHING'!$G$2:$G$1026,$B87,'04_MATCHING'!$H$2:$H$1026,"Primary TP")&gt;0,"Covered","FN")</f>
        <v>FN</v>
      </c>
      <c r="F87" s="5" t="str">
        <f>IF(COUNTIFS('04_MATCHING'!$B$2:$B$1026,"CHATGPT",'04_MATCHING'!$C$2:$C$1026,$A87,'04_MATCHING'!$G$2:$G$1026,$B87,'04_MATCHING'!$H$2:$H$1026,"Primary TP")&gt;0,"Covered","FN")</f>
        <v>Covered</v>
      </c>
      <c r="G87" s="5" t="str">
        <f>IF(COUNTIFS('04_MATCHING'!$B$2:$B$1026,"OLLAMA",'04_MATCHING'!$C$2:$C$1026,$A87,'04_MATCHING'!$G$2:$G$1026,$B87,'04_MATCHING'!$H$2:$H$1026,"Primary TP")&gt;0,"Covered","FN")</f>
        <v>FN</v>
      </c>
      <c r="H87" s="5" t="str">
        <f>IF(COUNTIFS('04_MATCHING'!$B$2:$B$1026,"THREMOLIA",'04_MATCHING'!$C$2:$C$1026,$A87,'04_MATCHING'!$G$2:$G$1026,$B87,'04_MATCHING'!$H$2:$H$1026,"Primary TP")&gt;0,"Covered","FN")</f>
        <v>Covered</v>
      </c>
      <c r="I87" s="5" t="n">
        <f>COUNTIF($D87:$H87,"Covered")</f>
        <v>3.0</v>
      </c>
    </row>
    <row r="88">
      <c r="A88" s="5" t="inlineStr">
        <is>
          <t>S2</t>
        </is>
      </c>
      <c r="B88" s="5" t="inlineStr">
        <is>
          <t>S2-RT-034</t>
        </is>
      </c>
      <c r="C88" s="7" t="inlineStr">
        <is>
          <t>Tampering with permission and ownership records in the User Permission Database</t>
        </is>
      </c>
      <c r="D88" s="5" t="str">
        <f>IF(COUNTIFS('04_MATCHING'!$B$2:$B$1026,"OWASP",'04_MATCHING'!$C$2:$C$1026,$A88,'04_MATCHING'!$G$2:$G$1026,$B88,'04_MATCHING'!$H$2:$H$1026,"Primary TP")&gt;0,"Covered","FN")</f>
        <v>FN</v>
      </c>
      <c r="E88" s="5" t="str">
        <f>IF(COUNTIFS('04_MATCHING'!$B$2:$B$1026,"TMT",'04_MATCHING'!$C$2:$C$1026,$A88,'04_MATCHING'!$G$2:$G$1026,$B88,'04_MATCHING'!$H$2:$H$1026,"Primary TP")&gt;0,"Covered","FN")</f>
        <v>FN</v>
      </c>
      <c r="F88" s="5" t="str">
        <f>IF(COUNTIFS('04_MATCHING'!$B$2:$B$1026,"CHATGPT",'04_MATCHING'!$C$2:$C$1026,$A88,'04_MATCHING'!$G$2:$G$1026,$B88,'04_MATCHING'!$H$2:$H$1026,"Primary TP")&gt;0,"Covered","FN")</f>
        <v>Covered</v>
      </c>
      <c r="G88" s="5" t="str">
        <f>IF(COUNTIFS('04_MATCHING'!$B$2:$B$1026,"OLLAMA",'04_MATCHING'!$C$2:$C$1026,$A88,'04_MATCHING'!$G$2:$G$1026,$B88,'04_MATCHING'!$H$2:$H$1026,"Primary TP")&gt;0,"Covered","FN")</f>
        <v>FN</v>
      </c>
      <c r="H88" s="5" t="str">
        <f>IF(COUNTIFS('04_MATCHING'!$B$2:$B$1026,"THREMOLIA",'04_MATCHING'!$C$2:$C$1026,$A88,'04_MATCHING'!$G$2:$G$1026,$B88,'04_MATCHING'!$H$2:$H$1026,"Primary TP")&gt;0,"Covered","FN")</f>
        <v>Covered</v>
      </c>
      <c r="I88" s="5" t="n">
        <f>COUNTIF($D88:$H88,"Covered")</f>
        <v>2.0</v>
      </c>
    </row>
    <row r="89">
      <c r="A89" s="5" t="inlineStr">
        <is>
          <t>S3</t>
        </is>
      </c>
      <c r="B89" s="5" t="inlineStr">
        <is>
          <t>S3-RT-001</t>
        </is>
      </c>
      <c r="C89" s="7" t="inlineStr">
        <is>
          <t>Account recovery bypass through manipulation of recovery request handling</t>
        </is>
      </c>
      <c r="D89" s="5" t="str">
        <f>IF(COUNTIFS('04_MATCHING'!$B$2:$B$1026,"OWASP",'04_MATCHING'!$C$2:$C$1026,$A89,'04_MATCHING'!$G$2:$G$1026,$B89,'04_MATCHING'!$H$2:$H$1026,"Primary TP")&gt;0,"Covered","FN")</f>
        <v>FN</v>
      </c>
      <c r="E89" s="5" t="str">
        <f>IF(COUNTIFS('04_MATCHING'!$B$2:$B$1026,"TMT",'04_MATCHING'!$C$2:$C$1026,$A89,'04_MATCHING'!$G$2:$G$1026,$B89,'04_MATCHING'!$H$2:$H$1026,"Primary TP")&gt;0,"Covered","FN")</f>
        <v>FN</v>
      </c>
      <c r="F89" s="5" t="str">
        <f>IF(COUNTIFS('04_MATCHING'!$B$2:$B$1026,"CHATGPT",'04_MATCHING'!$C$2:$C$1026,$A89,'04_MATCHING'!$G$2:$G$1026,$B89,'04_MATCHING'!$H$2:$H$1026,"Primary TP")&gt;0,"Covered","FN")</f>
        <v>Covered</v>
      </c>
      <c r="G89" s="5" t="str">
        <f>IF(COUNTIFS('04_MATCHING'!$B$2:$B$1026,"OLLAMA",'04_MATCHING'!$C$2:$C$1026,$A89,'04_MATCHING'!$G$2:$G$1026,$B89,'04_MATCHING'!$H$2:$H$1026,"Primary TP")&gt;0,"Covered","FN")</f>
        <v>Covered</v>
      </c>
      <c r="H89" s="5" t="str">
        <f>IF(COUNTIFS('04_MATCHING'!$B$2:$B$1026,"THREMOLIA",'04_MATCHING'!$C$2:$C$1026,$A89,'04_MATCHING'!$G$2:$G$1026,$B89,'04_MATCHING'!$H$2:$H$1026,"Primary TP")&gt;0,"Covered","FN")</f>
        <v>Covered</v>
      </c>
      <c r="I89" s="5" t="n">
        <f>COUNTIF($D89:$H89,"Covered")</f>
        <v>3.0</v>
      </c>
    </row>
    <row r="90">
      <c r="A90" s="5" t="inlineStr">
        <is>
          <t>S3</t>
        </is>
      </c>
      <c r="B90" s="5" t="inlineStr">
        <is>
          <t>S3-RT-002</t>
        </is>
      </c>
      <c r="C90" s="7" t="inlineStr">
        <is>
          <t>Weak identity verification exploitation through guessable verification factors</t>
        </is>
      </c>
      <c r="D90" s="5" t="str">
        <f>IF(COUNTIFS('04_MATCHING'!$B$2:$B$1026,"OWASP",'04_MATCHING'!$C$2:$C$1026,$A90,'04_MATCHING'!$G$2:$G$1026,$B90,'04_MATCHING'!$H$2:$H$1026,"Primary TP")&gt;0,"Covered","FN")</f>
        <v>Covered</v>
      </c>
      <c r="E90" s="5" t="str">
        <f>IF(COUNTIFS('04_MATCHING'!$B$2:$B$1026,"TMT",'04_MATCHING'!$C$2:$C$1026,$A90,'04_MATCHING'!$G$2:$G$1026,$B90,'04_MATCHING'!$H$2:$H$1026,"Primary TP")&gt;0,"Covered","FN")</f>
        <v>FN</v>
      </c>
      <c r="F90" s="5" t="str">
        <f>IF(COUNTIFS('04_MATCHING'!$B$2:$B$1026,"CHATGPT",'04_MATCHING'!$C$2:$C$1026,$A90,'04_MATCHING'!$G$2:$G$1026,$B90,'04_MATCHING'!$H$2:$H$1026,"Primary TP")&gt;0,"Covered","FN")</f>
        <v>FN</v>
      </c>
      <c r="G90" s="5" t="str">
        <f>IF(COUNTIFS('04_MATCHING'!$B$2:$B$1026,"OLLAMA",'04_MATCHING'!$C$2:$C$1026,$A90,'04_MATCHING'!$G$2:$G$1026,$B90,'04_MATCHING'!$H$2:$H$1026,"Primary TP")&gt;0,"Covered","FN")</f>
        <v>FN</v>
      </c>
      <c r="H90" s="5" t="str">
        <f>IF(COUNTIFS('04_MATCHING'!$B$2:$B$1026,"THREMOLIA",'04_MATCHING'!$C$2:$C$1026,$A90,'04_MATCHING'!$G$2:$G$1026,$B90,'04_MATCHING'!$H$2:$H$1026,"Primary TP")&gt;0,"Covered","FN")</f>
        <v>FN</v>
      </c>
      <c r="I90" s="5" t="n">
        <f>COUNTIF($D90:$H90,"Covered")</f>
        <v>1.0</v>
      </c>
    </row>
    <row r="91">
      <c r="A91" s="5" t="inlineStr">
        <is>
          <t>S3</t>
        </is>
      </c>
      <c r="B91" s="5" t="inlineStr">
        <is>
          <t>S3-RT-003</t>
        </is>
      </c>
      <c r="C91" s="7" t="inlineStr">
        <is>
          <t>Recovery token theft at the user boundary</t>
        </is>
      </c>
      <c r="D91" s="5" t="str">
        <f>IF(COUNTIFS('04_MATCHING'!$B$2:$B$1026,"OWASP",'04_MATCHING'!$C$2:$C$1026,$A91,'04_MATCHING'!$G$2:$G$1026,$B91,'04_MATCHING'!$H$2:$H$1026,"Primary TP")&gt;0,"Covered","FN")</f>
        <v>FN</v>
      </c>
      <c r="E91" s="5" t="str">
        <f>IF(COUNTIFS('04_MATCHING'!$B$2:$B$1026,"TMT",'04_MATCHING'!$C$2:$C$1026,$A91,'04_MATCHING'!$G$2:$G$1026,$B91,'04_MATCHING'!$H$2:$H$1026,"Primary TP")&gt;0,"Covered","FN")</f>
        <v>Covered</v>
      </c>
      <c r="F91" s="5" t="str">
        <f>IF(COUNTIFS('04_MATCHING'!$B$2:$B$1026,"CHATGPT",'04_MATCHING'!$C$2:$C$1026,$A91,'04_MATCHING'!$G$2:$G$1026,$B91,'04_MATCHING'!$H$2:$H$1026,"Primary TP")&gt;0,"Covered","FN")</f>
        <v>Covered</v>
      </c>
      <c r="G91" s="5" t="str">
        <f>IF(COUNTIFS('04_MATCHING'!$B$2:$B$1026,"OLLAMA",'04_MATCHING'!$C$2:$C$1026,$A91,'04_MATCHING'!$G$2:$G$1026,$B91,'04_MATCHING'!$H$2:$H$1026,"Primary TP")&gt;0,"Covered","FN")</f>
        <v>Covered</v>
      </c>
      <c r="H91" s="5" t="str">
        <f>IF(COUNTIFS('04_MATCHING'!$B$2:$B$1026,"THREMOLIA",'04_MATCHING'!$C$2:$C$1026,$A91,'04_MATCHING'!$G$2:$G$1026,$B91,'04_MATCHING'!$H$2:$H$1026,"Primary TP")&gt;0,"Covered","FN")</f>
        <v>Covered</v>
      </c>
      <c r="I91" s="5" t="n">
        <f>COUNTIF($D91:$H91,"Covered")</f>
        <v>4.0</v>
      </c>
    </row>
    <row r="92">
      <c r="A92" s="5" t="inlineStr">
        <is>
          <t>S3</t>
        </is>
      </c>
      <c r="B92" s="5" t="inlineStr">
        <is>
          <t>S3-RT-004</t>
        </is>
      </c>
      <c r="C92" s="7" t="inlineStr">
        <is>
          <t>Recovery token replay through insufficient single-use and expiry enforcement</t>
        </is>
      </c>
      <c r="D92" s="5" t="str">
        <f>IF(COUNTIFS('04_MATCHING'!$B$2:$B$1026,"OWASP",'04_MATCHING'!$C$2:$C$1026,$A92,'04_MATCHING'!$G$2:$G$1026,$B92,'04_MATCHING'!$H$2:$H$1026,"Primary TP")&gt;0,"Covered","FN")</f>
        <v>FN</v>
      </c>
      <c r="E92" s="5" t="str">
        <f>IF(COUNTIFS('04_MATCHING'!$B$2:$B$1026,"TMT",'04_MATCHING'!$C$2:$C$1026,$A92,'04_MATCHING'!$G$2:$G$1026,$B92,'04_MATCHING'!$H$2:$H$1026,"Primary TP")&gt;0,"Covered","FN")</f>
        <v>FN</v>
      </c>
      <c r="F92" s="5" t="str">
        <f>IF(COUNTIFS('04_MATCHING'!$B$2:$B$1026,"CHATGPT",'04_MATCHING'!$C$2:$C$1026,$A92,'04_MATCHING'!$G$2:$G$1026,$B92,'04_MATCHING'!$H$2:$H$1026,"Primary TP")&gt;0,"Covered","FN")</f>
        <v>Covered</v>
      </c>
      <c r="G92" s="5" t="str">
        <f>IF(COUNTIFS('04_MATCHING'!$B$2:$B$1026,"OLLAMA",'04_MATCHING'!$C$2:$C$1026,$A92,'04_MATCHING'!$G$2:$G$1026,$B92,'04_MATCHING'!$H$2:$H$1026,"Primary TP")&gt;0,"Covered","FN")</f>
        <v>Covered</v>
      </c>
      <c r="H92" s="5" t="str">
        <f>IF(COUNTIFS('04_MATCHING'!$B$2:$B$1026,"THREMOLIA",'04_MATCHING'!$C$2:$C$1026,$A92,'04_MATCHING'!$G$2:$G$1026,$B92,'04_MATCHING'!$H$2:$H$1026,"Primary TP")&gt;0,"Covered","FN")</f>
        <v>Covered</v>
      </c>
      <c r="I92" s="5" t="n">
        <f>COUNTIF($D92:$H92,"Covered")</f>
        <v>3.0</v>
      </c>
    </row>
    <row r="93">
      <c r="A93" s="5" t="inlineStr">
        <is>
          <t>S3</t>
        </is>
      </c>
      <c r="B93" s="5" t="inlineStr">
        <is>
          <t>S3-RT-005</t>
        </is>
      </c>
      <c r="C93" s="7" t="inlineStr">
        <is>
          <t>Recovery token prediction through insufficient generation entropy</t>
        </is>
      </c>
      <c r="D93" s="5" t="str">
        <f>IF(COUNTIFS('04_MATCHING'!$B$2:$B$1026,"OWASP",'04_MATCHING'!$C$2:$C$1026,$A93,'04_MATCHING'!$G$2:$G$1026,$B93,'04_MATCHING'!$H$2:$H$1026,"Primary TP")&gt;0,"Covered","FN")</f>
        <v>FN</v>
      </c>
      <c r="E93" s="5" t="str">
        <f>IF(COUNTIFS('04_MATCHING'!$B$2:$B$1026,"TMT",'04_MATCHING'!$C$2:$C$1026,$A93,'04_MATCHING'!$G$2:$G$1026,$B93,'04_MATCHING'!$H$2:$H$1026,"Primary TP")&gt;0,"Covered","FN")</f>
        <v>FN</v>
      </c>
      <c r="F93" s="5" t="str">
        <f>IF(COUNTIFS('04_MATCHING'!$B$2:$B$1026,"CHATGPT",'04_MATCHING'!$C$2:$C$1026,$A93,'04_MATCHING'!$G$2:$G$1026,$B93,'04_MATCHING'!$H$2:$H$1026,"Primary TP")&gt;0,"Covered","FN")</f>
        <v>Covered</v>
      </c>
      <c r="G93" s="5" t="str">
        <f>IF(COUNTIFS('04_MATCHING'!$B$2:$B$1026,"OLLAMA",'04_MATCHING'!$C$2:$C$1026,$A93,'04_MATCHING'!$G$2:$G$1026,$B93,'04_MATCHING'!$H$2:$H$1026,"Primary TP")&gt;0,"Covered","FN")</f>
        <v>FN</v>
      </c>
      <c r="H93" s="5" t="str">
        <f>IF(COUNTIFS('04_MATCHING'!$B$2:$B$1026,"THREMOLIA",'04_MATCHING'!$C$2:$C$1026,$A93,'04_MATCHING'!$G$2:$G$1026,$B93,'04_MATCHING'!$H$2:$H$1026,"Primary TP")&gt;0,"Covered","FN")</f>
        <v>Covered</v>
      </c>
      <c r="I93" s="5" t="n">
        <f>COUNTIF($D93:$H93,"Covered")</f>
        <v>2.0</v>
      </c>
    </row>
    <row r="94">
      <c r="A94" s="5" t="inlineStr">
        <is>
          <t>S3</t>
        </is>
      </c>
      <c r="B94" s="5" t="inlineStr">
        <is>
          <t>S3-RT-006</t>
        </is>
      </c>
      <c r="C94" s="7" t="inlineStr">
        <is>
          <t>Cross-account token confusion through insufficient token-to-account binding</t>
        </is>
      </c>
      <c r="D94" s="5" t="str">
        <f>IF(COUNTIFS('04_MATCHING'!$B$2:$B$1026,"OWASP",'04_MATCHING'!$C$2:$C$1026,$A94,'04_MATCHING'!$G$2:$G$1026,$B94,'04_MATCHING'!$H$2:$H$1026,"Primary TP")&gt;0,"Covered","FN")</f>
        <v>FN</v>
      </c>
      <c r="E94" s="5" t="str">
        <f>IF(COUNTIFS('04_MATCHING'!$B$2:$B$1026,"TMT",'04_MATCHING'!$C$2:$C$1026,$A94,'04_MATCHING'!$G$2:$G$1026,$B94,'04_MATCHING'!$H$2:$H$1026,"Primary TP")&gt;0,"Covered","FN")</f>
        <v>FN</v>
      </c>
      <c r="F94" s="5" t="str">
        <f>IF(COUNTIFS('04_MATCHING'!$B$2:$B$1026,"CHATGPT",'04_MATCHING'!$C$2:$C$1026,$A94,'04_MATCHING'!$G$2:$G$1026,$B94,'04_MATCHING'!$H$2:$H$1026,"Primary TP")&gt;0,"Covered","FN")</f>
        <v>FN</v>
      </c>
      <c r="G94" s="5" t="str">
        <f>IF(COUNTIFS('04_MATCHING'!$B$2:$B$1026,"OLLAMA",'04_MATCHING'!$C$2:$C$1026,$A94,'04_MATCHING'!$G$2:$G$1026,$B94,'04_MATCHING'!$H$2:$H$1026,"Primary TP")&gt;0,"Covered","FN")</f>
        <v>FN</v>
      </c>
      <c r="H94" s="5" t="str">
        <f>IF(COUNTIFS('04_MATCHING'!$B$2:$B$1026,"THREMOLIA",'04_MATCHING'!$C$2:$C$1026,$A94,'04_MATCHING'!$G$2:$G$1026,$B94,'04_MATCHING'!$H$2:$H$1026,"Primary TP")&gt;0,"Covered","FN")</f>
        <v>FN</v>
      </c>
      <c r="I94" s="5" t="n">
        <f>COUNTIF($D94:$H94,"Covered")</f>
        <v>0.0</v>
      </c>
    </row>
    <row r="95">
      <c r="A95" s="5" t="inlineStr">
        <is>
          <t>S3</t>
        </is>
      </c>
      <c r="B95" s="5" t="inlineStr">
        <is>
          <t>S3-RT-007</t>
        </is>
      </c>
      <c r="C95" s="7" t="inlineStr">
        <is>
          <t>Broken access control on profile updates through record-level reference manipulation</t>
        </is>
      </c>
      <c r="D95" s="5" t="str">
        <f>IF(COUNTIFS('04_MATCHING'!$B$2:$B$1026,"OWASP",'04_MATCHING'!$C$2:$C$1026,$A95,'04_MATCHING'!$G$2:$G$1026,$B95,'04_MATCHING'!$H$2:$H$1026,"Primary TP")&gt;0,"Covered","FN")</f>
        <v>FN</v>
      </c>
      <c r="E95" s="5" t="str">
        <f>IF(COUNTIFS('04_MATCHING'!$B$2:$B$1026,"TMT",'04_MATCHING'!$C$2:$C$1026,$A95,'04_MATCHING'!$G$2:$G$1026,$B95,'04_MATCHING'!$H$2:$H$1026,"Primary TP")&gt;0,"Covered","FN")</f>
        <v>FN</v>
      </c>
      <c r="F95" s="5" t="str">
        <f>IF(COUNTIFS('04_MATCHING'!$B$2:$B$1026,"CHATGPT",'04_MATCHING'!$C$2:$C$1026,$A95,'04_MATCHING'!$G$2:$G$1026,$B95,'04_MATCHING'!$H$2:$H$1026,"Primary TP")&gt;0,"Covered","FN")</f>
        <v>FN</v>
      </c>
      <c r="G95" s="5" t="str">
        <f>IF(COUNTIFS('04_MATCHING'!$B$2:$B$1026,"OLLAMA",'04_MATCHING'!$C$2:$C$1026,$A95,'04_MATCHING'!$G$2:$G$1026,$B95,'04_MATCHING'!$H$2:$H$1026,"Primary TP")&gt;0,"Covered","FN")</f>
        <v>FN</v>
      </c>
      <c r="H95" s="5" t="str">
        <f>IF(COUNTIFS('04_MATCHING'!$B$2:$B$1026,"THREMOLIA",'04_MATCHING'!$C$2:$C$1026,$A95,'04_MATCHING'!$G$2:$G$1026,$B95,'04_MATCHING'!$H$2:$H$1026,"Primary TP")&gt;0,"Covered","FN")</f>
        <v>FN</v>
      </c>
      <c r="I95" s="5" t="n">
        <f>COUNTIF($D95:$H95,"Covered")</f>
        <v>0.0</v>
      </c>
    </row>
    <row r="96">
      <c r="A96" s="5" t="inlineStr">
        <is>
          <t>S3</t>
        </is>
      </c>
      <c r="B96" s="5" t="inlineStr">
        <is>
          <t>S3-RT-008</t>
        </is>
      </c>
      <c r="C96" s="7" t="inlineStr">
        <is>
          <t>Mass assignment of security-relevant fields through the profile update path</t>
        </is>
      </c>
      <c r="D96" s="5" t="str">
        <f>IF(COUNTIFS('04_MATCHING'!$B$2:$B$1026,"OWASP",'04_MATCHING'!$C$2:$C$1026,$A96,'04_MATCHING'!$G$2:$G$1026,$B96,'04_MATCHING'!$H$2:$H$1026,"Primary TP")&gt;0,"Covered","FN")</f>
        <v>FN</v>
      </c>
      <c r="E96" s="5" t="str">
        <f>IF(COUNTIFS('04_MATCHING'!$B$2:$B$1026,"TMT",'04_MATCHING'!$C$2:$C$1026,$A96,'04_MATCHING'!$G$2:$G$1026,$B96,'04_MATCHING'!$H$2:$H$1026,"Primary TP")&gt;0,"Covered","FN")</f>
        <v>FN</v>
      </c>
      <c r="F96" s="5" t="str">
        <f>IF(COUNTIFS('04_MATCHING'!$B$2:$B$1026,"CHATGPT",'04_MATCHING'!$C$2:$C$1026,$A96,'04_MATCHING'!$G$2:$G$1026,$B96,'04_MATCHING'!$H$2:$H$1026,"Primary TP")&gt;0,"Covered","FN")</f>
        <v>FN</v>
      </c>
      <c r="G96" s="5" t="str">
        <f>IF(COUNTIFS('04_MATCHING'!$B$2:$B$1026,"OLLAMA",'04_MATCHING'!$C$2:$C$1026,$A96,'04_MATCHING'!$G$2:$G$1026,$B96,'04_MATCHING'!$H$2:$H$1026,"Primary TP")&gt;0,"Covered","FN")</f>
        <v>FN</v>
      </c>
      <c r="H96" s="5" t="str">
        <f>IF(COUNTIFS('04_MATCHING'!$B$2:$B$1026,"THREMOLIA",'04_MATCHING'!$C$2:$C$1026,$A96,'04_MATCHING'!$G$2:$G$1026,$B96,'04_MATCHING'!$H$2:$H$1026,"Primary TP")&gt;0,"Covered","FN")</f>
        <v>Covered</v>
      </c>
      <c r="I96" s="5" t="n">
        <f>COUNTIF($D96:$H96,"Covered")</f>
        <v>1.0</v>
      </c>
    </row>
    <row r="97">
      <c r="A97" s="5" t="inlineStr">
        <is>
          <t>S3</t>
        </is>
      </c>
      <c r="B97" s="5" t="inlineStr">
        <is>
          <t>S3-RT-009</t>
        </is>
      </c>
      <c r="C97" s="7" t="inlineStr">
        <is>
          <t>Privilege-separation gap in the Profile Management Service's access to the shared User Database</t>
        </is>
      </c>
      <c r="D97" s="5" t="str">
        <f>IF(COUNTIFS('04_MATCHING'!$B$2:$B$1026,"OWASP",'04_MATCHING'!$C$2:$C$1026,$A97,'04_MATCHING'!$G$2:$G$1026,$B97,'04_MATCHING'!$H$2:$H$1026,"Primary TP")&gt;0,"Covered","FN")</f>
        <v>FN</v>
      </c>
      <c r="E97" s="5" t="str">
        <f>IF(COUNTIFS('04_MATCHING'!$B$2:$B$1026,"TMT",'04_MATCHING'!$C$2:$C$1026,$A97,'04_MATCHING'!$G$2:$G$1026,$B97,'04_MATCHING'!$H$2:$H$1026,"Primary TP")&gt;0,"Covered","FN")</f>
        <v>FN</v>
      </c>
      <c r="F97" s="5" t="str">
        <f>IF(COUNTIFS('04_MATCHING'!$B$2:$B$1026,"CHATGPT",'04_MATCHING'!$C$2:$C$1026,$A97,'04_MATCHING'!$G$2:$G$1026,$B97,'04_MATCHING'!$H$2:$H$1026,"Primary TP")&gt;0,"Covered","FN")</f>
        <v>FN</v>
      </c>
      <c r="G97" s="5" t="str">
        <f>IF(COUNTIFS('04_MATCHING'!$B$2:$B$1026,"OLLAMA",'04_MATCHING'!$C$2:$C$1026,$A97,'04_MATCHING'!$G$2:$G$1026,$B97,'04_MATCHING'!$H$2:$H$1026,"Primary TP")&gt;0,"Covered","FN")</f>
        <v>FN</v>
      </c>
      <c r="H97" s="5" t="str">
        <f>IF(COUNTIFS('04_MATCHING'!$B$2:$B$1026,"THREMOLIA",'04_MATCHING'!$C$2:$C$1026,$A97,'04_MATCHING'!$G$2:$G$1026,$B97,'04_MATCHING'!$H$2:$H$1026,"Primary TP")&gt;0,"Covered","FN")</f>
        <v>FN</v>
      </c>
      <c r="I97" s="5" t="n">
        <f>COUNTIF($D97:$H97,"Covered")</f>
        <v>0.0</v>
      </c>
    </row>
    <row r="98">
      <c r="A98" s="5" t="inlineStr">
        <is>
          <t>S3</t>
        </is>
      </c>
      <c r="B98" s="5" t="inlineStr">
        <is>
          <t>S3-RT-010</t>
        </is>
      </c>
      <c r="C98" s="7" t="inlineStr">
        <is>
          <t>Unauthenticated access to account-related information through the assistant path</t>
        </is>
      </c>
      <c r="D98" s="5" t="str">
        <f>IF(COUNTIFS('04_MATCHING'!$B$2:$B$1026,"OWASP",'04_MATCHING'!$C$2:$C$1026,$A98,'04_MATCHING'!$G$2:$G$1026,$B98,'04_MATCHING'!$H$2:$H$1026,"Primary TP")&gt;0,"Covered","FN")</f>
        <v>FN</v>
      </c>
      <c r="E98" s="5" t="str">
        <f>IF(COUNTIFS('04_MATCHING'!$B$2:$B$1026,"TMT",'04_MATCHING'!$C$2:$C$1026,$A98,'04_MATCHING'!$G$2:$G$1026,$B98,'04_MATCHING'!$H$2:$H$1026,"Primary TP")&gt;0,"Covered","FN")</f>
        <v>FN</v>
      </c>
      <c r="F98" s="5" t="str">
        <f>IF(COUNTIFS('04_MATCHING'!$B$2:$B$1026,"CHATGPT",'04_MATCHING'!$C$2:$C$1026,$A98,'04_MATCHING'!$G$2:$G$1026,$B98,'04_MATCHING'!$H$2:$H$1026,"Primary TP")&gt;0,"Covered","FN")</f>
        <v>FN</v>
      </c>
      <c r="G98" s="5" t="str">
        <f>IF(COUNTIFS('04_MATCHING'!$B$2:$B$1026,"OLLAMA",'04_MATCHING'!$C$2:$C$1026,$A98,'04_MATCHING'!$G$2:$G$1026,$B98,'04_MATCHING'!$H$2:$H$1026,"Primary TP")&gt;0,"Covered","FN")</f>
        <v>FN</v>
      </c>
      <c r="H98" s="5" t="str">
        <f>IF(COUNTIFS('04_MATCHING'!$B$2:$B$1026,"THREMOLIA",'04_MATCHING'!$C$2:$C$1026,$A98,'04_MATCHING'!$G$2:$G$1026,$B98,'04_MATCHING'!$H$2:$H$1026,"Primary TP")&gt;0,"Covered","FN")</f>
        <v>FN</v>
      </c>
      <c r="I98" s="5" t="n">
        <f>COUNTIF($D98:$H98,"Covered")</f>
        <v>0.0</v>
      </c>
    </row>
    <row r="99">
      <c r="A99" s="5" t="inlineStr">
        <is>
          <t>S3</t>
        </is>
      </c>
      <c r="B99" s="5" t="inlineStr">
        <is>
          <t>S3-RT-011</t>
        </is>
      </c>
      <c r="C99" s="7" t="inlineStr">
        <is>
          <t>Injection into identity verification lookups through recovery request data</t>
        </is>
      </c>
      <c r="D99" s="5" t="str">
        <f>IF(COUNTIFS('04_MATCHING'!$B$2:$B$1026,"OWASP",'04_MATCHING'!$C$2:$C$1026,$A99,'04_MATCHING'!$G$2:$G$1026,$B99,'04_MATCHING'!$H$2:$H$1026,"Primary TP")&gt;0,"Covered","FN")</f>
        <v>FN</v>
      </c>
      <c r="E99" s="5" t="str">
        <f>IF(COUNTIFS('04_MATCHING'!$B$2:$B$1026,"TMT",'04_MATCHING'!$C$2:$C$1026,$A99,'04_MATCHING'!$G$2:$G$1026,$B99,'04_MATCHING'!$H$2:$H$1026,"Primary TP")&gt;0,"Covered","FN")</f>
        <v>FN</v>
      </c>
      <c r="F99" s="5" t="str">
        <f>IF(COUNTIFS('04_MATCHING'!$B$2:$B$1026,"CHATGPT",'04_MATCHING'!$C$2:$C$1026,$A99,'04_MATCHING'!$G$2:$G$1026,$B99,'04_MATCHING'!$H$2:$H$1026,"Primary TP")&gt;0,"Covered","FN")</f>
        <v>FN</v>
      </c>
      <c r="G99" s="5" t="str">
        <f>IF(COUNTIFS('04_MATCHING'!$B$2:$B$1026,"OLLAMA",'04_MATCHING'!$C$2:$C$1026,$A99,'04_MATCHING'!$G$2:$G$1026,$B99,'04_MATCHING'!$H$2:$H$1026,"Primary TP")&gt;0,"Covered","FN")</f>
        <v>FN</v>
      </c>
      <c r="H99" s="5" t="str">
        <f>IF(COUNTIFS('04_MATCHING'!$B$2:$B$1026,"THREMOLIA",'04_MATCHING'!$C$2:$C$1026,$A99,'04_MATCHING'!$G$2:$G$1026,$B99,'04_MATCHING'!$H$2:$H$1026,"Primary TP")&gt;0,"Covered","FN")</f>
        <v>Covered</v>
      </c>
      <c r="I99" s="5" t="n">
        <f>COUNTIF($D99:$H99,"Covered")</f>
        <v>1.0</v>
      </c>
    </row>
    <row r="100">
      <c r="A100" s="5" t="inlineStr">
        <is>
          <t>S3</t>
        </is>
      </c>
      <c r="B100" s="5" t="inlineStr">
        <is>
          <t>S3-RT-012</t>
        </is>
      </c>
      <c r="C100" s="7" t="inlineStr">
        <is>
          <t>Stored second-order injection through profile update data crossing service domains</t>
        </is>
      </c>
      <c r="D100" s="5" t="str">
        <f>IF(COUNTIFS('04_MATCHING'!$B$2:$B$1026,"OWASP",'04_MATCHING'!$C$2:$C$1026,$A100,'04_MATCHING'!$G$2:$G$1026,$B100,'04_MATCHING'!$H$2:$H$1026,"Primary TP")&gt;0,"Covered","FN")</f>
        <v>Covered</v>
      </c>
      <c r="E100" s="5" t="str">
        <f>IF(COUNTIFS('04_MATCHING'!$B$2:$B$1026,"TMT",'04_MATCHING'!$C$2:$C$1026,$A100,'04_MATCHING'!$G$2:$G$1026,$B100,'04_MATCHING'!$H$2:$H$1026,"Primary TP")&gt;0,"Covered","FN")</f>
        <v>FN</v>
      </c>
      <c r="F100" s="5" t="str">
        <f>IF(COUNTIFS('04_MATCHING'!$B$2:$B$1026,"CHATGPT",'04_MATCHING'!$C$2:$C$1026,$A100,'04_MATCHING'!$G$2:$G$1026,$B100,'04_MATCHING'!$H$2:$H$1026,"Primary TP")&gt;0,"Covered","FN")</f>
        <v>FN</v>
      </c>
      <c r="G100" s="5" t="str">
        <f>IF(COUNTIFS('04_MATCHING'!$B$2:$B$1026,"OLLAMA",'04_MATCHING'!$C$2:$C$1026,$A100,'04_MATCHING'!$G$2:$G$1026,$B100,'04_MATCHING'!$H$2:$H$1026,"Primary TP")&gt;0,"Covered","FN")</f>
        <v>FN</v>
      </c>
      <c r="H100" s="5" t="str">
        <f>IF(COUNTIFS('04_MATCHING'!$B$2:$B$1026,"THREMOLIA",'04_MATCHING'!$C$2:$C$1026,$A100,'04_MATCHING'!$G$2:$G$1026,$B100,'04_MATCHING'!$H$2:$H$1026,"Primary TP")&gt;0,"Covered","FN")</f>
        <v>FN</v>
      </c>
      <c r="I100" s="5" t="n">
        <f>COUNTIF($D100:$H100,"Covered")</f>
        <v>1.0</v>
      </c>
    </row>
    <row r="101">
      <c r="A101" s="5" t="inlineStr">
        <is>
          <t>S3</t>
        </is>
      </c>
      <c r="B101" s="5" t="inlineStr">
        <is>
          <t>S3-RT-013</t>
        </is>
      </c>
      <c r="C101" s="7" t="inlineStr">
        <is>
          <t>Stored or reflected active content from profile and recovery data executing in the application's client context</t>
        </is>
      </c>
      <c r="D101" s="5" t="str">
        <f>IF(COUNTIFS('04_MATCHING'!$B$2:$B$1026,"OWASP",'04_MATCHING'!$C$2:$C$1026,$A101,'04_MATCHING'!$G$2:$G$1026,$B101,'04_MATCHING'!$H$2:$H$1026,"Primary TP")&gt;0,"Covered","FN")</f>
        <v>FN</v>
      </c>
      <c r="E101" s="5" t="str">
        <f>IF(COUNTIFS('04_MATCHING'!$B$2:$B$1026,"TMT",'04_MATCHING'!$C$2:$C$1026,$A101,'04_MATCHING'!$G$2:$G$1026,$B101,'04_MATCHING'!$H$2:$H$1026,"Primary TP")&gt;0,"Covered","FN")</f>
        <v>Covered</v>
      </c>
      <c r="F101" s="5" t="str">
        <f>IF(COUNTIFS('04_MATCHING'!$B$2:$B$1026,"CHATGPT",'04_MATCHING'!$C$2:$C$1026,$A101,'04_MATCHING'!$G$2:$G$1026,$B101,'04_MATCHING'!$H$2:$H$1026,"Primary TP")&gt;0,"Covered","FN")</f>
        <v>FN</v>
      </c>
      <c r="G101" s="5" t="str">
        <f>IF(COUNTIFS('04_MATCHING'!$B$2:$B$1026,"OLLAMA",'04_MATCHING'!$C$2:$C$1026,$A101,'04_MATCHING'!$G$2:$G$1026,$B101,'04_MATCHING'!$H$2:$H$1026,"Primary TP")&gt;0,"Covered","FN")</f>
        <v>FN</v>
      </c>
      <c r="H101" s="5" t="str">
        <f>IF(COUNTIFS('04_MATCHING'!$B$2:$B$1026,"THREMOLIA",'04_MATCHING'!$C$2:$C$1026,$A101,'04_MATCHING'!$G$2:$G$1026,$B101,'04_MATCHING'!$H$2:$H$1026,"Primary TP")&gt;0,"Covered","FN")</f>
        <v>Covered</v>
      </c>
      <c r="I101" s="5" t="n">
        <f>COUNTIF($D101:$H101,"Covered")</f>
        <v>2.0</v>
      </c>
    </row>
    <row r="102">
      <c r="A102" s="5" t="inlineStr">
        <is>
          <t>S3</t>
        </is>
      </c>
      <c r="B102" s="5" t="inlineStr">
        <is>
          <t>S3-RT-014</t>
        </is>
      </c>
      <c r="C102" s="7" t="inlineStr">
        <is>
          <t>Mass disclosure of User Database contents</t>
        </is>
      </c>
      <c r="D102" s="5" t="str">
        <f>IF(COUNTIFS('04_MATCHING'!$B$2:$B$1026,"OWASP",'04_MATCHING'!$C$2:$C$1026,$A102,'04_MATCHING'!$G$2:$G$1026,$B102,'04_MATCHING'!$H$2:$H$1026,"Primary TP")&gt;0,"Covered","FN")</f>
        <v>Covered</v>
      </c>
      <c r="E102" s="5" t="str">
        <f>IF(COUNTIFS('04_MATCHING'!$B$2:$B$1026,"TMT",'04_MATCHING'!$C$2:$C$1026,$A102,'04_MATCHING'!$G$2:$G$1026,$B102,'04_MATCHING'!$H$2:$H$1026,"Primary TP")&gt;0,"Covered","FN")</f>
        <v>Covered</v>
      </c>
      <c r="F102" s="5" t="str">
        <f>IF(COUNTIFS('04_MATCHING'!$B$2:$B$1026,"CHATGPT",'04_MATCHING'!$C$2:$C$1026,$A102,'04_MATCHING'!$G$2:$G$1026,$B102,'04_MATCHING'!$H$2:$H$1026,"Primary TP")&gt;0,"Covered","FN")</f>
        <v>FN</v>
      </c>
      <c r="G102" s="5" t="str">
        <f>IF(COUNTIFS('04_MATCHING'!$B$2:$B$1026,"OLLAMA",'04_MATCHING'!$C$2:$C$1026,$A102,'04_MATCHING'!$G$2:$G$1026,$B102,'04_MATCHING'!$H$2:$H$1026,"Primary TP")&gt;0,"Covered","FN")</f>
        <v>FN</v>
      </c>
      <c r="H102" s="5" t="str">
        <f>IF(COUNTIFS('04_MATCHING'!$B$2:$B$1026,"THREMOLIA",'04_MATCHING'!$C$2:$C$1026,$A102,'04_MATCHING'!$G$2:$G$1026,$B102,'04_MATCHING'!$H$2:$H$1026,"Primary TP")&gt;0,"Covered","FN")</f>
        <v>Covered</v>
      </c>
      <c r="I102" s="5" t="n">
        <f>COUNTIF($D102:$H102,"Covered")</f>
        <v>3.0</v>
      </c>
    </row>
    <row r="103">
      <c r="A103" s="5" t="inlineStr">
        <is>
          <t>S3</t>
        </is>
      </c>
      <c r="B103" s="5" t="inlineStr">
        <is>
          <t>S3-RT-015</t>
        </is>
      </c>
      <c r="C103" s="7" t="inlineStr">
        <is>
          <t>Account enumeration and verbose error disclosure across recovery and assistant responses</t>
        </is>
      </c>
      <c r="D103" s="5" t="str">
        <f>IF(COUNTIFS('04_MATCHING'!$B$2:$B$1026,"OWASP",'04_MATCHING'!$C$2:$C$1026,$A103,'04_MATCHING'!$G$2:$G$1026,$B103,'04_MATCHING'!$H$2:$H$1026,"Primary TP")&gt;0,"Covered","FN")</f>
        <v>FN</v>
      </c>
      <c r="E103" s="5" t="str">
        <f>IF(COUNTIFS('04_MATCHING'!$B$2:$B$1026,"TMT",'04_MATCHING'!$C$2:$C$1026,$A103,'04_MATCHING'!$G$2:$G$1026,$B103,'04_MATCHING'!$H$2:$H$1026,"Primary TP")&gt;0,"Covered","FN")</f>
        <v>FN</v>
      </c>
      <c r="F103" s="5" t="str">
        <f>IF(COUNTIFS('04_MATCHING'!$B$2:$B$1026,"CHATGPT",'04_MATCHING'!$C$2:$C$1026,$A103,'04_MATCHING'!$G$2:$G$1026,$B103,'04_MATCHING'!$H$2:$H$1026,"Primary TP")&gt;0,"Covered","FN")</f>
        <v>Covered</v>
      </c>
      <c r="G103" s="5" t="str">
        <f>IF(COUNTIFS('04_MATCHING'!$B$2:$B$1026,"OLLAMA",'04_MATCHING'!$C$2:$C$1026,$A103,'04_MATCHING'!$G$2:$G$1026,$B103,'04_MATCHING'!$H$2:$H$1026,"Primary TP")&gt;0,"Covered","FN")</f>
        <v>FN</v>
      </c>
      <c r="H103" s="5" t="str">
        <f>IF(COUNTIFS('04_MATCHING'!$B$2:$B$1026,"THREMOLIA",'04_MATCHING'!$C$2:$C$1026,$A103,'04_MATCHING'!$G$2:$G$1026,$B103,'04_MATCHING'!$H$2:$H$1026,"Primary TP")&gt;0,"Covered","FN")</f>
        <v>Covered</v>
      </c>
      <c r="I103" s="5" t="n">
        <f>COUNTIF($D103:$H103,"Covered")</f>
        <v>2.0</v>
      </c>
    </row>
    <row r="104">
      <c r="A104" s="5" t="inlineStr">
        <is>
          <t>S3</t>
        </is>
      </c>
      <c r="B104" s="5" t="inlineStr">
        <is>
          <t>S3-RT-016</t>
        </is>
      </c>
      <c r="C104" s="7" t="inlineStr">
        <is>
          <t>Interception of sensitive data crossing trust boundaries</t>
        </is>
      </c>
      <c r="D104" s="5" t="str">
        <f>IF(COUNTIFS('04_MATCHING'!$B$2:$B$1026,"OWASP",'04_MATCHING'!$C$2:$C$1026,$A104,'04_MATCHING'!$G$2:$G$1026,$B104,'04_MATCHING'!$H$2:$H$1026,"Primary TP")&gt;0,"Covered","FN")</f>
        <v>Covered</v>
      </c>
      <c r="E104" s="5" t="str">
        <f>IF(COUNTIFS('04_MATCHING'!$B$2:$B$1026,"TMT",'04_MATCHING'!$C$2:$C$1026,$A104,'04_MATCHING'!$G$2:$G$1026,$B104,'04_MATCHING'!$H$2:$H$1026,"Primary TP")&gt;0,"Covered","FN")</f>
        <v>Covered</v>
      </c>
      <c r="F104" s="5" t="str">
        <f>IF(COUNTIFS('04_MATCHING'!$B$2:$B$1026,"CHATGPT",'04_MATCHING'!$C$2:$C$1026,$A104,'04_MATCHING'!$G$2:$G$1026,$B104,'04_MATCHING'!$H$2:$H$1026,"Primary TP")&gt;0,"Covered","FN")</f>
        <v>FN</v>
      </c>
      <c r="G104" s="5" t="str">
        <f>IF(COUNTIFS('04_MATCHING'!$B$2:$B$1026,"OLLAMA",'04_MATCHING'!$C$2:$C$1026,$A104,'04_MATCHING'!$G$2:$G$1026,$B104,'04_MATCHING'!$H$2:$H$1026,"Primary TP")&gt;0,"Covered","FN")</f>
        <v>FN</v>
      </c>
      <c r="H104" s="5" t="str">
        <f>IF(COUNTIFS('04_MATCHING'!$B$2:$B$1026,"THREMOLIA",'04_MATCHING'!$C$2:$C$1026,$A104,'04_MATCHING'!$G$2:$G$1026,$B104,'04_MATCHING'!$H$2:$H$1026,"Primary TP")&gt;0,"Covered","FN")</f>
        <v>Covered</v>
      </c>
      <c r="I104" s="5" t="n">
        <f>COUNTIF($D104:$H104,"Covered")</f>
        <v>3.0</v>
      </c>
    </row>
    <row r="105">
      <c r="A105" s="5" t="inlineStr">
        <is>
          <t>S3</t>
        </is>
      </c>
      <c r="B105" s="5" t="inlineStr">
        <is>
          <t>S3-RT-017</t>
        </is>
      </c>
      <c r="C105" s="7" t="inlineStr">
        <is>
          <t>Exposure of the external provider credential</t>
        </is>
      </c>
      <c r="D105" s="5" t="str">
        <f>IF(COUNTIFS('04_MATCHING'!$B$2:$B$1026,"OWASP",'04_MATCHING'!$C$2:$C$1026,$A105,'04_MATCHING'!$G$2:$G$1026,$B105,'04_MATCHING'!$H$2:$H$1026,"Primary TP")&gt;0,"Covered","FN")</f>
        <v>FN</v>
      </c>
      <c r="E105" s="5" t="str">
        <f>IF(COUNTIFS('04_MATCHING'!$B$2:$B$1026,"TMT",'04_MATCHING'!$C$2:$C$1026,$A105,'04_MATCHING'!$G$2:$G$1026,$B105,'04_MATCHING'!$H$2:$H$1026,"Primary TP")&gt;0,"Covered","FN")</f>
        <v>FN</v>
      </c>
      <c r="F105" s="5" t="str">
        <f>IF(COUNTIFS('04_MATCHING'!$B$2:$B$1026,"CHATGPT",'04_MATCHING'!$C$2:$C$1026,$A105,'04_MATCHING'!$G$2:$G$1026,$B105,'04_MATCHING'!$H$2:$H$1026,"Primary TP")&gt;0,"Covered","FN")</f>
        <v>FN</v>
      </c>
      <c r="G105" s="5" t="str">
        <f>IF(COUNTIFS('04_MATCHING'!$B$2:$B$1026,"OLLAMA",'04_MATCHING'!$C$2:$C$1026,$A105,'04_MATCHING'!$G$2:$G$1026,$B105,'04_MATCHING'!$H$2:$H$1026,"Primary TP")&gt;0,"Covered","FN")</f>
        <v>FN</v>
      </c>
      <c r="H105" s="5" t="str">
        <f>IF(COUNTIFS('04_MATCHING'!$B$2:$B$1026,"THREMOLIA",'04_MATCHING'!$C$2:$C$1026,$A105,'04_MATCHING'!$G$2:$G$1026,$B105,'04_MATCHING'!$H$2:$H$1026,"Primary TP")&gt;0,"Covered","FN")</f>
        <v>Covered</v>
      </c>
      <c r="I105" s="5" t="n">
        <f>COUNTIF($D105:$H105,"Covered")</f>
        <v>1.0</v>
      </c>
    </row>
    <row r="106">
      <c r="A106" s="5" t="inlineStr">
        <is>
          <t>S3</t>
        </is>
      </c>
      <c r="B106" s="5" t="inlineStr">
        <is>
          <t>S3-RT-018</t>
        </is>
      </c>
      <c r="C106" s="7" t="inlineStr">
        <is>
          <t>Insufficient audit logging of recovery, token and profile operations</t>
        </is>
      </c>
      <c r="D106" s="5" t="str">
        <f>IF(COUNTIFS('04_MATCHING'!$B$2:$B$1026,"OWASP",'04_MATCHING'!$C$2:$C$1026,$A106,'04_MATCHING'!$G$2:$G$1026,$B106,'04_MATCHING'!$H$2:$H$1026,"Primary TP")&gt;0,"Covered","FN")</f>
        <v>FN</v>
      </c>
      <c r="E106" s="5" t="str">
        <f>IF(COUNTIFS('04_MATCHING'!$B$2:$B$1026,"TMT",'04_MATCHING'!$C$2:$C$1026,$A106,'04_MATCHING'!$G$2:$G$1026,$B106,'04_MATCHING'!$H$2:$H$1026,"Primary TP")&gt;0,"Covered","FN")</f>
        <v>Covered</v>
      </c>
      <c r="F106" s="5" t="str">
        <f>IF(COUNTIFS('04_MATCHING'!$B$2:$B$1026,"CHATGPT",'04_MATCHING'!$C$2:$C$1026,$A106,'04_MATCHING'!$G$2:$G$1026,$B106,'04_MATCHING'!$H$2:$H$1026,"Primary TP")&gt;0,"Covered","FN")</f>
        <v>Covered</v>
      </c>
      <c r="G106" s="5" t="str">
        <f>IF(COUNTIFS('04_MATCHING'!$B$2:$B$1026,"OLLAMA",'04_MATCHING'!$C$2:$C$1026,$A106,'04_MATCHING'!$G$2:$G$1026,$B106,'04_MATCHING'!$H$2:$H$1026,"Primary TP")&gt;0,"Covered","FN")</f>
        <v>FN</v>
      </c>
      <c r="H106" s="5" t="str">
        <f>IF(COUNTIFS('04_MATCHING'!$B$2:$B$1026,"THREMOLIA",'04_MATCHING'!$C$2:$C$1026,$A106,'04_MATCHING'!$G$2:$G$1026,$B106,'04_MATCHING'!$H$2:$H$1026,"Primary TP")&gt;0,"Covered","FN")</f>
        <v>Covered</v>
      </c>
      <c r="I106" s="5" t="n">
        <f>COUNTIF($D106:$H106,"Covered")</f>
        <v>3.0</v>
      </c>
    </row>
    <row r="107">
      <c r="A107" s="5" t="inlineStr">
        <is>
          <t>S3</t>
        </is>
      </c>
      <c r="B107" s="5" t="inlineStr">
        <is>
          <t>S3-RT-019</t>
        </is>
      </c>
      <c r="C107" s="7" t="inlineStr">
        <is>
          <t>Direct prompt injection through user questions to the assistant</t>
        </is>
      </c>
      <c r="D107" s="5" t="str">
        <f>IF(COUNTIFS('04_MATCHING'!$B$2:$B$1026,"OWASP",'04_MATCHING'!$C$2:$C$1026,$A107,'04_MATCHING'!$G$2:$G$1026,$B107,'04_MATCHING'!$H$2:$H$1026,"Primary TP")&gt;0,"Covered","FN")</f>
        <v>FN</v>
      </c>
      <c r="E107" s="5" t="str">
        <f>IF(COUNTIFS('04_MATCHING'!$B$2:$B$1026,"TMT",'04_MATCHING'!$C$2:$C$1026,$A107,'04_MATCHING'!$G$2:$G$1026,$B107,'04_MATCHING'!$H$2:$H$1026,"Primary TP")&gt;0,"Covered","FN")</f>
        <v>FN</v>
      </c>
      <c r="F107" s="5" t="str">
        <f>IF(COUNTIFS('04_MATCHING'!$B$2:$B$1026,"CHATGPT",'04_MATCHING'!$C$2:$C$1026,$A107,'04_MATCHING'!$G$2:$G$1026,$B107,'04_MATCHING'!$H$2:$H$1026,"Primary TP")&gt;0,"Covered","FN")</f>
        <v>Covered</v>
      </c>
      <c r="G107" s="5" t="str">
        <f>IF(COUNTIFS('04_MATCHING'!$B$2:$B$1026,"OLLAMA",'04_MATCHING'!$C$2:$C$1026,$A107,'04_MATCHING'!$G$2:$G$1026,$B107,'04_MATCHING'!$H$2:$H$1026,"Primary TP")&gt;0,"Covered","FN")</f>
        <v>Covered</v>
      </c>
      <c r="H107" s="5" t="str">
        <f>IF(COUNTIFS('04_MATCHING'!$B$2:$B$1026,"THREMOLIA",'04_MATCHING'!$C$2:$C$1026,$A107,'04_MATCHING'!$G$2:$G$1026,$B107,'04_MATCHING'!$H$2:$H$1026,"Primary TP")&gt;0,"Covered","FN")</f>
        <v>Covered</v>
      </c>
      <c r="I107" s="5" t="n">
        <f>COUNTIF($D107:$H107,"Covered")</f>
        <v>3.0</v>
      </c>
    </row>
    <row r="108">
      <c r="A108" s="5" t="inlineStr">
        <is>
          <t>S3</t>
        </is>
      </c>
      <c r="B108" s="5" t="inlineStr">
        <is>
          <t>S3-RT-020</t>
        </is>
      </c>
      <c r="C108" s="7" t="inlineStr">
        <is>
          <t>Indirect prompt injection through account-related context</t>
        </is>
      </c>
      <c r="D108" s="5" t="str">
        <f>IF(COUNTIFS('04_MATCHING'!$B$2:$B$1026,"OWASP",'04_MATCHING'!$C$2:$C$1026,$A108,'04_MATCHING'!$G$2:$G$1026,$B108,'04_MATCHING'!$H$2:$H$1026,"Primary TP")&gt;0,"Covered","FN")</f>
        <v>FN</v>
      </c>
      <c r="E108" s="5" t="str">
        <f>IF(COUNTIFS('04_MATCHING'!$B$2:$B$1026,"TMT",'04_MATCHING'!$C$2:$C$1026,$A108,'04_MATCHING'!$G$2:$G$1026,$B108,'04_MATCHING'!$H$2:$H$1026,"Primary TP")&gt;0,"Covered","FN")</f>
        <v>FN</v>
      </c>
      <c r="F108" s="5" t="str">
        <f>IF(COUNTIFS('04_MATCHING'!$B$2:$B$1026,"CHATGPT",'04_MATCHING'!$C$2:$C$1026,$A108,'04_MATCHING'!$G$2:$G$1026,$B108,'04_MATCHING'!$H$2:$H$1026,"Primary TP")&gt;0,"Covered","FN")</f>
        <v>FN</v>
      </c>
      <c r="G108" s="5" t="str">
        <f>IF(COUNTIFS('04_MATCHING'!$B$2:$B$1026,"OLLAMA",'04_MATCHING'!$C$2:$C$1026,$A108,'04_MATCHING'!$G$2:$G$1026,$B108,'04_MATCHING'!$H$2:$H$1026,"Primary TP")&gt;0,"Covered","FN")</f>
        <v>FN</v>
      </c>
      <c r="H108" s="5" t="str">
        <f>IF(COUNTIFS('04_MATCHING'!$B$2:$B$1026,"THREMOLIA",'04_MATCHING'!$C$2:$C$1026,$A108,'04_MATCHING'!$G$2:$G$1026,$B108,'04_MATCHING'!$H$2:$H$1026,"Primary TP")&gt;0,"Covered","FN")</f>
        <v>Covered</v>
      </c>
      <c r="I108" s="5" t="n">
        <f>COUNTIF($D108:$H108,"Covered")</f>
        <v>1.0</v>
      </c>
    </row>
    <row r="109">
      <c r="A109" s="5" t="inlineStr">
        <is>
          <t>S3</t>
        </is>
      </c>
      <c r="B109" s="5" t="inlineStr">
        <is>
          <t>S3-RT-021</t>
        </is>
      </c>
      <c r="C109" s="7" t="inlineStr">
        <is>
          <t>Sensitive account information disclosure to the external LLM provider</t>
        </is>
      </c>
      <c r="D109" s="5" t="str">
        <f>IF(COUNTIFS('04_MATCHING'!$B$2:$B$1026,"OWASP",'04_MATCHING'!$C$2:$C$1026,$A109,'04_MATCHING'!$G$2:$G$1026,$B109,'04_MATCHING'!$H$2:$H$1026,"Primary TP")&gt;0,"Covered","FN")</f>
        <v>FN</v>
      </c>
      <c r="E109" s="5" t="str">
        <f>IF(COUNTIFS('04_MATCHING'!$B$2:$B$1026,"TMT",'04_MATCHING'!$C$2:$C$1026,$A109,'04_MATCHING'!$G$2:$G$1026,$B109,'04_MATCHING'!$H$2:$H$1026,"Primary TP")&gt;0,"Covered","FN")</f>
        <v>FN</v>
      </c>
      <c r="F109" s="5" t="str">
        <f>IF(COUNTIFS('04_MATCHING'!$B$2:$B$1026,"CHATGPT",'04_MATCHING'!$C$2:$C$1026,$A109,'04_MATCHING'!$G$2:$G$1026,$B109,'04_MATCHING'!$H$2:$H$1026,"Primary TP")&gt;0,"Covered","FN")</f>
        <v>Covered</v>
      </c>
      <c r="G109" s="5" t="str">
        <f>IF(COUNTIFS('04_MATCHING'!$B$2:$B$1026,"OLLAMA",'04_MATCHING'!$C$2:$C$1026,$A109,'04_MATCHING'!$G$2:$G$1026,$B109,'04_MATCHING'!$H$2:$H$1026,"Primary TP")&gt;0,"Covered","FN")</f>
        <v>FN</v>
      </c>
      <c r="H109" s="5" t="str">
        <f>IF(COUNTIFS('04_MATCHING'!$B$2:$B$1026,"THREMOLIA",'04_MATCHING'!$C$2:$C$1026,$A109,'04_MATCHING'!$G$2:$G$1026,$B109,'04_MATCHING'!$H$2:$H$1026,"Primary TP")&gt;0,"Covered","FN")</f>
        <v>Covered</v>
      </c>
      <c r="I109" s="5" t="n">
        <f>COUNTIF($D109:$H109,"Covered")</f>
        <v>2.0</v>
      </c>
    </row>
    <row r="110">
      <c r="A110" s="5" t="inlineStr">
        <is>
          <t>S3</t>
        </is>
      </c>
      <c r="B110" s="5" t="inlineStr">
        <is>
          <t>S3-RT-022</t>
        </is>
      </c>
      <c r="C110" s="7" t="inlineStr">
        <is>
          <t>Provider-side retention, logging and reuse of account data</t>
        </is>
      </c>
      <c r="D110" s="5" t="str">
        <f>IF(COUNTIFS('04_MATCHING'!$B$2:$B$1026,"OWASP",'04_MATCHING'!$C$2:$C$1026,$A110,'04_MATCHING'!$G$2:$G$1026,$B110,'04_MATCHING'!$H$2:$H$1026,"Primary TP")&gt;0,"Covered","FN")</f>
        <v>FN</v>
      </c>
      <c r="E110" s="5" t="str">
        <f>IF(COUNTIFS('04_MATCHING'!$B$2:$B$1026,"TMT",'04_MATCHING'!$C$2:$C$1026,$A110,'04_MATCHING'!$G$2:$G$1026,$B110,'04_MATCHING'!$H$2:$H$1026,"Primary TP")&gt;0,"Covered","FN")</f>
        <v>FN</v>
      </c>
      <c r="F110" s="5" t="str">
        <f>IF(COUNTIFS('04_MATCHING'!$B$2:$B$1026,"CHATGPT",'04_MATCHING'!$C$2:$C$1026,$A110,'04_MATCHING'!$G$2:$G$1026,$B110,'04_MATCHING'!$H$2:$H$1026,"Primary TP")&gt;0,"Covered","FN")</f>
        <v>Covered</v>
      </c>
      <c r="G110" s="5" t="str">
        <f>IF(COUNTIFS('04_MATCHING'!$B$2:$B$1026,"OLLAMA",'04_MATCHING'!$C$2:$C$1026,$A110,'04_MATCHING'!$G$2:$G$1026,$B110,'04_MATCHING'!$H$2:$H$1026,"Primary TP")&gt;0,"Covered","FN")</f>
        <v>FN</v>
      </c>
      <c r="H110" s="5" t="str">
        <f>IF(COUNTIFS('04_MATCHING'!$B$2:$B$1026,"THREMOLIA",'04_MATCHING'!$C$2:$C$1026,$A110,'04_MATCHING'!$G$2:$G$1026,$B110,'04_MATCHING'!$H$2:$H$1026,"Primary TP")&gt;0,"Covered","FN")</f>
        <v>FN</v>
      </c>
      <c r="I110" s="5" t="n">
        <f>COUNTIF($D110:$H110,"Covered")</f>
        <v>1.0</v>
      </c>
    </row>
    <row r="111">
      <c r="A111" s="5" t="inlineStr">
        <is>
          <t>S3</t>
        </is>
      </c>
      <c r="B111" s="5" t="inlineStr">
        <is>
          <t>S3-RT-023</t>
        </is>
      </c>
      <c r="C111" s="7" t="inlineStr">
        <is>
          <t>Cross-user account information leakage through assistant context assembly</t>
        </is>
      </c>
      <c r="D111" s="5" t="str">
        <f>IF(COUNTIFS('04_MATCHING'!$B$2:$B$1026,"OWASP",'04_MATCHING'!$C$2:$C$1026,$A111,'04_MATCHING'!$G$2:$G$1026,$B111,'04_MATCHING'!$H$2:$H$1026,"Primary TP")&gt;0,"Covered","FN")</f>
        <v>FN</v>
      </c>
      <c r="E111" s="5" t="str">
        <f>IF(COUNTIFS('04_MATCHING'!$B$2:$B$1026,"TMT",'04_MATCHING'!$C$2:$C$1026,$A111,'04_MATCHING'!$G$2:$G$1026,$B111,'04_MATCHING'!$H$2:$H$1026,"Primary TP")&gt;0,"Covered","FN")</f>
        <v>FN</v>
      </c>
      <c r="F111" s="5" t="str">
        <f>IF(COUNTIFS('04_MATCHING'!$B$2:$B$1026,"CHATGPT",'04_MATCHING'!$C$2:$C$1026,$A111,'04_MATCHING'!$G$2:$G$1026,$B111,'04_MATCHING'!$H$2:$H$1026,"Primary TP")&gt;0,"Covered","FN")</f>
        <v>FN</v>
      </c>
      <c r="G111" s="5" t="str">
        <f>IF(COUNTIFS('04_MATCHING'!$B$2:$B$1026,"OLLAMA",'04_MATCHING'!$C$2:$C$1026,$A111,'04_MATCHING'!$G$2:$G$1026,$B111,'04_MATCHING'!$H$2:$H$1026,"Primary TP")&gt;0,"Covered","FN")</f>
        <v>FN</v>
      </c>
      <c r="H111" s="5" t="str">
        <f>IF(COUNTIFS('04_MATCHING'!$B$2:$B$1026,"THREMOLIA",'04_MATCHING'!$C$2:$C$1026,$A111,'04_MATCHING'!$G$2:$G$1026,$B111,'04_MATCHING'!$H$2:$H$1026,"Primary TP")&gt;0,"Covered","FN")</f>
        <v>FN</v>
      </c>
      <c r="I111" s="5" t="n">
        <f>COUNTIF($D111:$H111,"Covered")</f>
        <v>0.0</v>
      </c>
    </row>
    <row r="112">
      <c r="A112" s="5" t="inlineStr">
        <is>
          <t>S3</t>
        </is>
      </c>
      <c r="B112" s="5" t="inlineStr">
        <is>
          <t>S3-RT-024</t>
        </is>
      </c>
      <c r="C112" s="7" t="inlineStr">
        <is>
          <t>Extraction of privileged assistant instructions and prompt content</t>
        </is>
      </c>
      <c r="D112" s="5" t="str">
        <f>IF(COUNTIFS('04_MATCHING'!$B$2:$B$1026,"OWASP",'04_MATCHING'!$C$2:$C$1026,$A112,'04_MATCHING'!$G$2:$G$1026,$B112,'04_MATCHING'!$H$2:$H$1026,"Primary TP")&gt;0,"Covered","FN")</f>
        <v>FN</v>
      </c>
      <c r="E112" s="5" t="str">
        <f>IF(COUNTIFS('04_MATCHING'!$B$2:$B$1026,"TMT",'04_MATCHING'!$C$2:$C$1026,$A112,'04_MATCHING'!$G$2:$G$1026,$B112,'04_MATCHING'!$H$2:$H$1026,"Primary TP")&gt;0,"Covered","FN")</f>
        <v>FN</v>
      </c>
      <c r="F112" s="5" t="str">
        <f>IF(COUNTIFS('04_MATCHING'!$B$2:$B$1026,"CHATGPT",'04_MATCHING'!$C$2:$C$1026,$A112,'04_MATCHING'!$G$2:$G$1026,$B112,'04_MATCHING'!$H$2:$H$1026,"Primary TP")&gt;0,"Covered","FN")</f>
        <v>Covered</v>
      </c>
      <c r="G112" s="5" t="str">
        <f>IF(COUNTIFS('04_MATCHING'!$B$2:$B$1026,"OLLAMA",'04_MATCHING'!$C$2:$C$1026,$A112,'04_MATCHING'!$G$2:$G$1026,$B112,'04_MATCHING'!$H$2:$H$1026,"Primary TP")&gt;0,"Covered","FN")</f>
        <v>FN</v>
      </c>
      <c r="H112" s="5" t="str">
        <f>IF(COUNTIFS('04_MATCHING'!$B$2:$B$1026,"THREMOLIA",'04_MATCHING'!$C$2:$C$1026,$A112,'04_MATCHING'!$G$2:$G$1026,$B112,'04_MATCHING'!$H$2:$H$1026,"Primary TP")&gt;0,"Covered","FN")</f>
        <v>FN</v>
      </c>
      <c r="I112" s="5" t="n">
        <f>COUNTIF($D112:$H112,"Covered")</f>
        <v>1.0</v>
      </c>
    </row>
    <row r="113">
      <c r="A113" s="5" t="inlineStr">
        <is>
          <t>S3</t>
        </is>
      </c>
      <c r="B113" s="5" t="inlineStr">
        <is>
          <t>S3-RT-025</t>
        </is>
      </c>
      <c r="C113" s="7" t="inlineStr">
        <is>
          <t>Hallucinated account recovery guidance</t>
        </is>
      </c>
      <c r="D113" s="5" t="str">
        <f>IF(COUNTIFS('04_MATCHING'!$B$2:$B$1026,"OWASP",'04_MATCHING'!$C$2:$C$1026,$A113,'04_MATCHING'!$G$2:$G$1026,$B113,'04_MATCHING'!$H$2:$H$1026,"Primary TP")&gt;0,"Covered","FN")</f>
        <v>FN</v>
      </c>
      <c r="E113" s="5" t="str">
        <f>IF(COUNTIFS('04_MATCHING'!$B$2:$B$1026,"TMT",'04_MATCHING'!$C$2:$C$1026,$A113,'04_MATCHING'!$G$2:$G$1026,$B113,'04_MATCHING'!$H$2:$H$1026,"Primary TP")&gt;0,"Covered","FN")</f>
        <v>FN</v>
      </c>
      <c r="F113" s="5" t="str">
        <f>IF(COUNTIFS('04_MATCHING'!$B$2:$B$1026,"CHATGPT",'04_MATCHING'!$C$2:$C$1026,$A113,'04_MATCHING'!$G$2:$G$1026,$B113,'04_MATCHING'!$H$2:$H$1026,"Primary TP")&gt;0,"Covered","FN")</f>
        <v>FN</v>
      </c>
      <c r="G113" s="5" t="str">
        <f>IF(COUNTIFS('04_MATCHING'!$B$2:$B$1026,"OLLAMA",'04_MATCHING'!$C$2:$C$1026,$A113,'04_MATCHING'!$G$2:$G$1026,$B113,'04_MATCHING'!$H$2:$H$1026,"Primary TP")&gt;0,"Covered","FN")</f>
        <v>FN</v>
      </c>
      <c r="H113" s="5" t="str">
        <f>IF(COUNTIFS('04_MATCHING'!$B$2:$B$1026,"THREMOLIA",'04_MATCHING'!$C$2:$C$1026,$A113,'04_MATCHING'!$G$2:$G$1026,$B113,'04_MATCHING'!$H$2:$H$1026,"Primary TP")&gt;0,"Covered","FN")</f>
        <v>FN</v>
      </c>
      <c r="I113" s="5" t="n">
        <f>COUNTIF($D113:$H113,"Covered")</f>
        <v>0.0</v>
      </c>
    </row>
    <row r="114">
      <c r="A114" s="5" t="inlineStr">
        <is>
          <t>S3</t>
        </is>
      </c>
      <c r="B114" s="5" t="inlineStr">
        <is>
          <t>S3-RT-026</t>
        </is>
      </c>
      <c r="C114" s="7" t="inlineStr">
        <is>
          <t>Unsafe AI-generated advice undermining account security</t>
        </is>
      </c>
      <c r="D114" s="5" t="str">
        <f>IF(COUNTIFS('04_MATCHING'!$B$2:$B$1026,"OWASP",'04_MATCHING'!$C$2:$C$1026,$A114,'04_MATCHING'!$G$2:$G$1026,$B114,'04_MATCHING'!$H$2:$H$1026,"Primary TP")&gt;0,"Covered","FN")</f>
        <v>FN</v>
      </c>
      <c r="E114" s="5" t="str">
        <f>IF(COUNTIFS('04_MATCHING'!$B$2:$B$1026,"TMT",'04_MATCHING'!$C$2:$C$1026,$A114,'04_MATCHING'!$G$2:$G$1026,$B114,'04_MATCHING'!$H$2:$H$1026,"Primary TP")&gt;0,"Covered","FN")</f>
        <v>FN</v>
      </c>
      <c r="F114" s="5" t="str">
        <f>IF(COUNTIFS('04_MATCHING'!$B$2:$B$1026,"CHATGPT",'04_MATCHING'!$C$2:$C$1026,$A114,'04_MATCHING'!$G$2:$G$1026,$B114,'04_MATCHING'!$H$2:$H$1026,"Primary TP")&gt;0,"Covered","FN")</f>
        <v>Covered</v>
      </c>
      <c r="G114" s="5" t="str">
        <f>IF(COUNTIFS('04_MATCHING'!$B$2:$B$1026,"OLLAMA",'04_MATCHING'!$C$2:$C$1026,$A114,'04_MATCHING'!$G$2:$G$1026,$B114,'04_MATCHING'!$H$2:$H$1026,"Primary TP")&gt;0,"Covered","FN")</f>
        <v>FN</v>
      </c>
      <c r="H114" s="5" t="str">
        <f>IF(COUNTIFS('04_MATCHING'!$B$2:$B$1026,"THREMOLIA",'04_MATCHING'!$C$2:$C$1026,$A114,'04_MATCHING'!$G$2:$G$1026,$B114,'04_MATCHING'!$H$2:$H$1026,"Primary TP")&gt;0,"Covered","FN")</f>
        <v>FN</v>
      </c>
      <c r="I114" s="5" t="n">
        <f>COUNTIF($D114:$H114,"Covered")</f>
        <v>1.0</v>
      </c>
    </row>
    <row r="115">
      <c r="A115" s="5" t="inlineStr">
        <is>
          <t>S3</t>
        </is>
      </c>
      <c r="B115" s="5" t="inlineStr">
        <is>
          <t>S3-RT-027</t>
        </is>
      </c>
      <c r="C115" s="7" t="inlineStr">
        <is>
          <t>Insecure output handling: active content in assistant responses</t>
        </is>
      </c>
      <c r="D115" s="5" t="str">
        <f>IF(COUNTIFS('04_MATCHING'!$B$2:$B$1026,"OWASP",'04_MATCHING'!$C$2:$C$1026,$A115,'04_MATCHING'!$G$2:$G$1026,$B115,'04_MATCHING'!$H$2:$H$1026,"Primary TP")&gt;0,"Covered","FN")</f>
        <v>FN</v>
      </c>
      <c r="E115" s="5" t="str">
        <f>IF(COUNTIFS('04_MATCHING'!$B$2:$B$1026,"TMT",'04_MATCHING'!$C$2:$C$1026,$A115,'04_MATCHING'!$G$2:$G$1026,$B115,'04_MATCHING'!$H$2:$H$1026,"Primary TP")&gt;0,"Covered","FN")</f>
        <v>Covered</v>
      </c>
      <c r="F115" s="5" t="str">
        <f>IF(COUNTIFS('04_MATCHING'!$B$2:$B$1026,"CHATGPT",'04_MATCHING'!$C$2:$C$1026,$A115,'04_MATCHING'!$G$2:$G$1026,$B115,'04_MATCHING'!$H$2:$H$1026,"Primary TP")&gt;0,"Covered","FN")</f>
        <v>FN</v>
      </c>
      <c r="G115" s="5" t="str">
        <f>IF(COUNTIFS('04_MATCHING'!$B$2:$B$1026,"OLLAMA",'04_MATCHING'!$C$2:$C$1026,$A115,'04_MATCHING'!$G$2:$G$1026,$B115,'04_MATCHING'!$H$2:$H$1026,"Primary TP")&gt;0,"Covered","FN")</f>
        <v>Covered</v>
      </c>
      <c r="H115" s="5" t="str">
        <f>IF(COUNTIFS('04_MATCHING'!$B$2:$B$1026,"THREMOLIA",'04_MATCHING'!$C$2:$C$1026,$A115,'04_MATCHING'!$G$2:$G$1026,$B115,'04_MATCHING'!$H$2:$H$1026,"Primary TP")&gt;0,"Covered","FN")</f>
        <v>FN</v>
      </c>
      <c r="I115" s="5" t="n">
        <f>COUNTIF($D115:$H115,"Covered")</f>
        <v>2.0</v>
      </c>
    </row>
    <row r="116">
      <c r="A116" s="5" t="inlineStr">
        <is>
          <t>S3</t>
        </is>
      </c>
      <c r="B116" s="5" t="inlineStr">
        <is>
          <t>S3-RT-029</t>
        </is>
      </c>
      <c r="C116" s="7" t="inlineStr">
        <is>
          <t>Compromise or substitution of the external LLM provider</t>
        </is>
      </c>
      <c r="D116" s="5" t="str">
        <f>IF(COUNTIFS('04_MATCHING'!$B$2:$B$1026,"OWASP",'04_MATCHING'!$C$2:$C$1026,$A116,'04_MATCHING'!$G$2:$G$1026,$B116,'04_MATCHING'!$H$2:$H$1026,"Primary TP")&gt;0,"Covered","FN")</f>
        <v>FN</v>
      </c>
      <c r="E116" s="5" t="str">
        <f>IF(COUNTIFS('04_MATCHING'!$B$2:$B$1026,"TMT",'04_MATCHING'!$C$2:$C$1026,$A116,'04_MATCHING'!$G$2:$G$1026,$B116,'04_MATCHING'!$H$2:$H$1026,"Primary TP")&gt;0,"Covered","FN")</f>
        <v>Covered</v>
      </c>
      <c r="F116" s="5" t="str">
        <f>IF(COUNTIFS('04_MATCHING'!$B$2:$B$1026,"CHATGPT",'04_MATCHING'!$C$2:$C$1026,$A116,'04_MATCHING'!$G$2:$G$1026,$B116,'04_MATCHING'!$H$2:$H$1026,"Primary TP")&gt;0,"Covered","FN")</f>
        <v>Covered</v>
      </c>
      <c r="G116" s="5" t="str">
        <f>IF(COUNTIFS('04_MATCHING'!$B$2:$B$1026,"OLLAMA",'04_MATCHING'!$C$2:$C$1026,$A116,'04_MATCHING'!$G$2:$G$1026,$B116,'04_MATCHING'!$H$2:$H$1026,"Primary TP")&gt;0,"Covered","FN")</f>
        <v>FN</v>
      </c>
      <c r="H116" s="5" t="str">
        <f>IF(COUNTIFS('04_MATCHING'!$B$2:$B$1026,"THREMOLIA",'04_MATCHING'!$C$2:$C$1026,$A116,'04_MATCHING'!$G$2:$G$1026,$B116,'04_MATCHING'!$H$2:$H$1026,"Primary TP")&gt;0,"Covered","FN")</f>
        <v>Covered</v>
      </c>
      <c r="I116" s="5" t="n">
        <f>COUNTIF($D116:$H116,"Covered")</f>
        <v>3.0</v>
      </c>
    </row>
    <row r="117">
      <c r="A117" s="5" t="inlineStr">
        <is>
          <t>S3</t>
        </is>
      </c>
      <c r="B117" s="5" t="inlineStr">
        <is>
          <t>S3-RT-030</t>
        </is>
      </c>
      <c r="C117" s="7" t="inlineStr">
        <is>
          <t>Denial of service on the Account Recovery Service</t>
        </is>
      </c>
      <c r="D117" s="5" t="str">
        <f>IF(COUNTIFS('04_MATCHING'!$B$2:$B$1026,"OWASP",'04_MATCHING'!$C$2:$C$1026,$A117,'04_MATCHING'!$G$2:$G$1026,$B117,'04_MATCHING'!$H$2:$H$1026,"Primary TP")&gt;0,"Covered","FN")</f>
        <v>Covered</v>
      </c>
      <c r="E117" s="5" t="str">
        <f>IF(COUNTIFS('04_MATCHING'!$B$2:$B$1026,"TMT",'04_MATCHING'!$C$2:$C$1026,$A117,'04_MATCHING'!$G$2:$G$1026,$B117,'04_MATCHING'!$H$2:$H$1026,"Primary TP")&gt;0,"Covered","FN")</f>
        <v>Covered</v>
      </c>
      <c r="F117" s="5" t="str">
        <f>IF(COUNTIFS('04_MATCHING'!$B$2:$B$1026,"CHATGPT",'04_MATCHING'!$C$2:$C$1026,$A117,'04_MATCHING'!$G$2:$G$1026,$B117,'04_MATCHING'!$H$2:$H$1026,"Primary TP")&gt;0,"Covered","FN")</f>
        <v>Covered</v>
      </c>
      <c r="G117" s="5" t="str">
        <f>IF(COUNTIFS('04_MATCHING'!$B$2:$B$1026,"OLLAMA",'04_MATCHING'!$C$2:$C$1026,$A117,'04_MATCHING'!$G$2:$G$1026,$B117,'04_MATCHING'!$H$2:$H$1026,"Primary TP")&gt;0,"Covered","FN")</f>
        <v>FN</v>
      </c>
      <c r="H117" s="5" t="str">
        <f>IF(COUNTIFS('04_MATCHING'!$B$2:$B$1026,"THREMOLIA",'04_MATCHING'!$C$2:$C$1026,$A117,'04_MATCHING'!$G$2:$G$1026,$B117,'04_MATCHING'!$H$2:$H$1026,"Primary TP")&gt;0,"Covered","FN")</f>
        <v>Covered</v>
      </c>
      <c r="I117" s="5" t="n">
        <f>COUNTIF($D117:$H117,"Covered")</f>
        <v>4.0</v>
      </c>
    </row>
    <row r="118">
      <c r="A118" s="5" t="inlineStr">
        <is>
          <t>S3</t>
        </is>
      </c>
      <c r="B118" s="5" t="inlineStr">
        <is>
          <t>S3-RT-031</t>
        </is>
      </c>
      <c r="C118" s="7" t="inlineStr">
        <is>
          <t>Recovery token generation abuse and token store exhaustion</t>
        </is>
      </c>
      <c r="D118" s="5" t="str">
        <f>IF(COUNTIFS('04_MATCHING'!$B$2:$B$1026,"OWASP",'04_MATCHING'!$C$2:$C$1026,$A118,'04_MATCHING'!$G$2:$G$1026,$B118,'04_MATCHING'!$H$2:$H$1026,"Primary TP")&gt;0,"Covered","FN")</f>
        <v>Covered</v>
      </c>
      <c r="E118" s="5" t="str">
        <f>IF(COUNTIFS('04_MATCHING'!$B$2:$B$1026,"TMT",'04_MATCHING'!$C$2:$C$1026,$A118,'04_MATCHING'!$G$2:$G$1026,$B118,'04_MATCHING'!$H$2:$H$1026,"Primary TP")&gt;0,"Covered","FN")</f>
        <v>FN</v>
      </c>
      <c r="F118" s="5" t="str">
        <f>IF(COUNTIFS('04_MATCHING'!$B$2:$B$1026,"CHATGPT",'04_MATCHING'!$C$2:$C$1026,$A118,'04_MATCHING'!$G$2:$G$1026,$B118,'04_MATCHING'!$H$2:$H$1026,"Primary TP")&gt;0,"Covered","FN")</f>
        <v>Covered</v>
      </c>
      <c r="G118" s="5" t="str">
        <f>IF(COUNTIFS('04_MATCHING'!$B$2:$B$1026,"OLLAMA",'04_MATCHING'!$C$2:$C$1026,$A118,'04_MATCHING'!$G$2:$G$1026,$B118,'04_MATCHING'!$H$2:$H$1026,"Primary TP")&gt;0,"Covered","FN")</f>
        <v>Covered</v>
      </c>
      <c r="H118" s="5" t="str">
        <f>IF(COUNTIFS('04_MATCHING'!$B$2:$B$1026,"THREMOLIA",'04_MATCHING'!$C$2:$C$1026,$A118,'04_MATCHING'!$G$2:$G$1026,$B118,'04_MATCHING'!$H$2:$H$1026,"Primary TP")&gt;0,"Covered","FN")</f>
        <v>Covered</v>
      </c>
      <c r="I118" s="5" t="n">
        <f>COUNTIF($D118:$H118,"Covered")</f>
        <v>4.0</v>
      </c>
    </row>
    <row r="119">
      <c r="A119" s="5" t="inlineStr">
        <is>
          <t>S3</t>
        </is>
      </c>
      <c r="B119" s="5" t="inlineStr">
        <is>
          <t>S3-RT-032</t>
        </is>
      </c>
      <c r="C119" s="7" t="inlineStr">
        <is>
          <t>External LLM provider unavailability</t>
        </is>
      </c>
      <c r="D119" s="5" t="str">
        <f>IF(COUNTIFS('04_MATCHING'!$B$2:$B$1026,"OWASP",'04_MATCHING'!$C$2:$C$1026,$A119,'04_MATCHING'!$G$2:$G$1026,$B119,'04_MATCHING'!$H$2:$H$1026,"Primary TP")&gt;0,"Covered","FN")</f>
        <v>FN</v>
      </c>
      <c r="E119" s="5" t="str">
        <f>IF(COUNTIFS('04_MATCHING'!$B$2:$B$1026,"TMT",'04_MATCHING'!$C$2:$C$1026,$A119,'04_MATCHING'!$G$2:$G$1026,$B119,'04_MATCHING'!$H$2:$H$1026,"Primary TP")&gt;0,"Covered","FN")</f>
        <v>Covered</v>
      </c>
      <c r="F119" s="5" t="str">
        <f>IF(COUNTIFS('04_MATCHING'!$B$2:$B$1026,"CHATGPT",'04_MATCHING'!$C$2:$C$1026,$A119,'04_MATCHING'!$G$2:$G$1026,$B119,'04_MATCHING'!$H$2:$H$1026,"Primary TP")&gt;0,"Covered","FN")</f>
        <v>FN</v>
      </c>
      <c r="G119" s="5" t="str">
        <f>IF(COUNTIFS('04_MATCHING'!$B$2:$B$1026,"OLLAMA",'04_MATCHING'!$C$2:$C$1026,$A119,'04_MATCHING'!$G$2:$G$1026,$B119,'04_MATCHING'!$H$2:$H$1026,"Primary TP")&gt;0,"Covered","FN")</f>
        <v>FN</v>
      </c>
      <c r="H119" s="5" t="str">
        <f>IF(COUNTIFS('04_MATCHING'!$B$2:$B$1026,"THREMOLIA",'04_MATCHING'!$C$2:$C$1026,$A119,'04_MATCHING'!$G$2:$G$1026,$B119,'04_MATCHING'!$H$2:$H$1026,"Primary TP")&gt;0,"Covered","FN")</f>
        <v>Covered</v>
      </c>
      <c r="I119" s="5" t="n">
        <f>COUNTIF($D119:$H119,"Covered")</f>
        <v>2.0</v>
      </c>
    </row>
    <row r="120">
      <c r="A120" s="5" t="inlineStr">
        <is>
          <t>S3</t>
        </is>
      </c>
      <c r="B120" s="5" t="inlineStr">
        <is>
          <t>S3-RT-033</t>
        </is>
      </c>
      <c r="C120" s="7" t="inlineStr">
        <is>
          <t>Unbounded LLM consumption through automated assistant abuse</t>
        </is>
      </c>
      <c r="D120" s="5" t="str">
        <f>IF(COUNTIFS('04_MATCHING'!$B$2:$B$1026,"OWASP",'04_MATCHING'!$C$2:$C$1026,$A120,'04_MATCHING'!$G$2:$G$1026,$B120,'04_MATCHING'!$H$2:$H$1026,"Primary TP")&gt;0,"Covered","FN")</f>
        <v>Covered</v>
      </c>
      <c r="E120" s="5" t="str">
        <f>IF(COUNTIFS('04_MATCHING'!$B$2:$B$1026,"TMT",'04_MATCHING'!$C$2:$C$1026,$A120,'04_MATCHING'!$G$2:$G$1026,$B120,'04_MATCHING'!$H$2:$H$1026,"Primary TP")&gt;0,"Covered","FN")</f>
        <v>FN</v>
      </c>
      <c r="F120" s="5" t="str">
        <f>IF(COUNTIFS('04_MATCHING'!$B$2:$B$1026,"CHATGPT",'04_MATCHING'!$C$2:$C$1026,$A120,'04_MATCHING'!$G$2:$G$1026,$B120,'04_MATCHING'!$H$2:$H$1026,"Primary TP")&gt;0,"Covered","FN")</f>
        <v>Covered</v>
      </c>
      <c r="G120" s="5" t="str">
        <f>IF(COUNTIFS('04_MATCHING'!$B$2:$B$1026,"OLLAMA",'04_MATCHING'!$C$2:$C$1026,$A120,'04_MATCHING'!$G$2:$G$1026,$B120,'04_MATCHING'!$H$2:$H$1026,"Primary TP")&gt;0,"Covered","FN")</f>
        <v>FN</v>
      </c>
      <c r="H120" s="5" t="str">
        <f>IF(COUNTIFS('04_MATCHING'!$B$2:$B$1026,"THREMOLIA",'04_MATCHING'!$C$2:$C$1026,$A120,'04_MATCHING'!$G$2:$G$1026,$B120,'04_MATCHING'!$H$2:$H$1026,"Primary TP")&gt;0,"Covered","FN")</f>
        <v>Covered</v>
      </c>
      <c r="I120" s="5" t="n">
        <f>COUNTIF($D120:$H120,"Covered")</f>
        <v>3.0</v>
      </c>
    </row>
    <row r="121">
      <c r="A121" s="5" t="inlineStr">
        <is>
          <t>S3</t>
        </is>
      </c>
      <c r="B121" s="5" t="inlineStr">
        <is>
          <t>S3-RT-034</t>
        </is>
      </c>
      <c r="C121" s="7" t="inlineStr">
        <is>
          <t>Profile updates performed without valid recovery authorisation</t>
        </is>
      </c>
      <c r="D121" s="5" t="str">
        <f>IF(COUNTIFS('04_MATCHING'!$B$2:$B$1026,"OWASP",'04_MATCHING'!$C$2:$C$1026,$A121,'04_MATCHING'!$G$2:$G$1026,$B121,'04_MATCHING'!$H$2:$H$1026,"Primary TP")&gt;0,"Covered","FN")</f>
        <v>FN</v>
      </c>
      <c r="E121" s="5" t="str">
        <f>IF(COUNTIFS('04_MATCHING'!$B$2:$B$1026,"TMT",'04_MATCHING'!$C$2:$C$1026,$A121,'04_MATCHING'!$G$2:$G$1026,$B121,'04_MATCHING'!$H$2:$H$1026,"Primary TP")&gt;0,"Covered","FN")</f>
        <v>FN</v>
      </c>
      <c r="F121" s="5" t="str">
        <f>IF(COUNTIFS('04_MATCHING'!$B$2:$B$1026,"CHATGPT",'04_MATCHING'!$C$2:$C$1026,$A121,'04_MATCHING'!$G$2:$G$1026,$B121,'04_MATCHING'!$H$2:$H$1026,"Primary TP")&gt;0,"Covered","FN")</f>
        <v>Covered</v>
      </c>
      <c r="G121" s="5" t="str">
        <f>IF(COUNTIFS('04_MATCHING'!$B$2:$B$1026,"OLLAMA",'04_MATCHING'!$C$2:$C$1026,$A121,'04_MATCHING'!$G$2:$G$1026,$B121,'04_MATCHING'!$H$2:$H$1026,"Primary TP")&gt;0,"Covered","FN")</f>
        <v>Covered</v>
      </c>
      <c r="H121" s="5" t="str">
        <f>IF(COUNTIFS('04_MATCHING'!$B$2:$B$1026,"THREMOLIA",'04_MATCHING'!$C$2:$C$1026,$A121,'04_MATCHING'!$G$2:$G$1026,$B121,'04_MATCHING'!$H$2:$H$1026,"Primary TP")&gt;0,"Covered","FN")</f>
        <v>FN</v>
      </c>
      <c r="I121" s="5" t="n">
        <f>COUNTIF($D121:$H121,"Covered")</f>
        <v>2.0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0"/>
  <sheetViews>
    <sheetView workbookViewId="0">
      <selection activeCell="A1" sqref="A1"/>
    </sheetView>
  </sheetViews>
  <sheetFormatPr baseColWidth="8" defaultRowHeight="15" outlineLevelCol="0"/>
  <cols>
    <col width="14" customWidth="1" min="1" max="1"/>
    <col width="10" customWidth="1" min="2" max="2"/>
    <col width="11" customWidth="1" min="3" max="3"/>
    <col width="11" customWidth="1" min="4" max="4"/>
    <col width="11" customWidth="1" min="5" max="5"/>
    <col width="10" customWidth="1" min="6" max="6"/>
    <col width="12" customWidth="1" min="7" max="7"/>
    <col width="9" customWidth="1" min="8" max="8"/>
    <col width="16" customWidth="1" min="9" max="9"/>
    <col width="15" customWidth="1" min="10" max="10"/>
    <col width="10" customWidth="1" min="11" max="11"/>
    <col width="22" customWidth="1" min="12" max="12"/>
    <col width="14" customWidth="1" min="13" max="13"/>
    <col width="14" customWidth="1" min="14" max="14"/>
    <col width="14" customWidth="1" min="15" max="15"/>
    <col width="14" customWidth="1" min="16" max="16"/>
  </cols>
  <sheetData>
    <row r="1">
      <c r="A1" s="1" t="inlineStr">
        <is>
          <t>Precision / Recall / F1</t>
        </is>
      </c>
    </row>
    <row r="2">
      <c r="A2" s="2" t="inlineStr">
        <is>
          <t>Precision = TP/(TP+FP) using Primary TP (one-to-one rule, per explicit specification). A supplementary "per-finding precision incl. duplicates" = (PrimaryTP+Duplicates)/Generated is shown for interpretation. 95% Wilson CIs are exploratory (small n).</t>
        </is>
      </c>
    </row>
    <row r="4">
      <c r="A4" s="4" t="inlineStr">
        <is>
          <t>Approach</t>
        </is>
      </c>
      <c r="B4" s="4" t="inlineStr">
        <is>
          <t>Scenario</t>
        </is>
      </c>
      <c r="C4" s="4" t="inlineStr">
        <is>
          <t>Generated</t>
        </is>
      </c>
      <c r="D4" s="4" t="inlineStr">
        <is>
          <t>Primary TP</t>
        </is>
      </c>
      <c r="E4" s="4" t="inlineStr">
        <is>
          <t>Duplicates</t>
        </is>
      </c>
      <c r="F4" s="4" t="inlineStr">
        <is>
          <t>FP</t>
        </is>
      </c>
      <c r="G4" s="4" t="inlineStr">
        <is>
          <t>Reference</t>
        </is>
      </c>
      <c r="H4" s="4" t="inlineStr">
        <is>
          <t>FN</t>
        </is>
      </c>
      <c r="I4" s="4" t="inlineStr">
        <is>
          <t>Precision (Primary)</t>
        </is>
      </c>
      <c r="J4" s="4" t="inlineStr">
        <is>
          <t>Recall/Coverage</t>
        </is>
      </c>
      <c r="K4" s="4" t="inlineStr">
        <is>
          <t>F1</t>
        </is>
      </c>
      <c r="L4" s="4" t="inlineStr">
        <is>
          <t>Per-finding Precision (incl. dup.)</t>
        </is>
      </c>
      <c r="M4" s="4" t="inlineStr">
        <is>
          <t>95%CI Prec (lower)</t>
        </is>
      </c>
      <c r="N4" s="4" t="inlineStr">
        <is>
          <t>95%CI Prec (upper)</t>
        </is>
      </c>
      <c r="O4" s="4" t="inlineStr">
        <is>
          <t>95%CI Rec (lower)</t>
        </is>
      </c>
      <c r="P4" s="4" t="inlineStr">
        <is>
          <t>95%CI Rec (upper)</t>
        </is>
      </c>
    </row>
    <row r="5">
      <c r="A5" s="5" t="inlineStr">
        <is>
          <t>OWASP</t>
        </is>
      </c>
      <c r="B5" s="5" t="inlineStr">
        <is>
          <t>S1</t>
        </is>
      </c>
      <c r="C5" s="5" t="n">
        <f>COUNTIFS('04_MATCHING'!$B$2:$B$1026,$A5,'04_MATCHING'!$C$2:$C$1026,$B5)</f>
        <v>38.0</v>
      </c>
      <c r="D5" s="5" t="n">
        <f>COUNTIFS('04_MATCHING'!$B$2:$B$1026,$A5,'04_MATCHING'!$C$2:$C$1026,$B5,'04_MATCHING'!$H$2:$H$1026,"Primary TP")</f>
        <v>6.0</v>
      </c>
      <c r="E5" s="5" t="n">
        <f>COUNTIFS('04_MATCHING'!$B$2:$B$1026,$A5,'04_MATCHING'!$C$2:$C$1026,$B5,'04_MATCHING'!$H$2:$H$1026,"Duplicate")</f>
        <v>6.0</v>
      </c>
      <c r="F5" s="5" t="n">
        <f>COUNTIFS('04_MATCHING'!$B$2:$B$1026,$A5,'04_MATCHING'!$C$2:$C$1026,$B5,'04_MATCHING'!$H$2:$H$1026,"False Positive")</f>
        <v>26.0</v>
      </c>
      <c r="G5" s="5" t="n">
        <f>COUNTIFS('02_REFERENCE'!$B$2:$B$99,$B5,'02_REFERENCE'!$S$2:$S$99,"YES")</f>
        <v>32.0</v>
      </c>
      <c r="H5" s="5" t="n">
        <f>G5-D5</f>
        <v>26</v>
      </c>
      <c r="I5" s="25" t="n">
        <f>IFERROR(D5/(D5+F5),"")</f>
        <v>0.1875</v>
      </c>
      <c r="J5" s="25" t="n">
        <f>IFERROR(D5/G5,"")</f>
        <v>0.1875</v>
      </c>
      <c r="K5" s="26" t="n">
        <f>IFERROR(2*I5*J5/(I5+J5),"")</f>
        <v>0.1875</v>
      </c>
      <c r="L5" s="25" t="n">
        <f>IFERROR((D5+E5)/C5,"")</f>
        <v>0.3157894736842105</v>
      </c>
      <c r="M5" s="25" t="n">
        <f>IFERROR((($D5/($D5+$F5))+1.96^2/(2*($D5+$F5))-1.96*SQRT(($D5/($D5+$F5))*(1-$D5/($D5+$F5))/($D5+$F5)+1.96^2/(4*($D5+$F5)^2)))/(1+1.96^2/($D5+$F5)),"")</f>
        <v>0.08889423936162782</v>
      </c>
      <c r="N5" s="25" t="n">
        <f>IFERROR((($D5/($D5+$F5))+1.96^2/(2*($D5+$F5))+1.96*SQRT(($D5/($D5+$F5))*(1-$D5/($D5+$F5))/($D5+$F5)+1.96^2/(4*($D5+$F5)^2)))/(1+1.96^2/($D5+$F5)),"")</f>
        <v>0.3530949575492244</v>
      </c>
      <c r="O5" s="25" t="n">
        <f>IFERROR((($D5/$G5)+1.96^2/(2*$G5)-1.96*SQRT(($D5/$G5)*(1-$D5/$G5)/$G5+1.96^2/(4*$G5^2)))/(1+1.96^2/$G5),"")</f>
        <v>0.08889423936162782</v>
      </c>
      <c r="P5" s="25" t="n">
        <f>IFERROR((($D5/$G5)+1.96^2/(2*$G5)+1.96*SQRT(($D5/$G5)*(1-$D5/$G5)/$G5+1.96^2/(4*$G5^2)))/(1+1.96^2/$G5),"")</f>
        <v>0.3530949575492244</v>
      </c>
    </row>
    <row r="6">
      <c r="A6" s="5" t="inlineStr">
        <is>
          <t>OWASP</t>
        </is>
      </c>
      <c r="B6" s="5" t="inlineStr">
        <is>
          <t>S2</t>
        </is>
      </c>
      <c r="C6" s="5" t="n">
        <f>COUNTIFS('04_MATCHING'!$B$2:$B$1026,$A6,'04_MATCHING'!$C$2:$C$1026,$B6)</f>
        <v>39.0</v>
      </c>
      <c r="D6" s="5" t="n">
        <f>COUNTIFS('04_MATCHING'!$B$2:$B$1026,$A6,'04_MATCHING'!$C$2:$C$1026,$B6,'04_MATCHING'!$H$2:$H$1026,"Primary TP")</f>
        <v>6.0</v>
      </c>
      <c r="E6" s="5" t="n">
        <f>COUNTIFS('04_MATCHING'!$B$2:$B$1026,$A6,'04_MATCHING'!$C$2:$C$1026,$B6,'04_MATCHING'!$H$2:$H$1026,"Duplicate")</f>
        <v>6.0</v>
      </c>
      <c r="F6" s="5" t="n">
        <f>COUNTIFS('04_MATCHING'!$B$2:$B$1026,$A6,'04_MATCHING'!$C$2:$C$1026,$B6,'04_MATCHING'!$H$2:$H$1026,"False Positive")</f>
        <v>27.0</v>
      </c>
      <c r="G6" s="5" t="n">
        <f>COUNTIFS('02_REFERENCE'!$B$2:$B$99,$B6,'02_REFERENCE'!$S$2:$S$99,"YES")</f>
        <v>33.0</v>
      </c>
      <c r="H6" s="5" t="n">
        <f>G6-D6</f>
        <v>27</v>
      </c>
      <c r="I6" s="25" t="n">
        <f>IFERROR(D6/(D6+F6),"")</f>
        <v>0.18181818181818182</v>
      </c>
      <c r="J6" s="25" t="n">
        <f>IFERROR(D6/G6,"")</f>
        <v>0.18181818181818182</v>
      </c>
      <c r="K6" s="26" t="n">
        <f>IFERROR(2*I6*J6/(I6+J6),"")</f>
        <v>0.18181818181818182</v>
      </c>
      <c r="L6" s="25" t="n">
        <f>IFERROR((D6+E6)/C6,"")</f>
        <v>0.3076923076923077</v>
      </c>
      <c r="M6" s="25" t="n">
        <f>IFERROR((($D6/($D6+$F6))+1.96^2/(2*($D6+$F6))-1.96*SQRT(($D6/($D6+$F6))*(1-$D6/($D6+$F6))/($D6+$F6)+1.96^2/(4*($D6+$F6)^2)))/(1+1.96^2/($D6+$F6)),"")</f>
        <v>0.08610651225698264</v>
      </c>
      <c r="N6" s="25" t="n">
        <f>IFERROR((($D6/($D6+$F6))+1.96^2/(2*($D6+$F6))+1.96*SQRT(($D6/($D6+$F6))*(1-$D6/($D6+$F6))/($D6+$F6)+1.96^2/(4*($D6+$F6)^2)))/(1+1.96^2/($D6+$F6)),"")</f>
        <v>0.3438856704929522</v>
      </c>
      <c r="O6" s="25" t="n">
        <f>IFERROR((($D6/$G6)+1.96^2/(2*$G6)-1.96*SQRT(($D6/$G6)*(1-$D6/$G6)/$G6+1.96^2/(4*$G6^2)))/(1+1.96^2/$G6),"")</f>
        <v>0.08610651225698264</v>
      </c>
      <c r="P6" s="25" t="n">
        <f>IFERROR((($D6/$G6)+1.96^2/(2*$G6)+1.96*SQRT(($D6/$G6)*(1-$D6/$G6)/$G6+1.96^2/(4*$G6^2)))/(1+1.96^2/$G6),"")</f>
        <v>0.3438856704929522</v>
      </c>
    </row>
    <row r="7">
      <c r="A7" s="5" t="inlineStr">
        <is>
          <t>OWASP</t>
        </is>
      </c>
      <c r="B7" s="5" t="inlineStr">
        <is>
          <t>S3</t>
        </is>
      </c>
      <c r="C7" s="5" t="n">
        <f>COUNTIFS('04_MATCHING'!$B$2:$B$1026,$A7,'04_MATCHING'!$C$2:$C$1026,$B7)</f>
        <v>46.0</v>
      </c>
      <c r="D7" s="5" t="n">
        <f>COUNTIFS('04_MATCHING'!$B$2:$B$1026,$A7,'04_MATCHING'!$C$2:$C$1026,$B7,'04_MATCHING'!$H$2:$H$1026,"Primary TP")</f>
        <v>7.0</v>
      </c>
      <c r="E7" s="5" t="n">
        <f>COUNTIFS('04_MATCHING'!$B$2:$B$1026,$A7,'04_MATCHING'!$C$2:$C$1026,$B7,'04_MATCHING'!$H$2:$H$1026,"Duplicate")</f>
        <v>13.0</v>
      </c>
      <c r="F7" s="5" t="n">
        <f>COUNTIFS('04_MATCHING'!$B$2:$B$1026,$A7,'04_MATCHING'!$C$2:$C$1026,$B7,'04_MATCHING'!$H$2:$H$1026,"False Positive")</f>
        <v>26.0</v>
      </c>
      <c r="G7" s="5" t="n">
        <f>COUNTIFS('02_REFERENCE'!$B$2:$B$99,$B7,'02_REFERENCE'!$S$2:$S$99,"YES")</f>
        <v>33.0</v>
      </c>
      <c r="H7" s="5" t="n">
        <f>G7-D7</f>
        <v>26</v>
      </c>
      <c r="I7" s="25" t="n">
        <f>IFERROR(D7/(D7+F7),"")</f>
        <v>0.21212121212121213</v>
      </c>
      <c r="J7" s="25" t="n">
        <f>IFERROR(D7/G7,"")</f>
        <v>0.21212121212121213</v>
      </c>
      <c r="K7" s="26" t="n">
        <f>IFERROR(2*I7*J7/(I7+J7),"")</f>
        <v>0.21212121212121215</v>
      </c>
      <c r="L7" s="25" t="n">
        <f>IFERROR((D7+E7)/C7,"")</f>
        <v>0.43478260869565216</v>
      </c>
      <c r="M7" s="25" t="n">
        <f>IFERROR((($D7/($D7+$F7))+1.96^2/(2*($D7+$F7))-1.96*SQRT(($D7/($D7+$F7))*(1-$D7/($D7+$F7))/($D7+$F7)+1.96^2/(4*($D7+$F7)^2)))/(1+1.96^2/($D7+$F7)),"")</f>
        <v>0.10675886566436177</v>
      </c>
      <c r="N7" s="25" t="n">
        <f>IFERROR((($D7/($D7+$F7))+1.96^2/(2*($D7+$F7))+1.96*SQRT(($D7/($D7+$F7))*(1-$D7/($D7+$F7))/($D7+$F7)+1.96^2/(4*($D7+$F7)^2)))/(1+1.96^2/($D7+$F7)),"")</f>
        <v>0.37751977587129365</v>
      </c>
      <c r="O7" s="25" t="n">
        <f>IFERROR((($D7/$G7)+1.96^2/(2*$G7)-1.96*SQRT(($D7/$G7)*(1-$D7/$G7)/$G7+1.96^2/(4*$G7^2)))/(1+1.96^2/$G7),"")</f>
        <v>0.10675886566436177</v>
      </c>
      <c r="P7" s="25" t="n">
        <f>IFERROR((($D7/$G7)+1.96^2/(2*$G7)+1.96*SQRT(($D7/$G7)*(1-$D7/$G7)/$G7+1.96^2/(4*$G7^2)))/(1+1.96^2/$G7),"")</f>
        <v>0.37751977587129365</v>
      </c>
    </row>
    <row r="8">
      <c r="A8" s="5" t="inlineStr">
        <is>
          <t>TMT</t>
        </is>
      </c>
      <c r="B8" s="5" t="inlineStr">
        <is>
          <t>S1</t>
        </is>
      </c>
      <c r="C8" s="5" t="n">
        <f>COUNTIFS('04_MATCHING'!$B$2:$B$1026,$A8,'04_MATCHING'!$C$2:$C$1026,$B8)</f>
        <v>95.0</v>
      </c>
      <c r="D8" s="5" t="n">
        <f>COUNTIFS('04_MATCHING'!$B$2:$B$1026,$A8,'04_MATCHING'!$C$2:$C$1026,$B8,'04_MATCHING'!$H$2:$H$1026,"Primary TP")</f>
        <v>9.0</v>
      </c>
      <c r="E8" s="5" t="n">
        <f>COUNTIFS('04_MATCHING'!$B$2:$B$1026,$A8,'04_MATCHING'!$C$2:$C$1026,$B8,'04_MATCHING'!$H$2:$H$1026,"Duplicate")</f>
        <v>13.0</v>
      </c>
      <c r="F8" s="5" t="n">
        <f>COUNTIFS('04_MATCHING'!$B$2:$B$1026,$A8,'04_MATCHING'!$C$2:$C$1026,$B8,'04_MATCHING'!$H$2:$H$1026,"False Positive")</f>
        <v>73.0</v>
      </c>
      <c r="G8" s="5" t="n">
        <f>COUNTIFS('02_REFERENCE'!$B$2:$B$99,$B8,'02_REFERENCE'!$S$2:$S$99,"YES")</f>
        <v>32.0</v>
      </c>
      <c r="H8" s="5" t="n">
        <f>G8-D8</f>
        <v>23</v>
      </c>
      <c r="I8" s="25" t="n">
        <f>IFERROR(D8/(D8+F8),"")</f>
        <v>0.10975609756097561</v>
      </c>
      <c r="J8" s="25" t="n">
        <f>IFERROR(D8/G8,"")</f>
        <v>0.28125</v>
      </c>
      <c r="K8" s="26" t="n">
        <f>IFERROR(2*I8*J8/(I8+J8),"")</f>
        <v>0.15789473684210525</v>
      </c>
      <c r="L8" s="25" t="n">
        <f>IFERROR((D8+E8)/C8,"")</f>
        <v>0.23157894736842105</v>
      </c>
      <c r="M8" s="25" t="n">
        <f>IFERROR((($D8/($D8+$F8))+1.96^2/(2*($D8+$F8))-1.96*SQRT(($D8/($D8+$F8))*(1-$D8/($D8+$F8))/($D8+$F8)+1.96^2/(4*($D8+$F8)^2)))/(1+1.96^2/($D8+$F8)),"")</f>
        <v>0.05882647906650992</v>
      </c>
      <c r="N8" s="25" t="n">
        <f>IFERROR((($D8/($D8+$F8))+1.96^2/(2*($D8+$F8))+1.96*SQRT(($D8/($D8+$F8))*(1-$D8/($D8+$F8))/($D8+$F8)+1.96^2/(4*($D8+$F8)^2)))/(1+1.96^2/($D8+$F8)),"")</f>
        <v>0.1956142582916008</v>
      </c>
      <c r="O8" s="25" t="n">
        <f>IFERROR((($D8/$G8)+1.96^2/(2*$G8)-1.96*SQRT(($D8/$G8)*(1-$D8/$G8)/$G8+1.96^2/(4*$G8^2)))/(1+1.96^2/$G8),"")</f>
        <v>0.15564406845647866</v>
      </c>
      <c r="P8" s="25" t="n">
        <f>IFERROR((($D8/$G8)+1.96^2/(2*$G8)+1.96*SQRT(($D8/$G8)*(1-$D8/$G8)/$G8+1.96^2/(4*$G8^2)))/(1+1.96^2/$G8),"")</f>
        <v>0.45374836938111784</v>
      </c>
    </row>
    <row r="9">
      <c r="A9" s="5" t="inlineStr">
        <is>
          <t>TMT</t>
        </is>
      </c>
      <c r="B9" s="5" t="inlineStr">
        <is>
          <t>S2</t>
        </is>
      </c>
      <c r="C9" s="5" t="n">
        <f>COUNTIFS('04_MATCHING'!$B$2:$B$1026,$A9,'04_MATCHING'!$C$2:$C$1026,$B9)</f>
        <v>89.0</v>
      </c>
      <c r="D9" s="5" t="n">
        <f>COUNTIFS('04_MATCHING'!$B$2:$B$1026,$A9,'04_MATCHING'!$C$2:$C$1026,$B9,'04_MATCHING'!$H$2:$H$1026,"Primary TP")</f>
        <v>10.0</v>
      </c>
      <c r="E9" s="5" t="n">
        <f>COUNTIFS('04_MATCHING'!$B$2:$B$1026,$A9,'04_MATCHING'!$C$2:$C$1026,$B9,'04_MATCHING'!$H$2:$H$1026,"Duplicate")</f>
        <v>14.0</v>
      </c>
      <c r="F9" s="5" t="n">
        <f>COUNTIFS('04_MATCHING'!$B$2:$B$1026,$A9,'04_MATCHING'!$C$2:$C$1026,$B9,'04_MATCHING'!$H$2:$H$1026,"False Positive")</f>
        <v>65.0</v>
      </c>
      <c r="G9" s="5" t="n">
        <f>COUNTIFS('02_REFERENCE'!$B$2:$B$99,$B9,'02_REFERENCE'!$S$2:$S$99,"YES")</f>
        <v>33.0</v>
      </c>
      <c r="H9" s="5" t="n">
        <f>G9-D9</f>
        <v>23</v>
      </c>
      <c r="I9" s="25" t="n">
        <f>IFERROR(D9/(D9+F9),"")</f>
        <v>0.13333333333333333</v>
      </c>
      <c r="J9" s="25" t="n">
        <f>IFERROR(D9/G9,"")</f>
        <v>0.30303030303030304</v>
      </c>
      <c r="K9" s="26" t="n">
        <f>IFERROR(2*I9*J9/(I9+J9),"")</f>
        <v>0.18518518518518517</v>
      </c>
      <c r="L9" s="25" t="n">
        <f>IFERROR((D9+E9)/C9,"")</f>
        <v>0.2696629213483146</v>
      </c>
      <c r="M9" s="25" t="n">
        <f>IFERROR((($D9/($D9+$F9))+1.96^2/(2*($D9+$F9))-1.96*SQRT(($D9/($D9+$F9))*(1-$D9/($D9+$F9))/($D9+$F9)+1.96^2/(4*($D9+$F9)^2)))/(1+1.96^2/($D9+$F9)),"")</f>
        <v>0.0740650509941473</v>
      </c>
      <c r="N9" s="25" t="n">
        <f>IFERROR((($D9/($D9+$F9))+1.96^2/(2*($D9+$F9))+1.96*SQRT(($D9/($D9+$F9))*(1-$D9/($D9+$F9))/($D9+$F9)+1.96^2/(4*($D9+$F9)^2)))/(1+1.96^2/($D9+$F9)),"")</f>
        <v>0.2283336826692994</v>
      </c>
      <c r="O9" s="25" t="n">
        <f>IFERROR((($D9/$G9)+1.96^2/(2*$G9)-1.96*SQRT(($D9/$G9)*(1-$D9/$G9)/$G9+1.96^2/(4*$G9^2)))/(1+1.96^2/$G9),"")</f>
        <v>0.17375347814547226</v>
      </c>
      <c r="P9" s="25" t="n">
        <f>IFERROR((($D9/$G9)+1.96^2/(2*$G9)+1.96*SQRT(($D9/$G9)*(1-$D9/$G9)/$G9+1.96^2/(4*$G9^2)))/(1+1.96^2/$G9),"")</f>
        <v>0.47338453974734457</v>
      </c>
    </row>
    <row r="10">
      <c r="A10" s="5" t="inlineStr">
        <is>
          <t>TMT</t>
        </is>
      </c>
      <c r="B10" s="5" t="inlineStr">
        <is>
          <t>S3</t>
        </is>
      </c>
      <c r="C10" s="5" t="n">
        <f>COUNTIFS('04_MATCHING'!$B$2:$B$1026,$A10,'04_MATCHING'!$C$2:$C$1026,$B10)</f>
        <v>117.0</v>
      </c>
      <c r="D10" s="5" t="n">
        <f>COUNTIFS('04_MATCHING'!$B$2:$B$1026,$A10,'04_MATCHING'!$C$2:$C$1026,$B10,'04_MATCHING'!$H$2:$H$1026,"Primary TP")</f>
        <v>9.0</v>
      </c>
      <c r="E10" s="5" t="n">
        <f>COUNTIFS('04_MATCHING'!$B$2:$B$1026,$A10,'04_MATCHING'!$C$2:$C$1026,$B10,'04_MATCHING'!$H$2:$H$1026,"Duplicate")</f>
        <v>25.0</v>
      </c>
      <c r="F10" s="5" t="n">
        <f>COUNTIFS('04_MATCHING'!$B$2:$B$1026,$A10,'04_MATCHING'!$C$2:$C$1026,$B10,'04_MATCHING'!$H$2:$H$1026,"False Positive")</f>
        <v>83.0</v>
      </c>
      <c r="G10" s="5" t="n">
        <f>COUNTIFS('02_REFERENCE'!$B$2:$B$99,$B10,'02_REFERENCE'!$S$2:$S$99,"YES")</f>
        <v>33.0</v>
      </c>
      <c r="H10" s="5" t="n">
        <f>G10-D10</f>
        <v>24</v>
      </c>
      <c r="I10" s="25" t="n">
        <f>IFERROR(D10/(D10+F10),"")</f>
        <v>0.09782608695652174</v>
      </c>
      <c r="J10" s="25" t="n">
        <f>IFERROR(D10/G10,"")</f>
        <v>0.2727272727272727</v>
      </c>
      <c r="K10" s="26" t="n">
        <f>IFERROR(2*I10*J10/(I10+J10),"")</f>
        <v>0.14400000000000002</v>
      </c>
      <c r="L10" s="25" t="n">
        <f>IFERROR((D10+E10)/C10,"")</f>
        <v>0.2905982905982906</v>
      </c>
      <c r="M10" s="25" t="n">
        <f>IFERROR((($D10/($D10+$F10))+1.96^2/(2*($D10+$F10))-1.96*SQRT(($D10/($D10+$F10))*(1-$D10/($D10+$F10))/($D10+$F10)+1.96^2/(4*($D10+$F10)^2)))/(1+1.96^2/($D10+$F10)),"")</f>
        <v>0.052323164431973955</v>
      </c>
      <c r="N10" s="25" t="n">
        <f>IFERROR((($D10/($D10+$F10))+1.96^2/(2*($D10+$F10))+1.96*SQRT(($D10/($D10+$F10))*(1-$D10/($D10+$F10))/($D10+$F10)+1.96^2/(4*($D10+$F10)^2)))/(1+1.96^2/($D10+$F10)),"")</f>
        <v>0.17556952517254015</v>
      </c>
      <c r="O10" s="25" t="n">
        <f>IFERROR((($D10/$G10)+1.96^2/(2*$G10)-1.96*SQRT(($D10/$G10)*(1-$D10/$G10)/$G10+1.96^2/(4*$G10^2)))/(1+1.96^2/$G10),"")</f>
        <v>0.1506727265632281</v>
      </c>
      <c r="P10" s="25" t="n">
        <f>IFERROR((($D10/$G10)+1.96^2/(2*$G10)+1.96*SQRT(($D10/$G10)*(1-$D10/$G10)/$G10+1.96^2/(4*$G10^2)))/(1+1.96^2/$G10),"")</f>
        <v>0.44217883254386814</v>
      </c>
    </row>
    <row r="11">
      <c r="A11" s="5" t="inlineStr">
        <is>
          <t>CHATGPT</t>
        </is>
      </c>
      <c r="B11" s="5" t="inlineStr">
        <is>
          <t>S1</t>
        </is>
      </c>
      <c r="C11" s="5" t="n">
        <f>COUNTIFS('04_MATCHING'!$B$2:$B$1026,$A11,'04_MATCHING'!$C$2:$C$1026,$B11)</f>
        <v>72.0</v>
      </c>
      <c r="D11" s="5" t="n">
        <f>COUNTIFS('04_MATCHING'!$B$2:$B$1026,$A11,'04_MATCHING'!$C$2:$C$1026,$B11,'04_MATCHING'!$H$2:$H$1026,"Primary TP")</f>
        <v>18.0</v>
      </c>
      <c r="E11" s="5" t="n">
        <f>COUNTIFS('04_MATCHING'!$B$2:$B$1026,$A11,'04_MATCHING'!$C$2:$C$1026,$B11,'04_MATCHING'!$H$2:$H$1026,"Duplicate")</f>
        <v>37.0</v>
      </c>
      <c r="F11" s="5" t="n">
        <f>COUNTIFS('04_MATCHING'!$B$2:$B$1026,$A11,'04_MATCHING'!$C$2:$C$1026,$B11,'04_MATCHING'!$H$2:$H$1026,"False Positive")</f>
        <v>17.0</v>
      </c>
      <c r="G11" s="5" t="n">
        <f>COUNTIFS('02_REFERENCE'!$B$2:$B$99,$B11,'02_REFERENCE'!$S$2:$S$99,"YES")</f>
        <v>32.0</v>
      </c>
      <c r="H11" s="5" t="n">
        <f>G11-D11</f>
        <v>14</v>
      </c>
      <c r="I11" s="25" t="n">
        <f>IFERROR(D11/(D11+F11),"")</f>
        <v>0.5142857142857142</v>
      </c>
      <c r="J11" s="25" t="n">
        <f>IFERROR(D11/G11,"")</f>
        <v>0.5625</v>
      </c>
      <c r="K11" s="26" t="n">
        <f>IFERROR(2*I11*J11/(I11+J11),"")</f>
        <v>0.5373134328358209</v>
      </c>
      <c r="L11" s="25" t="n">
        <f>IFERROR((D11+E11)/C11,"")</f>
        <v>0.7638888888888888</v>
      </c>
      <c r="M11" s="25" t="n">
        <f>IFERROR((($D11/($D11+$F11))+1.96^2/(2*($D11+$F11))-1.96*SQRT(($D11/($D11+$F11))*(1-$D11/($D11+$F11))/($D11+$F11)+1.96^2/(4*($D11+$F11)^2)))/(1+1.96^2/($D11+$F11)),"")</f>
        <v>0.35568539626711626</v>
      </c>
      <c r="N11" s="25" t="n">
        <f>IFERROR((($D11/($D11+$F11))+1.96^2/(2*($D11+$F11))+1.96*SQRT(($D11/($D11+$F11))*(1-$D11/($D11+$F11))/($D11+$F11)+1.96^2/(4*($D11+$F11)^2)))/(1+1.96^2/($D11+$F11)),"")</f>
        <v>0.6700601960874725</v>
      </c>
      <c r="O11" s="25" t="n">
        <f>IFERROR((($D11/$G11)+1.96^2/(2*$G11)-1.96*SQRT(($D11/$G11)*(1-$D11/$G11)/$G11+1.96^2/(4*$G11^2)))/(1+1.96^2/$G11),"")</f>
        <v>0.3932530203122613</v>
      </c>
      <c r="P11" s="25" t="n">
        <f>IFERROR((($D11/$G11)+1.96^2/(2*$G11)+1.96*SQRT(($D11/$G11)*(1-$D11/$G11)/$G11+1.96^2/(4*$G11^2)))/(1+1.96^2/$G11),"")</f>
        <v>0.7183491403055682</v>
      </c>
    </row>
    <row r="12">
      <c r="A12" s="5" t="inlineStr">
        <is>
          <t>CHATGPT</t>
        </is>
      </c>
      <c r="B12" s="5" t="inlineStr">
        <is>
          <t>S2</t>
        </is>
      </c>
      <c r="C12" s="5" t="n">
        <f>COUNTIFS('04_MATCHING'!$B$2:$B$1026,$A12,'04_MATCHING'!$C$2:$C$1026,$B12)</f>
        <v>60.0</v>
      </c>
      <c r="D12" s="5" t="n">
        <f>COUNTIFS('04_MATCHING'!$B$2:$B$1026,$A12,'04_MATCHING'!$C$2:$C$1026,$B12,'04_MATCHING'!$H$2:$H$1026,"Primary TP")</f>
        <v>18.0</v>
      </c>
      <c r="E12" s="5" t="n">
        <f>COUNTIFS('04_MATCHING'!$B$2:$B$1026,$A12,'04_MATCHING'!$C$2:$C$1026,$B12,'04_MATCHING'!$H$2:$H$1026,"Duplicate")</f>
        <v>24.0</v>
      </c>
      <c r="F12" s="5" t="n">
        <f>COUNTIFS('04_MATCHING'!$B$2:$B$1026,$A12,'04_MATCHING'!$C$2:$C$1026,$B12,'04_MATCHING'!$H$2:$H$1026,"False Positive")</f>
        <v>18.0</v>
      </c>
      <c r="G12" s="5" t="n">
        <f>COUNTIFS('02_REFERENCE'!$B$2:$B$99,$B12,'02_REFERENCE'!$S$2:$S$99,"YES")</f>
        <v>33.0</v>
      </c>
      <c r="H12" s="5" t="n">
        <f>G12-D12</f>
        <v>15</v>
      </c>
      <c r="I12" s="25" t="n">
        <f>IFERROR(D12/(D12+F12),"")</f>
        <v>0.5</v>
      </c>
      <c r="J12" s="25" t="n">
        <f>IFERROR(D12/G12,"")</f>
        <v>0.5454545454545454</v>
      </c>
      <c r="K12" s="26" t="n">
        <f>IFERROR(2*I12*J12/(I12+J12),"")</f>
        <v>0.5217391304347826</v>
      </c>
      <c r="L12" s="25" t="n">
        <f>IFERROR((D12+E12)/C12,"")</f>
        <v>0.7</v>
      </c>
      <c r="M12" s="25" t="n">
        <f>IFERROR((($D12/($D12+$F12))+1.96^2/(2*($D12+$F12))-1.96*SQRT(($D12/($D12+$F12))*(1-$D12/($D12+$F12))/($D12+$F12)+1.96^2/(4*($D12+$F12)^2)))/(1+1.96^2/($D12+$F12)),"")</f>
        <v>0.34474067624730526</v>
      </c>
      <c r="N12" s="25" t="n">
        <f>IFERROR((($D12/($D12+$F12))+1.96^2/(2*($D12+$F12))+1.96*SQRT(($D12/($D12+$F12))*(1-$D12/($D12+$F12))/($D12+$F12)+1.96^2/(4*($D12+$F12)^2)))/(1+1.96^2/($D12+$F12)),"")</f>
        <v>0.6552593237526948</v>
      </c>
      <c r="O12" s="25" t="n">
        <f>IFERROR((($D12/$G12)+1.96^2/(2*$G12)-1.96*SQRT(($D12/$G12)*(1-$D12/$G12)/$G12+1.96^2/(4*$G12^2)))/(1+1.96^2/$G12),"")</f>
        <v>0.3798565794374957</v>
      </c>
      <c r="P12" s="25" t="n">
        <f>IFERROR((($D12/$G12)+1.96^2/(2*$G12)+1.96*SQRT(($D12/$G12)*(1-$D12/$G12)/$G12+1.96^2/(4*$G12^2)))/(1+1.96^2/$G12),"")</f>
        <v>0.701573108741085</v>
      </c>
    </row>
    <row r="13">
      <c r="A13" s="5" t="inlineStr">
        <is>
          <t>CHATGPT</t>
        </is>
      </c>
      <c r="B13" s="5" t="inlineStr">
        <is>
          <t>S3</t>
        </is>
      </c>
      <c r="C13" s="5" t="n">
        <f>COUNTIFS('04_MATCHING'!$B$2:$B$1026,$A13,'04_MATCHING'!$C$2:$C$1026,$B13)</f>
        <v>49.0</v>
      </c>
      <c r="D13" s="5" t="n">
        <f>COUNTIFS('04_MATCHING'!$B$2:$B$1026,$A13,'04_MATCHING'!$C$2:$C$1026,$B13,'04_MATCHING'!$H$2:$H$1026,"Primary TP")</f>
        <v>16.0</v>
      </c>
      <c r="E13" s="5" t="n">
        <f>COUNTIFS('04_MATCHING'!$B$2:$B$1026,$A13,'04_MATCHING'!$C$2:$C$1026,$B13,'04_MATCHING'!$H$2:$H$1026,"Duplicate")</f>
        <v>11.0</v>
      </c>
      <c r="F13" s="5" t="n">
        <f>COUNTIFS('04_MATCHING'!$B$2:$B$1026,$A13,'04_MATCHING'!$C$2:$C$1026,$B13,'04_MATCHING'!$H$2:$H$1026,"False Positive")</f>
        <v>22.0</v>
      </c>
      <c r="G13" s="5" t="n">
        <f>COUNTIFS('02_REFERENCE'!$B$2:$B$99,$B13,'02_REFERENCE'!$S$2:$S$99,"YES")</f>
        <v>33.0</v>
      </c>
      <c r="H13" s="5" t="n">
        <f>G13-D13</f>
        <v>17</v>
      </c>
      <c r="I13" s="25" t="n">
        <f>IFERROR(D13/(D13+F13),"")</f>
        <v>0.42105263157894735</v>
      </c>
      <c r="J13" s="25" t="n">
        <f>IFERROR(D13/G13,"")</f>
        <v>0.48484848484848486</v>
      </c>
      <c r="K13" s="26" t="n">
        <f>IFERROR(2*I13*J13/(I13+J13),"")</f>
        <v>0.4507042253521127</v>
      </c>
      <c r="L13" s="25" t="n">
        <f>IFERROR((D13+E13)/C13,"")</f>
        <v>0.5510204081632653</v>
      </c>
      <c r="M13" s="25" t="n">
        <f>IFERROR((($D13/($D13+$F13))+1.96^2/(2*($D13+$F13))-1.96*SQRT(($D13/($D13+$F13))*(1-$D13/($D13+$F13))/($D13+$F13)+1.96^2/(4*($D13+$F13)^2)))/(1+1.96^2/($D13+$F13)),"")</f>
        <v>0.2785227481181953</v>
      </c>
      <c r="N13" s="25" t="n">
        <f>IFERROR((($D13/($D13+$F13))+1.96^2/(2*($D13+$F13))+1.96*SQRT(($D13/($D13+$F13))*(1-$D13/($D13+$F13))/($D13+$F13)+1.96^2/(4*($D13+$F13)^2)))/(1+1.96^2/($D13+$F13)),"")</f>
        <v>0.5780792938687267</v>
      </c>
      <c r="O13" s="25" t="n">
        <f>IFERROR((($D13/$G13)+1.96^2/(2*$G13)-1.96*SQRT(($D13/$G13)*(1-$D13/$G13)/$G13+1.96^2/(4*$G13^2)))/(1+1.96^2/$G13),"")</f>
        <v>0.32503781646924224</v>
      </c>
      <c r="P13" s="25" t="n">
        <f>IFERROR((($D13/$G13)+1.96^2/(2*$G13)+1.96*SQRT(($D13/$G13)*(1-$D13/$G13)/$G13+1.96^2/(4*$G13^2)))/(1+1.96^2/$G13),"")</f>
        <v>0.6478189541378976</v>
      </c>
    </row>
    <row r="14">
      <c r="A14" s="5" t="inlineStr">
        <is>
          <t>OLLAMA</t>
        </is>
      </c>
      <c r="B14" s="5" t="inlineStr">
        <is>
          <t>S1</t>
        </is>
      </c>
      <c r="C14" s="5" t="n">
        <f>COUNTIFS('04_MATCHING'!$B$2:$B$1026,$A14,'04_MATCHING'!$C$2:$C$1026,$B14)</f>
        <v>40.0</v>
      </c>
      <c r="D14" s="5" t="n">
        <f>COUNTIFS('04_MATCHING'!$B$2:$B$1026,$A14,'04_MATCHING'!$C$2:$C$1026,$B14,'04_MATCHING'!$H$2:$H$1026,"Primary TP")</f>
        <v>6.0</v>
      </c>
      <c r="E14" s="5" t="n">
        <f>COUNTIFS('04_MATCHING'!$B$2:$B$1026,$A14,'04_MATCHING'!$C$2:$C$1026,$B14,'04_MATCHING'!$H$2:$H$1026,"Duplicate")</f>
        <v>15.0</v>
      </c>
      <c r="F14" s="5" t="n">
        <f>COUNTIFS('04_MATCHING'!$B$2:$B$1026,$A14,'04_MATCHING'!$C$2:$C$1026,$B14,'04_MATCHING'!$H$2:$H$1026,"False Positive")</f>
        <v>19.0</v>
      </c>
      <c r="G14" s="5" t="n">
        <f>COUNTIFS('02_REFERENCE'!$B$2:$B$99,$B14,'02_REFERENCE'!$S$2:$S$99,"YES")</f>
        <v>32.0</v>
      </c>
      <c r="H14" s="5" t="n">
        <f>G14-D14</f>
        <v>26</v>
      </c>
      <c r="I14" s="25" t="n">
        <f>IFERROR(D14/(D14+F14),"")</f>
        <v>0.24</v>
      </c>
      <c r="J14" s="25" t="n">
        <f>IFERROR(D14/G14,"")</f>
        <v>0.1875</v>
      </c>
      <c r="K14" s="26" t="n">
        <f>IFERROR(2*I14*J14/(I14+J14),"")</f>
        <v>0.21052631578947367</v>
      </c>
      <c r="L14" s="25" t="n">
        <f>IFERROR((D14+E14)/C14,"")</f>
        <v>0.525</v>
      </c>
      <c r="M14" s="25" t="n">
        <f>IFERROR((($D14/($D14+$F14))+1.96^2/(2*($D14+$F14))-1.96*SQRT(($D14/($D14+$F14))*(1-$D14/($D14+$F14))/($D14+$F14)+1.96^2/(4*($D14+$F14)^2)))/(1+1.96^2/($D14+$F14)),"")</f>
        <v>0.11496157730326727</v>
      </c>
      <c r="N14" s="25" t="n">
        <f>IFERROR((($D14/($D14+$F14))+1.96^2/(2*($D14+$F14))+1.96*SQRT(($D14/($D14+$F14))*(1-$D14/($D14+$F14))/($D14+$F14)+1.96^2/(4*($D14+$F14)^2)))/(1+1.96^2/($D14+$F14)),"")</f>
        <v>0.4343005995523857</v>
      </c>
      <c r="O14" s="25" t="n">
        <f>IFERROR((($D14/$G14)+1.96^2/(2*$G14)-1.96*SQRT(($D14/$G14)*(1-$D14/$G14)/$G14+1.96^2/(4*$G14^2)))/(1+1.96^2/$G14),"")</f>
        <v>0.08889423936162782</v>
      </c>
      <c r="P14" s="25" t="n">
        <f>IFERROR((($D14/$G14)+1.96^2/(2*$G14)+1.96*SQRT(($D14/$G14)*(1-$D14/$G14)/$G14+1.96^2/(4*$G14^2)))/(1+1.96^2/$G14),"")</f>
        <v>0.3530949575492244</v>
      </c>
    </row>
    <row r="15">
      <c r="A15" s="5" t="inlineStr">
        <is>
          <t>OLLAMA</t>
        </is>
      </c>
      <c r="B15" s="5" t="inlineStr">
        <is>
          <t>S2</t>
        </is>
      </c>
      <c r="C15" s="5" t="n">
        <f>COUNTIFS('04_MATCHING'!$B$2:$B$1026,$A15,'04_MATCHING'!$C$2:$C$1026,$B15)</f>
        <v>28.0</v>
      </c>
      <c r="D15" s="5" t="n">
        <f>COUNTIFS('04_MATCHING'!$B$2:$B$1026,$A15,'04_MATCHING'!$C$2:$C$1026,$B15,'04_MATCHING'!$H$2:$H$1026,"Primary TP")</f>
        <v>7.0</v>
      </c>
      <c r="E15" s="5" t="n">
        <f>COUNTIFS('04_MATCHING'!$B$2:$B$1026,$A15,'04_MATCHING'!$C$2:$C$1026,$B15,'04_MATCHING'!$H$2:$H$1026,"Duplicate")</f>
        <v>6.0</v>
      </c>
      <c r="F15" s="5" t="n">
        <f>COUNTIFS('04_MATCHING'!$B$2:$B$1026,$A15,'04_MATCHING'!$C$2:$C$1026,$B15,'04_MATCHING'!$H$2:$H$1026,"False Positive")</f>
        <v>15.0</v>
      </c>
      <c r="G15" s="5" t="n">
        <f>COUNTIFS('02_REFERENCE'!$B$2:$B$99,$B15,'02_REFERENCE'!$S$2:$S$99,"YES")</f>
        <v>33.0</v>
      </c>
      <c r="H15" s="5" t="n">
        <f>G15-D15</f>
        <v>26</v>
      </c>
      <c r="I15" s="25" t="n">
        <f>IFERROR(D15/(D15+F15),"")</f>
        <v>0.3181818181818182</v>
      </c>
      <c r="J15" s="25" t="n">
        <f>IFERROR(D15/G15,"")</f>
        <v>0.21212121212121213</v>
      </c>
      <c r="K15" s="26" t="n">
        <f>IFERROR(2*I15*J15/(I15+J15),"")</f>
        <v>0.2545454545454546</v>
      </c>
      <c r="L15" s="25" t="n">
        <f>IFERROR((D15+E15)/C15,"")</f>
        <v>0.4642857142857143</v>
      </c>
      <c r="M15" s="25" t="n">
        <f>IFERROR((($D15/($D15+$F15))+1.96^2/(2*($D15+$F15))-1.96*SQRT(($D15/($D15+$F15))*(1-$D15/($D15+$F15))/($D15+$F15)+1.96^2/(4*($D15+$F15)^2)))/(1+1.96^2/($D15+$F15)),"")</f>
        <v>0.16360387354692477</v>
      </c>
      <c r="N15" s="25" t="n">
        <f>IFERROR((($D15/($D15+$F15))+1.96^2/(2*($D15+$F15))+1.96*SQRT(($D15/($D15+$F15))*(1-$D15/($D15+$F15))/($D15+$F15)+1.96^2/(4*($D15+$F15)^2)))/(1+1.96^2/($D15+$F15)),"")</f>
        <v>0.5268177721716065</v>
      </c>
      <c r="O15" s="25" t="n">
        <f>IFERROR((($D15/$G15)+1.96^2/(2*$G15)-1.96*SQRT(($D15/$G15)*(1-$D15/$G15)/$G15+1.96^2/(4*$G15^2)))/(1+1.96^2/$G15),"")</f>
        <v>0.10675886566436177</v>
      </c>
      <c r="P15" s="25" t="n">
        <f>IFERROR((($D15/$G15)+1.96^2/(2*$G15)+1.96*SQRT(($D15/$G15)*(1-$D15/$G15)/$G15+1.96^2/(4*$G15^2)))/(1+1.96^2/$G15),"")</f>
        <v>0.37751977587129365</v>
      </c>
    </row>
    <row r="16">
      <c r="A16" s="5" t="inlineStr">
        <is>
          <t>OLLAMA</t>
        </is>
      </c>
      <c r="B16" s="5" t="inlineStr">
        <is>
          <t>S3</t>
        </is>
      </c>
      <c r="C16" s="5" t="n">
        <f>COUNTIFS('04_MATCHING'!$B$2:$B$1026,$A16,'04_MATCHING'!$C$2:$C$1026,$B16)</f>
        <v>24.0</v>
      </c>
      <c r="D16" s="5" t="n">
        <f>COUNTIFS('04_MATCHING'!$B$2:$B$1026,$A16,'04_MATCHING'!$C$2:$C$1026,$B16,'04_MATCHING'!$H$2:$H$1026,"Primary TP")</f>
        <v>7.0</v>
      </c>
      <c r="E16" s="5" t="n">
        <f>COUNTIFS('04_MATCHING'!$B$2:$B$1026,$A16,'04_MATCHING'!$C$2:$C$1026,$B16,'04_MATCHING'!$H$2:$H$1026,"Duplicate")</f>
        <v>5.0</v>
      </c>
      <c r="F16" s="5" t="n">
        <f>COUNTIFS('04_MATCHING'!$B$2:$B$1026,$A16,'04_MATCHING'!$C$2:$C$1026,$B16,'04_MATCHING'!$H$2:$H$1026,"False Positive")</f>
        <v>12.0</v>
      </c>
      <c r="G16" s="5" t="n">
        <f>COUNTIFS('02_REFERENCE'!$B$2:$B$99,$B16,'02_REFERENCE'!$S$2:$S$99,"YES")</f>
        <v>33.0</v>
      </c>
      <c r="H16" s="5" t="n">
        <f>G16-D16</f>
        <v>26</v>
      </c>
      <c r="I16" s="25" t="n">
        <f>IFERROR(D16/(D16+F16),"")</f>
        <v>0.3684210526315789</v>
      </c>
      <c r="J16" s="25" t="n">
        <f>IFERROR(D16/G16,"")</f>
        <v>0.21212121212121213</v>
      </c>
      <c r="K16" s="26" t="n">
        <f>IFERROR(2*I16*J16/(I16+J16),"")</f>
        <v>0.2692307692307693</v>
      </c>
      <c r="L16" s="25" t="n">
        <f>IFERROR((D16+E16)/C16,"")</f>
        <v>0.5</v>
      </c>
      <c r="M16" s="25" t="n">
        <f>IFERROR((($D16/($D16+$F16))+1.96^2/(2*($D16+$F16))-1.96*SQRT(($D16/($D16+$F16))*(1-$D16/($D16+$F16))/($D16+$F16)+1.96^2/(4*($D16+$F16)^2)))/(1+1.96^2/($D16+$F16)),"")</f>
        <v>0.1914927237627384</v>
      </c>
      <c r="N16" s="25" t="n">
        <f>IFERROR((($D16/($D16+$F16))+1.96^2/(2*($D16+$F16))+1.96*SQRT(($D16/($D16+$F16))*(1-$D16/($D16+$F16))/($D16+$F16)+1.96^2/(4*($D16+$F16)^2)))/(1+1.96^2/($D16+$F16)),"")</f>
        <v>0.5896084250184327</v>
      </c>
      <c r="O16" s="25" t="n">
        <f>IFERROR((($D16/$G16)+1.96^2/(2*$G16)-1.96*SQRT(($D16/$G16)*(1-$D16/$G16)/$G16+1.96^2/(4*$G16^2)))/(1+1.96^2/$G16),"")</f>
        <v>0.10675886566436177</v>
      </c>
      <c r="P16" s="25" t="n">
        <f>IFERROR((($D16/$G16)+1.96^2/(2*$G16)+1.96*SQRT(($D16/$G16)*(1-$D16/$G16)/$G16+1.96^2/(4*$G16^2)))/(1+1.96^2/$G16),"")</f>
        <v>0.37751977587129365</v>
      </c>
    </row>
    <row r="17">
      <c r="A17" s="5" t="inlineStr">
        <is>
          <t>THREMOLIA</t>
        </is>
      </c>
      <c r="B17" s="5" t="inlineStr">
        <is>
          <t>S1</t>
        </is>
      </c>
      <c r="C17" s="5" t="n">
        <f>COUNTIFS('04_MATCHING'!$B$2:$B$1026,$A17,'04_MATCHING'!$C$2:$C$1026,$B17)</f>
        <v>106.0</v>
      </c>
      <c r="D17" s="5" t="n">
        <f>COUNTIFS('04_MATCHING'!$B$2:$B$1026,$A17,'04_MATCHING'!$C$2:$C$1026,$B17,'04_MATCHING'!$H$2:$H$1026,"Primary TP")</f>
        <v>26.0</v>
      </c>
      <c r="E17" s="5" t="n">
        <f>COUNTIFS('04_MATCHING'!$B$2:$B$1026,$A17,'04_MATCHING'!$C$2:$C$1026,$B17,'04_MATCHING'!$H$2:$H$1026,"Duplicate")</f>
        <v>51.0</v>
      </c>
      <c r="F17" s="5" t="n">
        <f>COUNTIFS('04_MATCHING'!$B$2:$B$1026,$A17,'04_MATCHING'!$C$2:$C$1026,$B17,'04_MATCHING'!$H$2:$H$1026,"False Positive")</f>
        <v>29.0</v>
      </c>
      <c r="G17" s="5" t="n">
        <f>COUNTIFS('02_REFERENCE'!$B$2:$B$99,$B17,'02_REFERENCE'!$S$2:$S$99,"YES")</f>
        <v>32.0</v>
      </c>
      <c r="H17" s="5" t="n">
        <f>G17-D17</f>
        <v>6</v>
      </c>
      <c r="I17" s="25" t="n">
        <f>IFERROR(D17/(D17+F17),"")</f>
        <v>0.4727272727272727</v>
      </c>
      <c r="J17" s="25" t="n">
        <f>IFERROR(D17/G17,"")</f>
        <v>0.8125</v>
      </c>
      <c r="K17" s="26" t="n">
        <f>IFERROR(2*I17*J17/(I17+J17),"")</f>
        <v>0.5977011494252874</v>
      </c>
      <c r="L17" s="25" t="n">
        <f>IFERROR((D17+E17)/C17,"")</f>
        <v>0.7264150943396226</v>
      </c>
      <c r="M17" s="25" t="n">
        <f>IFERROR((($D17/($D17+$F17))+1.96^2/(2*($D17+$F17))-1.96*SQRT(($D17/($D17+$F17))*(1-$D17/($D17+$F17))/($D17+$F17)+1.96^2/(4*($D17+$F17)^2)))/(1+1.96^2/($D17+$F17)),"")</f>
        <v>0.34692885310480803</v>
      </c>
      <c r="N17" s="25" t="n">
        <f>IFERROR((($D17/($D17+$F17))+1.96^2/(2*($D17+$F17))+1.96*SQRT(($D17/($D17+$F17))*(1-$D17/($D17+$F17))/($D17+$F17)+1.96^2/(4*($D17+$F17)^2)))/(1+1.96^2/($D17+$F17)),"")</f>
        <v>0.6020868092837061</v>
      </c>
      <c r="O17" s="25" t="n">
        <f>IFERROR((($D17/$G17)+1.96^2/(2*$G17)-1.96*SQRT(($D17/$G17)*(1-$D17/$G17)/$G17+1.96^2/(4*$G17^2)))/(1+1.96^2/$G17),"")</f>
        <v>0.6469050424507756</v>
      </c>
      <c r="P17" s="25" t="n">
        <f>IFERROR((($D17/$G17)+1.96^2/(2*$G17)+1.96*SQRT(($D17/$G17)*(1-$D17/$G17)/$G17+1.96^2/(4*$G17^2)))/(1+1.96^2/$G17),"")</f>
        <v>0.9111057606383722</v>
      </c>
    </row>
    <row r="18">
      <c r="A18" s="5" t="inlineStr">
        <is>
          <t>THREMOLIA</t>
        </is>
      </c>
      <c r="B18" s="5" t="inlineStr">
        <is>
          <t>S2</t>
        </is>
      </c>
      <c r="C18" s="5" t="n">
        <f>COUNTIFS('04_MATCHING'!$B$2:$B$1026,$A18,'04_MATCHING'!$C$2:$C$1026,$B18)</f>
        <v>105.0</v>
      </c>
      <c r="D18" s="5" t="n">
        <f>COUNTIFS('04_MATCHING'!$B$2:$B$1026,$A18,'04_MATCHING'!$C$2:$C$1026,$B18,'04_MATCHING'!$H$2:$H$1026,"Primary TP")</f>
        <v>23.0</v>
      </c>
      <c r="E18" s="5" t="n">
        <f>COUNTIFS('04_MATCHING'!$B$2:$B$1026,$A18,'04_MATCHING'!$C$2:$C$1026,$B18,'04_MATCHING'!$H$2:$H$1026,"Duplicate")</f>
        <v>59.0</v>
      </c>
      <c r="F18" s="5" t="n">
        <f>COUNTIFS('04_MATCHING'!$B$2:$B$1026,$A18,'04_MATCHING'!$C$2:$C$1026,$B18,'04_MATCHING'!$H$2:$H$1026,"False Positive")</f>
        <v>23.0</v>
      </c>
      <c r="G18" s="5" t="n">
        <f>COUNTIFS('02_REFERENCE'!$B$2:$B$99,$B18,'02_REFERENCE'!$S$2:$S$99,"YES")</f>
        <v>33.0</v>
      </c>
      <c r="H18" s="5" t="n">
        <f>G18-D18</f>
        <v>10</v>
      </c>
      <c r="I18" s="25" t="n">
        <f>IFERROR(D18/(D18+F18),"")</f>
        <v>0.5</v>
      </c>
      <c r="J18" s="25" t="n">
        <f>IFERROR(D18/G18,"")</f>
        <v>0.696969696969697</v>
      </c>
      <c r="K18" s="26" t="n">
        <f>IFERROR(2*I18*J18/(I18+J18),"")</f>
        <v>0.5822784810126582</v>
      </c>
      <c r="L18" s="25" t="n">
        <f>IFERROR((D18+E18)/C18,"")</f>
        <v>0.780952380952381</v>
      </c>
      <c r="M18" s="25" t="n">
        <f>IFERROR((($D18/($D18+$F18))+1.96^2/(2*($D18+$F18))-1.96*SQRT(($D18/($D18+$F18))*(1-$D18/($D18+$F18))/($D18+$F18)+1.96^2/(4*($D18+$F18)^2)))/(1+1.96^2/($D18+$F18)),"")</f>
        <v>0.3611870167007237</v>
      </c>
      <c r="N18" s="25" t="n">
        <f>IFERROR((($D18/($D18+$F18))+1.96^2/(2*($D18+$F18))+1.96*SQRT(($D18/($D18+$F18))*(1-$D18/($D18+$F18))/($D18+$F18)+1.96^2/(4*($D18+$F18)^2)))/(1+1.96^2/($D18+$F18)),"")</f>
        <v>0.6388129832992764</v>
      </c>
      <c r="O18" s="25" t="n">
        <f>IFERROR((($D18/$G18)+1.96^2/(2*$G18)-1.96*SQRT(($D18/$G18)*(1-$D18/$G18)/$G18+1.96^2/(4*$G18^2)))/(1+1.96^2/$G18),"")</f>
        <v>0.5266154602526555</v>
      </c>
      <c r="P18" s="25" t="n">
        <f>IFERROR((($D18/$G18)+1.96^2/(2*$G18)+1.96*SQRT(($D18/$G18)*(1-$D18/$G18)/$G18+1.96^2/(4*$G18^2)))/(1+1.96^2/$G18),"")</f>
        <v>0.8262465218545277</v>
      </c>
    </row>
    <row r="19">
      <c r="A19" s="5" t="inlineStr">
        <is>
          <t>THREMOLIA</t>
        </is>
      </c>
      <c r="B19" s="5" t="inlineStr">
        <is>
          <t>S3</t>
        </is>
      </c>
      <c r="C19" s="5" t="n">
        <f>COUNTIFS('04_MATCHING'!$B$2:$B$1026,$A19,'04_MATCHING'!$C$2:$C$1026,$B19)</f>
        <v>117.0</v>
      </c>
      <c r="D19" s="5" t="n">
        <f>COUNTIFS('04_MATCHING'!$B$2:$B$1026,$A19,'04_MATCHING'!$C$2:$C$1026,$B19,'04_MATCHING'!$H$2:$H$1026,"Primary TP")</f>
        <v>20.0</v>
      </c>
      <c r="E19" s="5" t="n">
        <f>COUNTIFS('04_MATCHING'!$B$2:$B$1026,$A19,'04_MATCHING'!$C$2:$C$1026,$B19,'04_MATCHING'!$H$2:$H$1026,"Duplicate")</f>
        <v>54.0</v>
      </c>
      <c r="F19" s="5" t="n">
        <f>COUNTIFS('04_MATCHING'!$B$2:$B$1026,$A19,'04_MATCHING'!$C$2:$C$1026,$B19,'04_MATCHING'!$H$2:$H$1026,"False Positive")</f>
        <v>43.0</v>
      </c>
      <c r="G19" s="5" t="n">
        <f>COUNTIFS('02_REFERENCE'!$B$2:$B$99,$B19,'02_REFERENCE'!$S$2:$S$99,"YES")</f>
        <v>33.0</v>
      </c>
      <c r="H19" s="5" t="n">
        <f>G19-D19</f>
        <v>13</v>
      </c>
      <c r="I19" s="25" t="n">
        <f>IFERROR(D19/(D19+F19),"")</f>
        <v>0.31746031746031744</v>
      </c>
      <c r="J19" s="25" t="n">
        <f>IFERROR(D19/G19,"")</f>
        <v>0.6060606060606061</v>
      </c>
      <c r="K19" s="26" t="n">
        <f>IFERROR(2*I19*J19/(I19+J19),"")</f>
        <v>0.4166666666666667</v>
      </c>
      <c r="L19" s="25" t="n">
        <f>IFERROR((D19+E19)/C19,"")</f>
        <v>0.6324786324786325</v>
      </c>
      <c r="M19" s="25" t="n">
        <f>IFERROR((($D19/($D19+$F19))+1.96^2/(2*($D19+$F19))-1.96*SQRT(($D19/($D19+$F19))*(1-$D19/($D19+$F19))/($D19+$F19)+1.96^2/(4*($D19+$F19)^2)))/(1+1.96^2/($D19+$F19)),"")</f>
        <v>0.21586527168091207</v>
      </c>
      <c r="N19" s="25" t="n">
        <f>IFERROR((($D19/($D19+$F19))+1.96^2/(2*($D19+$F19))+1.96*SQRT(($D19/($D19+$F19))*(1-$D19/($D19+$F19))/($D19+$F19)+1.96^2/(4*($D19+$F19)^2)))/(1+1.96^2/($D19+$F19)),"")</f>
        <v>0.440037639081248</v>
      </c>
      <c r="O19" s="25" t="n">
        <f>IFERROR((($D19/$G19)+1.96^2/(2*$G19)-1.96*SQRT(($D19/$G19)*(1-$D19/$G19)/$G19+1.96^2/(4*$G19^2)))/(1+1.96^2/$G19),"")</f>
        <v>0.4368314280651038</v>
      </c>
      <c r="P19" s="25" t="n">
        <f>IFERROR((($D19/$G19)+1.96^2/(2*$G19)+1.96*SQRT(($D19/$G19)*(1-$D19/$G19)/$G19+1.96^2/(4*$G19^2)))/(1+1.96^2/$G19),"")</f>
        <v>0.7531711776849179</v>
      </c>
    </row>
    <row r="20">
      <c r="A20" s="6" t="inlineStr">
        <is>
          <t>OVERALL</t>
        </is>
      </c>
      <c r="B20" s="6" t="inlineStr">
        <is>
          <t>All</t>
        </is>
      </c>
      <c r="C20" s="6" t="n">
        <f>SUM(C5:C19)</f>
        <v>1025</v>
      </c>
      <c r="D20" s="6" t="n">
        <f>SUM(D5:D19)</f>
        <v>188</v>
      </c>
      <c r="E20" s="6" t="n">
        <f>SUM(E5:E19)</f>
        <v>339</v>
      </c>
      <c r="F20" s="6" t="n">
        <f>SUM(F5:F19)</f>
        <v>498</v>
      </c>
      <c r="G20" s="6" t="n">
        <f>SUM(G5:G19)</f>
        <v>490</v>
      </c>
      <c r="H20" s="6" t="n">
        <f>SUM(H5:H19)</f>
        <v>302</v>
      </c>
      <c r="I20" s="27" t="n">
        <f>IFERROR(D20/(D20+F20),"")</f>
        <v>0.27405247813411077</v>
      </c>
      <c r="J20" s="27" t="n">
        <f>IFERROR(D20/G20,"")</f>
        <v>0.3836734693877551</v>
      </c>
      <c r="K20" s="28" t="n">
        <f>IFERROR(2*I20*J20/(I20+J20),"")</f>
        <v>0.31972789115646255</v>
      </c>
      <c r="L20" s="27" t="n">
        <f>IFERROR((D20+E20)/C20,"")</f>
        <v>0.5141463414634146</v>
      </c>
    </row>
    <row r="22">
      <c r="A22" s="29" t="inlineStr">
        <is>
          <t>STRICT MATCHING (additional analysis #4)</t>
        </is>
      </c>
    </row>
    <row r="23">
      <c r="A23" s="4" t="inlineStr">
        <is>
          <t>Approach</t>
        </is>
      </c>
      <c r="B23" s="4" t="inlineStr">
        <is>
          <t>Primary TP</t>
        </is>
      </c>
      <c r="C23" s="4" t="inlineStr">
        <is>
          <t>High-confidence Primary TP (H)</t>
        </is>
      </c>
      <c r="D23" s="4" t="inlineStr">
        <is>
          <t>Strict Matching Rate</t>
        </is>
      </c>
    </row>
    <row r="24">
      <c r="A24" s="5" t="inlineStr">
        <is>
          <t>OWASP</t>
        </is>
      </c>
      <c r="B24" s="5" t="n">
        <f>SUMIF('05_TP_FP_FN'!$A$5:$A$19,"OWASP",'05_TP_FP_FN'!$E$5:$E$19)</f>
        <v>19</v>
      </c>
      <c r="C24" s="5" t="n">
        <f>COUNTIFS('04_MATCHING'!$B$2:$B$1026,"OWASP",'04_MATCHING'!$H$2:$H$1026,"Primary TP",'04_MATCHING'!$J$2:$J$1026,"H")</f>
        <v>1.0</v>
      </c>
      <c r="D24" s="25" t="n">
        <f>IFERROR(C24/B24,"")</f>
        <v>0.05263157894736842</v>
      </c>
    </row>
    <row r="25">
      <c r="A25" s="5" t="inlineStr">
        <is>
          <t>TMT</t>
        </is>
      </c>
      <c r="B25" s="5" t="n">
        <f>SUMIF('05_TP_FP_FN'!$A$5:$A$19,"TMT",'05_TP_FP_FN'!$E$5:$E$19)</f>
        <v>28</v>
      </c>
      <c r="C25" s="5" t="n">
        <f>COUNTIFS('04_MATCHING'!$B$2:$B$1026,"TMT",'04_MATCHING'!$H$2:$H$1026,"Primary TP",'04_MATCHING'!$J$2:$J$1026,"H")</f>
        <v>0.0</v>
      </c>
      <c r="D25" s="25" t="n">
        <f>IFERROR(C25/B25,"")</f>
        <v>0</v>
      </c>
    </row>
    <row r="26">
      <c r="A26" s="5" t="inlineStr">
        <is>
          <t>CHATGPT</t>
        </is>
      </c>
      <c r="B26" s="5" t="n">
        <f>SUMIF('05_TP_FP_FN'!$A$5:$A$19,"CHATGPT",'05_TP_FP_FN'!$E$5:$E$19)</f>
        <v>52</v>
      </c>
      <c r="C26" s="5" t="n">
        <f>COUNTIFS('04_MATCHING'!$B$2:$B$1026,"CHATGPT",'04_MATCHING'!$H$2:$H$1026,"Primary TP",'04_MATCHING'!$J$2:$J$1026,"H")</f>
        <v>25.0</v>
      </c>
      <c r="D26" s="25" t="n">
        <f>IFERROR(C26/B26,"")</f>
        <v>0.4807692307692308</v>
      </c>
    </row>
    <row r="27">
      <c r="A27" s="5" t="inlineStr">
        <is>
          <t>OLLAMA</t>
        </is>
      </c>
      <c r="B27" s="5" t="n">
        <f>SUMIF('05_TP_FP_FN'!$A$5:$A$19,"OLLAMA",'05_TP_FP_FN'!$E$5:$E$19)</f>
        <v>20</v>
      </c>
      <c r="C27" s="5" t="n">
        <f>COUNTIFS('04_MATCHING'!$B$2:$B$1026,"OLLAMA",'04_MATCHING'!$H$2:$H$1026,"Primary TP",'04_MATCHING'!$J$2:$J$1026,"H")</f>
        <v>6.0</v>
      </c>
      <c r="D27" s="25" t="n">
        <f>IFERROR(C27/B27,"")</f>
        <v>0.3</v>
      </c>
    </row>
    <row r="28">
      <c r="A28" s="5" t="inlineStr">
        <is>
          <t>THREMOLIA</t>
        </is>
      </c>
      <c r="B28" s="5" t="n">
        <f>SUMIF('05_TP_FP_FN'!$A$5:$A$19,"THREMOLIA",'05_TP_FP_FN'!$E$5:$E$19)</f>
        <v>69</v>
      </c>
      <c r="C28" s="5" t="n">
        <f>COUNTIFS('04_MATCHING'!$B$2:$B$1026,"THREMOLIA",'04_MATCHING'!$H$2:$H$1026,"Primary TP",'04_MATCHING'!$J$2:$J$1026,"H")</f>
        <v>38.0</v>
      </c>
      <c r="D28" s="25" t="n">
        <f>IFERROR(C28/B28,"")</f>
        <v>0.5507246376811594</v>
      </c>
    </row>
    <row r="29">
      <c r="A29" s="6" t="inlineStr">
        <is>
          <t>TOTAL</t>
        </is>
      </c>
      <c r="B29" s="6" t="n">
        <f>SUM(B24:B28)</f>
        <v>188</v>
      </c>
      <c r="C29" s="6" t="n">
        <f>SUM(C24:C28)</f>
        <v>70</v>
      </c>
      <c r="D29" s="27" t="n">
        <f>IFERROR(C29/B29,"")</f>
        <v>0.3723404255319149</v>
      </c>
    </row>
    <row r="30" ht="32" customHeight="1">
      <c r="A30" s="7" t="inlineStr">
        <is>
          <t>Note: "Strict matching" is defined as a Primary TP assigned High matching confidence. The Matching Confidence column (J) carries the analyst confidence (H/M/L). Low- and medium-confidence matches are retained but are candidates for manual review.</t>
        </is>
      </c>
      <c r="B30" s="8" t="n"/>
      <c r="C30" s="8" t="n"/>
      <c r="D30" s="8" t="n"/>
      <c r="E30" s="9" t="n"/>
    </row>
  </sheetData>
  <mergeCells count="1">
    <mergeCell ref="A30:E3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94"/>
  <sheetViews>
    <sheetView workbookViewId="0">
      <selection activeCell="A1" sqref="A1"/>
    </sheetView>
  </sheetViews>
  <sheetFormatPr baseColWidth="8" defaultRowHeight="15" outlineLevelCol="0"/>
  <cols>
    <col width="14" customWidth="1" min="1" max="1"/>
    <col width="10" customWidth="1" min="2" max="2"/>
    <col width="22" customWidth="1" min="3" max="3"/>
    <col width="11" customWidth="1" min="4" max="4"/>
    <col width="9" customWidth="1" min="5" max="5"/>
    <col width="9" customWidth="1" min="6" max="6"/>
    <col width="11" customWidth="1" min="7" max="7"/>
    <col width="11" customWidth="1" min="8" max="8"/>
    <col width="9" customWidth="1" min="9" max="9"/>
    <col width="11" customWidth="1" min="10" max="10"/>
    <col width="9" customWidth="1" min="11" max="11"/>
  </cols>
  <sheetData>
    <row r="1">
      <c r="A1" s="1" t="inlineStr">
        <is>
          <t>STRIDE Performance</t>
        </is>
      </c>
    </row>
    <row r="2">
      <c r="A2" s="2" t="inlineStr">
        <is>
          <t>RECALL is computed at the reference level (STRIDE category comes from the expert baseline). Because no per-finding STRIDE classification was provided for False-Positive findings, the Generated/FP/Precision/F1 columns are reported as N/A (data not available) rather than estimated.</t>
        </is>
      </c>
    </row>
    <row r="4">
      <c r="A4" s="4" t="inlineStr">
        <is>
          <t>Approach</t>
        </is>
      </c>
      <c r="B4" s="4" t="inlineStr">
        <is>
          <t>Scenario</t>
        </is>
      </c>
      <c r="C4" s="4" t="inlineStr">
        <is>
          <t>STRIDE Category</t>
        </is>
      </c>
      <c r="D4" s="4" t="inlineStr">
        <is>
          <t>Reference</t>
        </is>
      </c>
      <c r="E4" s="4" t="inlineStr">
        <is>
          <t>TP</t>
        </is>
      </c>
      <c r="F4" s="4" t="inlineStr">
        <is>
          <t>FN</t>
        </is>
      </c>
      <c r="G4" s="4" t="inlineStr">
        <is>
          <t>Recall</t>
        </is>
      </c>
      <c r="H4" s="4" t="inlineStr">
        <is>
          <t>Generated</t>
        </is>
      </c>
      <c r="I4" s="4" t="inlineStr">
        <is>
          <t>FP</t>
        </is>
      </c>
      <c r="J4" s="4" t="inlineStr">
        <is>
          <t>Precision</t>
        </is>
      </c>
      <c r="K4" s="4" t="inlineStr">
        <is>
          <t>F1</t>
        </is>
      </c>
    </row>
    <row r="5">
      <c r="A5" s="5" t="inlineStr">
        <is>
          <t>OWASP</t>
        </is>
      </c>
      <c r="B5" s="5" t="inlineStr">
        <is>
          <t>S1</t>
        </is>
      </c>
      <c r="C5" s="5" t="inlineStr">
        <is>
          <t>Spoofing</t>
        </is>
      </c>
      <c r="D5" s="5" t="n">
        <f>COUNTIFS('02_REFERENCE'!$B$2:$B$99,$B5,'02_REFERENCE'!$D$2:$D$99,$C5,'02_REFERENCE'!$S$2:$S$99,"YES")</f>
        <v>8.0</v>
      </c>
      <c r="E5" s="5" t="n">
        <f>COUNTIFS('04_MATCHING'!$B$2:$B$1026,$A5,'04_MATCHING'!$C$2:$C$1026,$B5,'04_MATCHING'!$H$2:$H$1026,"Primary TP",'04_MATCHING'!$D$2:$D$1026,$C5)</f>
        <v>2.0</v>
      </c>
      <c r="F5" s="5" t="n">
        <f>D5-E5</f>
        <v>6</v>
      </c>
      <c r="G5" s="25" t="n">
        <f>IFERROR(E5/D5,"")</f>
        <v>0.25</v>
      </c>
      <c r="H5" s="5" t="inlineStr">
        <is>
          <t>N/A</t>
        </is>
      </c>
      <c r="I5" s="5" t="inlineStr">
        <is>
          <t>N/A</t>
        </is>
      </c>
      <c r="J5" s="5" t="inlineStr">
        <is>
          <t>N/A</t>
        </is>
      </c>
      <c r="K5" s="5" t="inlineStr">
        <is>
          <t>N/A</t>
        </is>
      </c>
    </row>
    <row r="6">
      <c r="A6" s="5" t="inlineStr">
        <is>
          <t>OWASP</t>
        </is>
      </c>
      <c r="B6" s="5" t="inlineStr">
        <is>
          <t>S1</t>
        </is>
      </c>
      <c r="C6" s="5" t="inlineStr">
        <is>
          <t>Tampering</t>
        </is>
      </c>
      <c r="D6" s="5" t="n">
        <f>COUNTIFS('02_REFERENCE'!$B$2:$B$99,$B6,'02_REFERENCE'!$D$2:$D$99,$C6,'02_REFERENCE'!$S$2:$S$99,"YES")</f>
        <v>7.0</v>
      </c>
      <c r="E6" s="5" t="n">
        <f>COUNTIFS('04_MATCHING'!$B$2:$B$1026,$A6,'04_MATCHING'!$C$2:$C$1026,$B6,'04_MATCHING'!$H$2:$H$1026,"Primary TP",'04_MATCHING'!$D$2:$D$1026,$C6)</f>
        <v>1.0</v>
      </c>
      <c r="F6" s="5" t="n">
        <f>D6-E6</f>
        <v>6</v>
      </c>
      <c r="G6" s="25" t="n">
        <f>IFERROR(E6/D6,"")</f>
        <v>0.14285714285714285</v>
      </c>
      <c r="H6" s="5" t="inlineStr">
        <is>
          <t>N/A</t>
        </is>
      </c>
      <c r="I6" s="5" t="inlineStr">
        <is>
          <t>N/A</t>
        </is>
      </c>
      <c r="J6" s="5" t="inlineStr">
        <is>
          <t>N/A</t>
        </is>
      </c>
      <c r="K6" s="5" t="inlineStr">
        <is>
          <t>N/A</t>
        </is>
      </c>
    </row>
    <row r="7">
      <c r="A7" s="5" t="inlineStr">
        <is>
          <t>OWASP</t>
        </is>
      </c>
      <c r="B7" s="5" t="inlineStr">
        <is>
          <t>S1</t>
        </is>
      </c>
      <c r="C7" s="5" t="inlineStr">
        <is>
          <t>Repudiation</t>
        </is>
      </c>
      <c r="D7" s="5" t="n">
        <f>COUNTIFS('02_REFERENCE'!$B$2:$B$99,$B7,'02_REFERENCE'!$D$2:$D$99,$C7,'02_REFERENCE'!$S$2:$S$99,"YES")</f>
        <v>1.0</v>
      </c>
      <c r="E7" s="5" t="n">
        <f>COUNTIFS('04_MATCHING'!$B$2:$B$1026,$A7,'04_MATCHING'!$C$2:$C$1026,$B7,'04_MATCHING'!$H$2:$H$1026,"Primary TP",'04_MATCHING'!$D$2:$D$1026,$C7)</f>
        <v>0.0</v>
      </c>
      <c r="F7" s="5" t="n">
        <f>D7-E7</f>
        <v>1</v>
      </c>
      <c r="G7" s="25" t="n">
        <f>IFERROR(E7/D7,"")</f>
        <v>0</v>
      </c>
      <c r="H7" s="5" t="inlineStr">
        <is>
          <t>N/A</t>
        </is>
      </c>
      <c r="I7" s="5" t="inlineStr">
        <is>
          <t>N/A</t>
        </is>
      </c>
      <c r="J7" s="5" t="inlineStr">
        <is>
          <t>N/A</t>
        </is>
      </c>
      <c r="K7" s="5" t="inlineStr">
        <is>
          <t>N/A</t>
        </is>
      </c>
    </row>
    <row r="8">
      <c r="A8" s="5" t="inlineStr">
        <is>
          <t>OWASP</t>
        </is>
      </c>
      <c r="B8" s="5" t="inlineStr">
        <is>
          <t>S1</t>
        </is>
      </c>
      <c r="C8" s="5" t="inlineStr">
        <is>
          <t>Information Disclosure</t>
        </is>
      </c>
      <c r="D8" s="5" t="n">
        <f>COUNTIFS('02_REFERENCE'!$B$2:$B$99,$B8,'02_REFERENCE'!$D$2:$D$99,$C8,'02_REFERENCE'!$S$2:$S$99,"YES")</f>
        <v>10.0</v>
      </c>
      <c r="E8" s="5" t="n">
        <f>COUNTIFS('04_MATCHING'!$B$2:$B$1026,$A8,'04_MATCHING'!$C$2:$C$1026,$B8,'04_MATCHING'!$H$2:$H$1026,"Primary TP",'04_MATCHING'!$D$2:$D$1026,$C8)</f>
        <v>1.0</v>
      </c>
      <c r="F8" s="5" t="n">
        <f>D8-E8</f>
        <v>9</v>
      </c>
      <c r="G8" s="25" t="n">
        <f>IFERROR(E8/D8,"")</f>
        <v>0.1</v>
      </c>
      <c r="H8" s="5" t="inlineStr">
        <is>
          <t>N/A</t>
        </is>
      </c>
      <c r="I8" s="5" t="inlineStr">
        <is>
          <t>N/A</t>
        </is>
      </c>
      <c r="J8" s="5" t="inlineStr">
        <is>
          <t>N/A</t>
        </is>
      </c>
      <c r="K8" s="5" t="inlineStr">
        <is>
          <t>N/A</t>
        </is>
      </c>
    </row>
    <row r="9">
      <c r="A9" s="5" t="inlineStr">
        <is>
          <t>OWASP</t>
        </is>
      </c>
      <c r="B9" s="5" t="inlineStr">
        <is>
          <t>S1</t>
        </is>
      </c>
      <c r="C9" s="5" t="inlineStr">
        <is>
          <t>Denial of Service</t>
        </is>
      </c>
      <c r="D9" s="5" t="n">
        <f>COUNTIFS('02_REFERENCE'!$B$2:$B$99,$B9,'02_REFERENCE'!$D$2:$D$99,$C9,'02_REFERENCE'!$S$2:$S$99,"YES")</f>
        <v>3.0</v>
      </c>
      <c r="E9" s="5" t="n">
        <f>COUNTIFS('04_MATCHING'!$B$2:$B$1026,$A9,'04_MATCHING'!$C$2:$C$1026,$B9,'04_MATCHING'!$H$2:$H$1026,"Primary TP",'04_MATCHING'!$D$2:$D$1026,$C9)</f>
        <v>2.0</v>
      </c>
      <c r="F9" s="5" t="n">
        <f>D9-E9</f>
        <v>1</v>
      </c>
      <c r="G9" s="25" t="n">
        <f>IFERROR(E9/D9,"")</f>
        <v>0.6666666666666666</v>
      </c>
      <c r="H9" s="5" t="inlineStr">
        <is>
          <t>N/A</t>
        </is>
      </c>
      <c r="I9" s="5" t="inlineStr">
        <is>
          <t>N/A</t>
        </is>
      </c>
      <c r="J9" s="5" t="inlineStr">
        <is>
          <t>N/A</t>
        </is>
      </c>
      <c r="K9" s="5" t="inlineStr">
        <is>
          <t>N/A</t>
        </is>
      </c>
    </row>
    <row r="10">
      <c r="A10" s="5" t="inlineStr">
        <is>
          <t>OWASP</t>
        </is>
      </c>
      <c r="B10" s="5" t="inlineStr">
        <is>
          <t>S1</t>
        </is>
      </c>
      <c r="C10" s="5" t="inlineStr">
        <is>
          <t>Elevation of Privilege</t>
        </is>
      </c>
      <c r="D10" s="5" t="n">
        <f>COUNTIFS('02_REFERENCE'!$B$2:$B$99,$B10,'02_REFERENCE'!$D$2:$D$99,$C10,'02_REFERENCE'!$S$2:$S$99,"YES")</f>
        <v>3.0</v>
      </c>
      <c r="E10" s="5" t="n">
        <f>COUNTIFS('04_MATCHING'!$B$2:$B$1026,$A10,'04_MATCHING'!$C$2:$C$1026,$B10,'04_MATCHING'!$H$2:$H$1026,"Primary TP",'04_MATCHING'!$D$2:$D$1026,$C10)</f>
        <v>0.0</v>
      </c>
      <c r="F10" s="5" t="n">
        <f>D10-E10</f>
        <v>3</v>
      </c>
      <c r="G10" s="25" t="n">
        <f>IFERROR(E10/D10,"")</f>
        <v>0</v>
      </c>
      <c r="H10" s="5" t="inlineStr">
        <is>
          <t>N/A</t>
        </is>
      </c>
      <c r="I10" s="5" t="inlineStr">
        <is>
          <t>N/A</t>
        </is>
      </c>
      <c r="J10" s="5" t="inlineStr">
        <is>
          <t>N/A</t>
        </is>
      </c>
      <c r="K10" s="5" t="inlineStr">
        <is>
          <t>N/A</t>
        </is>
      </c>
    </row>
    <row r="11">
      <c r="A11" s="5" t="inlineStr">
        <is>
          <t>OWASP</t>
        </is>
      </c>
      <c r="B11" s="5" t="inlineStr">
        <is>
          <t>S2</t>
        </is>
      </c>
      <c r="C11" s="5" t="inlineStr">
        <is>
          <t>Spoofing</t>
        </is>
      </c>
      <c r="D11" s="5" t="n">
        <f>COUNTIFS('02_REFERENCE'!$B$2:$B$99,$B11,'02_REFERENCE'!$D$2:$D$99,$C11,'02_REFERENCE'!$S$2:$S$99,"YES")</f>
        <v>3.0</v>
      </c>
      <c r="E11" s="5" t="n">
        <f>COUNTIFS('04_MATCHING'!$B$2:$B$1026,$A11,'04_MATCHING'!$C$2:$C$1026,$B11,'04_MATCHING'!$H$2:$H$1026,"Primary TP",'04_MATCHING'!$D$2:$D$1026,$C11)</f>
        <v>0.0</v>
      </c>
      <c r="F11" s="5" t="n">
        <f>D11-E11</f>
        <v>3</v>
      </c>
      <c r="G11" s="25" t="n">
        <f>IFERROR(E11/D11,"")</f>
        <v>0</v>
      </c>
      <c r="H11" s="5" t="inlineStr">
        <is>
          <t>N/A</t>
        </is>
      </c>
      <c r="I11" s="5" t="inlineStr">
        <is>
          <t>N/A</t>
        </is>
      </c>
      <c r="J11" s="5" t="inlineStr">
        <is>
          <t>N/A</t>
        </is>
      </c>
      <c r="K11" s="5" t="inlineStr">
        <is>
          <t>N/A</t>
        </is>
      </c>
    </row>
    <row r="12">
      <c r="A12" s="5" t="inlineStr">
        <is>
          <t>OWASP</t>
        </is>
      </c>
      <c r="B12" s="5" t="inlineStr">
        <is>
          <t>S2</t>
        </is>
      </c>
      <c r="C12" s="5" t="inlineStr">
        <is>
          <t>Tampering</t>
        </is>
      </c>
      <c r="D12" s="5" t="n">
        <f>COUNTIFS('02_REFERENCE'!$B$2:$B$99,$B12,'02_REFERENCE'!$D$2:$D$99,$C12,'02_REFERENCE'!$S$2:$S$99,"YES")</f>
        <v>12.0</v>
      </c>
      <c r="E12" s="5" t="n">
        <f>COUNTIFS('04_MATCHING'!$B$2:$B$1026,$A12,'04_MATCHING'!$C$2:$C$1026,$B12,'04_MATCHING'!$H$2:$H$1026,"Primary TP",'04_MATCHING'!$D$2:$D$1026,$C12)</f>
        <v>2.0</v>
      </c>
      <c r="F12" s="5" t="n">
        <f>D12-E12</f>
        <v>10</v>
      </c>
      <c r="G12" s="25" t="n">
        <f>IFERROR(E12/D12,"")</f>
        <v>0.16666666666666666</v>
      </c>
      <c r="H12" s="5" t="inlineStr">
        <is>
          <t>N/A</t>
        </is>
      </c>
      <c r="I12" s="5" t="inlineStr">
        <is>
          <t>N/A</t>
        </is>
      </c>
      <c r="J12" s="5" t="inlineStr">
        <is>
          <t>N/A</t>
        </is>
      </c>
      <c r="K12" s="5" t="inlineStr">
        <is>
          <t>N/A</t>
        </is>
      </c>
    </row>
    <row r="13">
      <c r="A13" s="5" t="inlineStr">
        <is>
          <t>OWASP</t>
        </is>
      </c>
      <c r="B13" s="5" t="inlineStr">
        <is>
          <t>S2</t>
        </is>
      </c>
      <c r="C13" s="5" t="inlineStr">
        <is>
          <t>Repudiation</t>
        </is>
      </c>
      <c r="D13" s="5" t="n">
        <f>COUNTIFS('02_REFERENCE'!$B$2:$B$99,$B13,'02_REFERENCE'!$D$2:$D$99,$C13,'02_REFERENCE'!$S$2:$S$99,"YES")</f>
        <v>1.0</v>
      </c>
      <c r="E13" s="5" t="n">
        <f>COUNTIFS('04_MATCHING'!$B$2:$B$1026,$A13,'04_MATCHING'!$C$2:$C$1026,$B13,'04_MATCHING'!$H$2:$H$1026,"Primary TP",'04_MATCHING'!$D$2:$D$1026,$C13)</f>
        <v>0.0</v>
      </c>
      <c r="F13" s="5" t="n">
        <f>D13-E13</f>
        <v>1</v>
      </c>
      <c r="G13" s="25" t="n">
        <f>IFERROR(E13/D13,"")</f>
        <v>0</v>
      </c>
      <c r="H13" s="5" t="inlineStr">
        <is>
          <t>N/A</t>
        </is>
      </c>
      <c r="I13" s="5" t="inlineStr">
        <is>
          <t>N/A</t>
        </is>
      </c>
      <c r="J13" s="5" t="inlineStr">
        <is>
          <t>N/A</t>
        </is>
      </c>
      <c r="K13" s="5" t="inlineStr">
        <is>
          <t>N/A</t>
        </is>
      </c>
    </row>
    <row r="14">
      <c r="A14" s="5" t="inlineStr">
        <is>
          <t>OWASP</t>
        </is>
      </c>
      <c r="B14" s="5" t="inlineStr">
        <is>
          <t>S2</t>
        </is>
      </c>
      <c r="C14" s="5" t="inlineStr">
        <is>
          <t>Information Disclosure</t>
        </is>
      </c>
      <c r="D14" s="5" t="n">
        <f>COUNTIFS('02_REFERENCE'!$B$2:$B$99,$B14,'02_REFERENCE'!$D$2:$D$99,$C14,'02_REFERENCE'!$S$2:$S$99,"YES")</f>
        <v>8.0</v>
      </c>
      <c r="E14" s="5" t="n">
        <f>COUNTIFS('04_MATCHING'!$B$2:$B$1026,$A14,'04_MATCHING'!$C$2:$C$1026,$B14,'04_MATCHING'!$H$2:$H$1026,"Primary TP",'04_MATCHING'!$D$2:$D$1026,$C14)</f>
        <v>2.0</v>
      </c>
      <c r="F14" s="5" t="n">
        <f>D14-E14</f>
        <v>6</v>
      </c>
      <c r="G14" s="25" t="n">
        <f>IFERROR(E14/D14,"")</f>
        <v>0.25</v>
      </c>
      <c r="H14" s="5" t="inlineStr">
        <is>
          <t>N/A</t>
        </is>
      </c>
      <c r="I14" s="5" t="inlineStr">
        <is>
          <t>N/A</t>
        </is>
      </c>
      <c r="J14" s="5" t="inlineStr">
        <is>
          <t>N/A</t>
        </is>
      </c>
      <c r="K14" s="5" t="inlineStr">
        <is>
          <t>N/A</t>
        </is>
      </c>
    </row>
    <row r="15">
      <c r="A15" s="5" t="inlineStr">
        <is>
          <t>OWASP</t>
        </is>
      </c>
      <c r="B15" s="5" t="inlineStr">
        <is>
          <t>S2</t>
        </is>
      </c>
      <c r="C15" s="5" t="inlineStr">
        <is>
          <t>Denial of Service</t>
        </is>
      </c>
      <c r="D15" s="5" t="n">
        <f>COUNTIFS('02_REFERENCE'!$B$2:$B$99,$B15,'02_REFERENCE'!$D$2:$D$99,$C15,'02_REFERENCE'!$S$2:$S$99,"YES")</f>
        <v>3.0</v>
      </c>
      <c r="E15" s="5" t="n">
        <f>COUNTIFS('04_MATCHING'!$B$2:$B$1026,$A15,'04_MATCHING'!$C$2:$C$1026,$B15,'04_MATCHING'!$H$2:$H$1026,"Primary TP",'04_MATCHING'!$D$2:$D$1026,$C15)</f>
        <v>2.0</v>
      </c>
      <c r="F15" s="5" t="n">
        <f>D15-E15</f>
        <v>1</v>
      </c>
      <c r="G15" s="25" t="n">
        <f>IFERROR(E15/D15,"")</f>
        <v>0.6666666666666666</v>
      </c>
      <c r="H15" s="5" t="inlineStr">
        <is>
          <t>N/A</t>
        </is>
      </c>
      <c r="I15" s="5" t="inlineStr">
        <is>
          <t>N/A</t>
        </is>
      </c>
      <c r="J15" s="5" t="inlineStr">
        <is>
          <t>N/A</t>
        </is>
      </c>
      <c r="K15" s="5" t="inlineStr">
        <is>
          <t>N/A</t>
        </is>
      </c>
    </row>
    <row r="16">
      <c r="A16" s="5" t="inlineStr">
        <is>
          <t>OWASP</t>
        </is>
      </c>
      <c r="B16" s="5" t="inlineStr">
        <is>
          <t>S2</t>
        </is>
      </c>
      <c r="C16" s="5" t="inlineStr">
        <is>
          <t>Elevation of Privilege</t>
        </is>
      </c>
      <c r="D16" s="5" t="n">
        <f>COUNTIFS('02_REFERENCE'!$B$2:$B$99,$B16,'02_REFERENCE'!$D$2:$D$99,$C16,'02_REFERENCE'!$S$2:$S$99,"YES")</f>
        <v>6.0</v>
      </c>
      <c r="E16" s="5" t="n">
        <f>COUNTIFS('04_MATCHING'!$B$2:$B$1026,$A16,'04_MATCHING'!$C$2:$C$1026,$B16,'04_MATCHING'!$H$2:$H$1026,"Primary TP",'04_MATCHING'!$D$2:$D$1026,$C16)</f>
        <v>0.0</v>
      </c>
      <c r="F16" s="5" t="n">
        <f>D16-E16</f>
        <v>6</v>
      </c>
      <c r="G16" s="25" t="n">
        <f>IFERROR(E16/D16,"")</f>
        <v>0</v>
      </c>
      <c r="H16" s="5" t="inlineStr">
        <is>
          <t>N/A</t>
        </is>
      </c>
      <c r="I16" s="5" t="inlineStr">
        <is>
          <t>N/A</t>
        </is>
      </c>
      <c r="J16" s="5" t="inlineStr">
        <is>
          <t>N/A</t>
        </is>
      </c>
      <c r="K16" s="5" t="inlineStr">
        <is>
          <t>N/A</t>
        </is>
      </c>
    </row>
    <row r="17">
      <c r="A17" s="5" t="inlineStr">
        <is>
          <t>OWASP</t>
        </is>
      </c>
      <c r="B17" s="5" t="inlineStr">
        <is>
          <t>S3</t>
        </is>
      </c>
      <c r="C17" s="5" t="inlineStr">
        <is>
          <t>Spoofing</t>
        </is>
      </c>
      <c r="D17" s="5" t="n">
        <f>COUNTIFS('02_REFERENCE'!$B$2:$B$99,$B17,'02_REFERENCE'!$D$2:$D$99,$C17,'02_REFERENCE'!$S$2:$S$99,"YES")</f>
        <v>7.0</v>
      </c>
      <c r="E17" s="5" t="n">
        <f>COUNTIFS('04_MATCHING'!$B$2:$B$1026,$A17,'04_MATCHING'!$C$2:$C$1026,$B17,'04_MATCHING'!$H$2:$H$1026,"Primary TP",'04_MATCHING'!$D$2:$D$1026,$C17)</f>
        <v>1.0</v>
      </c>
      <c r="F17" s="5" t="n">
        <f>D17-E17</f>
        <v>6</v>
      </c>
      <c r="G17" s="25" t="n">
        <f>IFERROR(E17/D17,"")</f>
        <v>0.14285714285714285</v>
      </c>
      <c r="H17" s="5" t="inlineStr">
        <is>
          <t>N/A</t>
        </is>
      </c>
      <c r="I17" s="5" t="inlineStr">
        <is>
          <t>N/A</t>
        </is>
      </c>
      <c r="J17" s="5" t="inlineStr">
        <is>
          <t>N/A</t>
        </is>
      </c>
      <c r="K17" s="5" t="inlineStr">
        <is>
          <t>N/A</t>
        </is>
      </c>
    </row>
    <row r="18">
      <c r="A18" s="5" t="inlineStr">
        <is>
          <t>OWASP</t>
        </is>
      </c>
      <c r="B18" s="5" t="inlineStr">
        <is>
          <t>S3</t>
        </is>
      </c>
      <c r="C18" s="5" t="inlineStr">
        <is>
          <t>Tampering</t>
        </is>
      </c>
      <c r="D18" s="5" t="n">
        <f>COUNTIFS('02_REFERENCE'!$B$2:$B$99,$B18,'02_REFERENCE'!$D$2:$D$99,$C18,'02_REFERENCE'!$S$2:$S$99,"YES")</f>
        <v>8.0</v>
      </c>
      <c r="E18" s="5" t="n">
        <f>COUNTIFS('04_MATCHING'!$B$2:$B$1026,$A18,'04_MATCHING'!$C$2:$C$1026,$B18,'04_MATCHING'!$H$2:$H$1026,"Primary TP",'04_MATCHING'!$D$2:$D$1026,$C18)</f>
        <v>1.0</v>
      </c>
      <c r="F18" s="5" t="n">
        <f>D18-E18</f>
        <v>7</v>
      </c>
      <c r="G18" s="25" t="n">
        <f>IFERROR(E18/D18,"")</f>
        <v>0.125</v>
      </c>
      <c r="H18" s="5" t="inlineStr">
        <is>
          <t>N/A</t>
        </is>
      </c>
      <c r="I18" s="5" t="inlineStr">
        <is>
          <t>N/A</t>
        </is>
      </c>
      <c r="J18" s="5" t="inlineStr">
        <is>
          <t>N/A</t>
        </is>
      </c>
      <c r="K18" s="5" t="inlineStr">
        <is>
          <t>N/A</t>
        </is>
      </c>
    </row>
    <row r="19">
      <c r="A19" s="5" t="inlineStr">
        <is>
          <t>OWASP</t>
        </is>
      </c>
      <c r="B19" s="5" t="inlineStr">
        <is>
          <t>S3</t>
        </is>
      </c>
      <c r="C19" s="5" t="inlineStr">
        <is>
          <t>Repudiation</t>
        </is>
      </c>
      <c r="D19" s="5" t="n">
        <f>COUNTIFS('02_REFERENCE'!$B$2:$B$99,$B19,'02_REFERENCE'!$D$2:$D$99,$C19,'02_REFERENCE'!$S$2:$S$99,"YES")</f>
        <v>1.0</v>
      </c>
      <c r="E19" s="5" t="n">
        <f>COUNTIFS('04_MATCHING'!$B$2:$B$1026,$A19,'04_MATCHING'!$C$2:$C$1026,$B19,'04_MATCHING'!$H$2:$H$1026,"Primary TP",'04_MATCHING'!$D$2:$D$1026,$C19)</f>
        <v>0.0</v>
      </c>
      <c r="F19" s="5" t="n">
        <f>D19-E19</f>
        <v>1</v>
      </c>
      <c r="G19" s="25" t="n">
        <f>IFERROR(E19/D19,"")</f>
        <v>0</v>
      </c>
      <c r="H19" s="5" t="inlineStr">
        <is>
          <t>N/A</t>
        </is>
      </c>
      <c r="I19" s="5" t="inlineStr">
        <is>
          <t>N/A</t>
        </is>
      </c>
      <c r="J19" s="5" t="inlineStr">
        <is>
          <t>N/A</t>
        </is>
      </c>
      <c r="K19" s="5" t="inlineStr">
        <is>
          <t>N/A</t>
        </is>
      </c>
    </row>
    <row r="20">
      <c r="A20" s="5" t="inlineStr">
        <is>
          <t>OWASP</t>
        </is>
      </c>
      <c r="B20" s="5" t="inlineStr">
        <is>
          <t>S3</t>
        </is>
      </c>
      <c r="C20" s="5" t="inlineStr">
        <is>
          <t>Information Disclosure</t>
        </is>
      </c>
      <c r="D20" s="5" t="n">
        <f>COUNTIFS('02_REFERENCE'!$B$2:$B$99,$B20,'02_REFERENCE'!$D$2:$D$99,$C20,'02_REFERENCE'!$S$2:$S$99,"YES")</f>
        <v>8.0</v>
      </c>
      <c r="E20" s="5" t="n">
        <f>COUNTIFS('04_MATCHING'!$B$2:$B$1026,$A20,'04_MATCHING'!$C$2:$C$1026,$B20,'04_MATCHING'!$H$2:$H$1026,"Primary TP",'04_MATCHING'!$D$2:$D$1026,$C20)</f>
        <v>2.0</v>
      </c>
      <c r="F20" s="5" t="n">
        <f>D20-E20</f>
        <v>6</v>
      </c>
      <c r="G20" s="25" t="n">
        <f>IFERROR(E20/D20,"")</f>
        <v>0.25</v>
      </c>
      <c r="H20" s="5" t="inlineStr">
        <is>
          <t>N/A</t>
        </is>
      </c>
      <c r="I20" s="5" t="inlineStr">
        <is>
          <t>N/A</t>
        </is>
      </c>
      <c r="J20" s="5" t="inlineStr">
        <is>
          <t>N/A</t>
        </is>
      </c>
      <c r="K20" s="5" t="inlineStr">
        <is>
          <t>N/A</t>
        </is>
      </c>
    </row>
    <row r="21">
      <c r="A21" s="5" t="inlineStr">
        <is>
          <t>OWASP</t>
        </is>
      </c>
      <c r="B21" s="5" t="inlineStr">
        <is>
          <t>S3</t>
        </is>
      </c>
      <c r="C21" s="5" t="inlineStr">
        <is>
          <t>Denial of Service</t>
        </is>
      </c>
      <c r="D21" s="5" t="n">
        <f>COUNTIFS('02_REFERENCE'!$B$2:$B$99,$B21,'02_REFERENCE'!$D$2:$D$99,$C21,'02_REFERENCE'!$S$2:$S$99,"YES")</f>
        <v>4.0</v>
      </c>
      <c r="E21" s="5" t="n">
        <f>COUNTIFS('04_MATCHING'!$B$2:$B$1026,$A21,'04_MATCHING'!$C$2:$C$1026,$B21,'04_MATCHING'!$H$2:$H$1026,"Primary TP",'04_MATCHING'!$D$2:$D$1026,$C21)</f>
        <v>3.0</v>
      </c>
      <c r="F21" s="5" t="n">
        <f>D21-E21</f>
        <v>1</v>
      </c>
      <c r="G21" s="25" t="n">
        <f>IFERROR(E21/D21,"")</f>
        <v>0.75</v>
      </c>
      <c r="H21" s="5" t="inlineStr">
        <is>
          <t>N/A</t>
        </is>
      </c>
      <c r="I21" s="5" t="inlineStr">
        <is>
          <t>N/A</t>
        </is>
      </c>
      <c r="J21" s="5" t="inlineStr">
        <is>
          <t>N/A</t>
        </is>
      </c>
      <c r="K21" s="5" t="inlineStr">
        <is>
          <t>N/A</t>
        </is>
      </c>
    </row>
    <row r="22">
      <c r="A22" s="5" t="inlineStr">
        <is>
          <t>OWASP</t>
        </is>
      </c>
      <c r="B22" s="5" t="inlineStr">
        <is>
          <t>S3</t>
        </is>
      </c>
      <c r="C22" s="5" t="inlineStr">
        <is>
          <t>Elevation of Privilege</t>
        </is>
      </c>
      <c r="D22" s="5" t="n">
        <f>COUNTIFS('02_REFERENCE'!$B$2:$B$99,$B22,'02_REFERENCE'!$D$2:$D$99,$C22,'02_REFERENCE'!$S$2:$S$99,"YES")</f>
        <v>5.0</v>
      </c>
      <c r="E22" s="5" t="n">
        <f>COUNTIFS('04_MATCHING'!$B$2:$B$1026,$A22,'04_MATCHING'!$C$2:$C$1026,$B22,'04_MATCHING'!$H$2:$H$1026,"Primary TP",'04_MATCHING'!$D$2:$D$1026,$C22)</f>
        <v>0.0</v>
      </c>
      <c r="F22" s="5" t="n">
        <f>D22-E22</f>
        <v>5</v>
      </c>
      <c r="G22" s="25" t="n">
        <f>IFERROR(E22/D22,"")</f>
        <v>0</v>
      </c>
      <c r="H22" s="5" t="inlineStr">
        <is>
          <t>N/A</t>
        </is>
      </c>
      <c r="I22" s="5" t="inlineStr">
        <is>
          <t>N/A</t>
        </is>
      </c>
      <c r="J22" s="5" t="inlineStr">
        <is>
          <t>N/A</t>
        </is>
      </c>
      <c r="K22" s="5" t="inlineStr">
        <is>
          <t>N/A</t>
        </is>
      </c>
    </row>
    <row r="23">
      <c r="A23" s="5" t="inlineStr">
        <is>
          <t>TMT</t>
        </is>
      </c>
      <c r="B23" s="5" t="inlineStr">
        <is>
          <t>S1</t>
        </is>
      </c>
      <c r="C23" s="5" t="inlineStr">
        <is>
          <t>Spoofing</t>
        </is>
      </c>
      <c r="D23" s="5" t="n">
        <f>COUNTIFS('02_REFERENCE'!$B$2:$B$99,$B23,'02_REFERENCE'!$D$2:$D$99,$C23,'02_REFERENCE'!$S$2:$S$99,"YES")</f>
        <v>8.0</v>
      </c>
      <c r="E23" s="5" t="n">
        <f>COUNTIFS('04_MATCHING'!$B$2:$B$1026,$A23,'04_MATCHING'!$C$2:$C$1026,$B23,'04_MATCHING'!$H$2:$H$1026,"Primary TP",'04_MATCHING'!$D$2:$D$1026,$C23)</f>
        <v>2.0</v>
      </c>
      <c r="F23" s="5" t="n">
        <f>D23-E23</f>
        <v>6</v>
      </c>
      <c r="G23" s="25" t="n">
        <f>IFERROR(E23/D23,"")</f>
        <v>0.25</v>
      </c>
      <c r="H23" s="5" t="inlineStr">
        <is>
          <t>N/A</t>
        </is>
      </c>
      <c r="I23" s="5" t="inlineStr">
        <is>
          <t>N/A</t>
        </is>
      </c>
      <c r="J23" s="5" t="inlineStr">
        <is>
          <t>N/A</t>
        </is>
      </c>
      <c r="K23" s="5" t="inlineStr">
        <is>
          <t>N/A</t>
        </is>
      </c>
    </row>
    <row r="24">
      <c r="A24" s="5" t="inlineStr">
        <is>
          <t>TMT</t>
        </is>
      </c>
      <c r="B24" s="5" t="inlineStr">
        <is>
          <t>S1</t>
        </is>
      </c>
      <c r="C24" s="5" t="inlineStr">
        <is>
          <t>Tampering</t>
        </is>
      </c>
      <c r="D24" s="5" t="n">
        <f>COUNTIFS('02_REFERENCE'!$B$2:$B$99,$B24,'02_REFERENCE'!$D$2:$D$99,$C24,'02_REFERENCE'!$S$2:$S$99,"YES")</f>
        <v>7.0</v>
      </c>
      <c r="E24" s="5" t="n">
        <f>COUNTIFS('04_MATCHING'!$B$2:$B$1026,$A24,'04_MATCHING'!$C$2:$C$1026,$B24,'04_MATCHING'!$H$2:$H$1026,"Primary TP",'04_MATCHING'!$D$2:$D$1026,$C24)</f>
        <v>3.0</v>
      </c>
      <c r="F24" s="5" t="n">
        <f>D24-E24</f>
        <v>4</v>
      </c>
      <c r="G24" s="25" t="n">
        <f>IFERROR(E24/D24,"")</f>
        <v>0.42857142857142855</v>
      </c>
      <c r="H24" s="5" t="inlineStr">
        <is>
          <t>N/A</t>
        </is>
      </c>
      <c r="I24" s="5" t="inlineStr">
        <is>
          <t>N/A</t>
        </is>
      </c>
      <c r="J24" s="5" t="inlineStr">
        <is>
          <t>N/A</t>
        </is>
      </c>
      <c r="K24" s="5" t="inlineStr">
        <is>
          <t>N/A</t>
        </is>
      </c>
    </row>
    <row r="25">
      <c r="A25" s="5" t="inlineStr">
        <is>
          <t>TMT</t>
        </is>
      </c>
      <c r="B25" s="5" t="inlineStr">
        <is>
          <t>S1</t>
        </is>
      </c>
      <c r="C25" s="5" t="inlineStr">
        <is>
          <t>Repudiation</t>
        </is>
      </c>
      <c r="D25" s="5" t="n">
        <f>COUNTIFS('02_REFERENCE'!$B$2:$B$99,$B25,'02_REFERENCE'!$D$2:$D$99,$C25,'02_REFERENCE'!$S$2:$S$99,"YES")</f>
        <v>1.0</v>
      </c>
      <c r="E25" s="5" t="n">
        <f>COUNTIFS('04_MATCHING'!$B$2:$B$1026,$A25,'04_MATCHING'!$C$2:$C$1026,$B25,'04_MATCHING'!$H$2:$H$1026,"Primary TP",'04_MATCHING'!$D$2:$D$1026,$C25)</f>
        <v>1.0</v>
      </c>
      <c r="F25" s="5" t="n">
        <f>D25-E25</f>
        <v>0</v>
      </c>
      <c r="G25" s="25" t="n">
        <f>IFERROR(E25/D25,"")</f>
        <v>1</v>
      </c>
      <c r="H25" s="5" t="inlineStr">
        <is>
          <t>N/A</t>
        </is>
      </c>
      <c r="I25" s="5" t="inlineStr">
        <is>
          <t>N/A</t>
        </is>
      </c>
      <c r="J25" s="5" t="inlineStr">
        <is>
          <t>N/A</t>
        </is>
      </c>
      <c r="K25" s="5" t="inlineStr">
        <is>
          <t>N/A</t>
        </is>
      </c>
    </row>
    <row r="26">
      <c r="A26" s="5" t="inlineStr">
        <is>
          <t>TMT</t>
        </is>
      </c>
      <c r="B26" s="5" t="inlineStr">
        <is>
          <t>S1</t>
        </is>
      </c>
      <c r="C26" s="5" t="inlineStr">
        <is>
          <t>Information Disclosure</t>
        </is>
      </c>
      <c r="D26" s="5" t="n">
        <f>COUNTIFS('02_REFERENCE'!$B$2:$B$99,$B26,'02_REFERENCE'!$D$2:$D$99,$C26,'02_REFERENCE'!$S$2:$S$99,"YES")</f>
        <v>10.0</v>
      </c>
      <c r="E26" s="5" t="n">
        <f>COUNTIFS('04_MATCHING'!$B$2:$B$1026,$A26,'04_MATCHING'!$C$2:$C$1026,$B26,'04_MATCHING'!$H$2:$H$1026,"Primary TP",'04_MATCHING'!$D$2:$D$1026,$C26)</f>
        <v>1.0</v>
      </c>
      <c r="F26" s="5" t="n">
        <f>D26-E26</f>
        <v>9</v>
      </c>
      <c r="G26" s="25" t="n">
        <f>IFERROR(E26/D26,"")</f>
        <v>0.1</v>
      </c>
      <c r="H26" s="5" t="inlineStr">
        <is>
          <t>N/A</t>
        </is>
      </c>
      <c r="I26" s="5" t="inlineStr">
        <is>
          <t>N/A</t>
        </is>
      </c>
      <c r="J26" s="5" t="inlineStr">
        <is>
          <t>N/A</t>
        </is>
      </c>
      <c r="K26" s="5" t="inlineStr">
        <is>
          <t>N/A</t>
        </is>
      </c>
    </row>
    <row r="27">
      <c r="A27" s="5" t="inlineStr">
        <is>
          <t>TMT</t>
        </is>
      </c>
      <c r="B27" s="5" t="inlineStr">
        <is>
          <t>S1</t>
        </is>
      </c>
      <c r="C27" s="5" t="inlineStr">
        <is>
          <t>Denial of Service</t>
        </is>
      </c>
      <c r="D27" s="5" t="n">
        <f>COUNTIFS('02_REFERENCE'!$B$2:$B$99,$B27,'02_REFERENCE'!$D$2:$D$99,$C27,'02_REFERENCE'!$S$2:$S$99,"YES")</f>
        <v>3.0</v>
      </c>
      <c r="E27" s="5" t="n">
        <f>COUNTIFS('04_MATCHING'!$B$2:$B$1026,$A27,'04_MATCHING'!$C$2:$C$1026,$B27,'04_MATCHING'!$H$2:$H$1026,"Primary TP",'04_MATCHING'!$D$2:$D$1026,$C27)</f>
        <v>2.0</v>
      </c>
      <c r="F27" s="5" t="n">
        <f>D27-E27</f>
        <v>1</v>
      </c>
      <c r="G27" s="25" t="n">
        <f>IFERROR(E27/D27,"")</f>
        <v>0.6666666666666666</v>
      </c>
      <c r="H27" s="5" t="inlineStr">
        <is>
          <t>N/A</t>
        </is>
      </c>
      <c r="I27" s="5" t="inlineStr">
        <is>
          <t>N/A</t>
        </is>
      </c>
      <c r="J27" s="5" t="inlineStr">
        <is>
          <t>N/A</t>
        </is>
      </c>
      <c r="K27" s="5" t="inlineStr">
        <is>
          <t>N/A</t>
        </is>
      </c>
    </row>
    <row r="28">
      <c r="A28" s="5" t="inlineStr">
        <is>
          <t>TMT</t>
        </is>
      </c>
      <c r="B28" s="5" t="inlineStr">
        <is>
          <t>S1</t>
        </is>
      </c>
      <c r="C28" s="5" t="inlineStr">
        <is>
          <t>Elevation of Privilege</t>
        </is>
      </c>
      <c r="D28" s="5" t="n">
        <f>COUNTIFS('02_REFERENCE'!$B$2:$B$99,$B28,'02_REFERENCE'!$D$2:$D$99,$C28,'02_REFERENCE'!$S$2:$S$99,"YES")</f>
        <v>3.0</v>
      </c>
      <c r="E28" s="5" t="n">
        <f>COUNTIFS('04_MATCHING'!$B$2:$B$1026,$A28,'04_MATCHING'!$C$2:$C$1026,$B28,'04_MATCHING'!$H$2:$H$1026,"Primary TP",'04_MATCHING'!$D$2:$D$1026,$C28)</f>
        <v>0.0</v>
      </c>
      <c r="F28" s="5" t="n">
        <f>D28-E28</f>
        <v>3</v>
      </c>
      <c r="G28" s="25" t="n">
        <f>IFERROR(E28/D28,"")</f>
        <v>0</v>
      </c>
      <c r="H28" s="5" t="inlineStr">
        <is>
          <t>N/A</t>
        </is>
      </c>
      <c r="I28" s="5" t="inlineStr">
        <is>
          <t>N/A</t>
        </is>
      </c>
      <c r="J28" s="5" t="inlineStr">
        <is>
          <t>N/A</t>
        </is>
      </c>
      <c r="K28" s="5" t="inlineStr">
        <is>
          <t>N/A</t>
        </is>
      </c>
    </row>
    <row r="29">
      <c r="A29" s="5" t="inlineStr">
        <is>
          <t>TMT</t>
        </is>
      </c>
      <c r="B29" s="5" t="inlineStr">
        <is>
          <t>S2</t>
        </is>
      </c>
      <c r="C29" s="5" t="inlineStr">
        <is>
          <t>Spoofing</t>
        </is>
      </c>
      <c r="D29" s="5" t="n">
        <f>COUNTIFS('02_REFERENCE'!$B$2:$B$99,$B29,'02_REFERENCE'!$D$2:$D$99,$C29,'02_REFERENCE'!$S$2:$S$99,"YES")</f>
        <v>3.0</v>
      </c>
      <c r="E29" s="5" t="n">
        <f>COUNTIFS('04_MATCHING'!$B$2:$B$1026,$A29,'04_MATCHING'!$C$2:$C$1026,$B29,'04_MATCHING'!$H$2:$H$1026,"Primary TP",'04_MATCHING'!$D$2:$D$1026,$C29)</f>
        <v>1.0</v>
      </c>
      <c r="F29" s="5" t="n">
        <f>D29-E29</f>
        <v>2</v>
      </c>
      <c r="G29" s="25" t="n">
        <f>IFERROR(E29/D29,"")</f>
        <v>0.3333333333333333</v>
      </c>
      <c r="H29" s="5" t="inlineStr">
        <is>
          <t>N/A</t>
        </is>
      </c>
      <c r="I29" s="5" t="inlineStr">
        <is>
          <t>N/A</t>
        </is>
      </c>
      <c r="J29" s="5" t="inlineStr">
        <is>
          <t>N/A</t>
        </is>
      </c>
      <c r="K29" s="5" t="inlineStr">
        <is>
          <t>N/A</t>
        </is>
      </c>
    </row>
    <row r="30">
      <c r="A30" s="5" t="inlineStr">
        <is>
          <t>TMT</t>
        </is>
      </c>
      <c r="B30" s="5" t="inlineStr">
        <is>
          <t>S2</t>
        </is>
      </c>
      <c r="C30" s="5" t="inlineStr">
        <is>
          <t>Tampering</t>
        </is>
      </c>
      <c r="D30" s="5" t="n">
        <f>COUNTIFS('02_REFERENCE'!$B$2:$B$99,$B30,'02_REFERENCE'!$D$2:$D$99,$C30,'02_REFERENCE'!$S$2:$S$99,"YES")</f>
        <v>12.0</v>
      </c>
      <c r="E30" s="5" t="n">
        <f>COUNTIFS('04_MATCHING'!$B$2:$B$1026,$A30,'04_MATCHING'!$C$2:$C$1026,$B30,'04_MATCHING'!$H$2:$H$1026,"Primary TP",'04_MATCHING'!$D$2:$D$1026,$C30)</f>
        <v>3.0</v>
      </c>
      <c r="F30" s="5" t="n">
        <f>D30-E30</f>
        <v>9</v>
      </c>
      <c r="G30" s="25" t="n">
        <f>IFERROR(E30/D30,"")</f>
        <v>0.25</v>
      </c>
      <c r="H30" s="5" t="inlineStr">
        <is>
          <t>N/A</t>
        </is>
      </c>
      <c r="I30" s="5" t="inlineStr">
        <is>
          <t>N/A</t>
        </is>
      </c>
      <c r="J30" s="5" t="inlineStr">
        <is>
          <t>N/A</t>
        </is>
      </c>
      <c r="K30" s="5" t="inlineStr">
        <is>
          <t>N/A</t>
        </is>
      </c>
    </row>
    <row r="31">
      <c r="A31" s="5" t="inlineStr">
        <is>
          <t>TMT</t>
        </is>
      </c>
      <c r="B31" s="5" t="inlineStr">
        <is>
          <t>S2</t>
        </is>
      </c>
      <c r="C31" s="5" t="inlineStr">
        <is>
          <t>Repudiation</t>
        </is>
      </c>
      <c r="D31" s="5" t="n">
        <f>COUNTIFS('02_REFERENCE'!$B$2:$B$99,$B31,'02_REFERENCE'!$D$2:$D$99,$C31,'02_REFERENCE'!$S$2:$S$99,"YES")</f>
        <v>1.0</v>
      </c>
      <c r="E31" s="5" t="n">
        <f>COUNTIFS('04_MATCHING'!$B$2:$B$1026,$A31,'04_MATCHING'!$C$2:$C$1026,$B31,'04_MATCHING'!$H$2:$H$1026,"Primary TP",'04_MATCHING'!$D$2:$D$1026,$C31)</f>
        <v>1.0</v>
      </c>
      <c r="F31" s="5" t="n">
        <f>D31-E31</f>
        <v>0</v>
      </c>
      <c r="G31" s="25" t="n">
        <f>IFERROR(E31/D31,"")</f>
        <v>1</v>
      </c>
      <c r="H31" s="5" t="inlineStr">
        <is>
          <t>N/A</t>
        </is>
      </c>
      <c r="I31" s="5" t="inlineStr">
        <is>
          <t>N/A</t>
        </is>
      </c>
      <c r="J31" s="5" t="inlineStr">
        <is>
          <t>N/A</t>
        </is>
      </c>
      <c r="K31" s="5" t="inlineStr">
        <is>
          <t>N/A</t>
        </is>
      </c>
    </row>
    <row r="32">
      <c r="A32" s="5" t="inlineStr">
        <is>
          <t>TMT</t>
        </is>
      </c>
      <c r="B32" s="5" t="inlineStr">
        <is>
          <t>S2</t>
        </is>
      </c>
      <c r="C32" s="5" t="inlineStr">
        <is>
          <t>Information Disclosure</t>
        </is>
      </c>
      <c r="D32" s="5" t="n">
        <f>COUNTIFS('02_REFERENCE'!$B$2:$B$99,$B32,'02_REFERENCE'!$D$2:$D$99,$C32,'02_REFERENCE'!$S$2:$S$99,"YES")</f>
        <v>8.0</v>
      </c>
      <c r="E32" s="5" t="n">
        <f>COUNTIFS('04_MATCHING'!$B$2:$B$1026,$A32,'04_MATCHING'!$C$2:$C$1026,$B32,'04_MATCHING'!$H$2:$H$1026,"Primary TP",'04_MATCHING'!$D$2:$D$1026,$C32)</f>
        <v>2.0</v>
      </c>
      <c r="F32" s="5" t="n">
        <f>D32-E32</f>
        <v>6</v>
      </c>
      <c r="G32" s="25" t="n">
        <f>IFERROR(E32/D32,"")</f>
        <v>0.25</v>
      </c>
      <c r="H32" s="5" t="inlineStr">
        <is>
          <t>N/A</t>
        </is>
      </c>
      <c r="I32" s="5" t="inlineStr">
        <is>
          <t>N/A</t>
        </is>
      </c>
      <c r="J32" s="5" t="inlineStr">
        <is>
          <t>N/A</t>
        </is>
      </c>
      <c r="K32" s="5" t="inlineStr">
        <is>
          <t>N/A</t>
        </is>
      </c>
    </row>
    <row r="33">
      <c r="A33" s="5" t="inlineStr">
        <is>
          <t>TMT</t>
        </is>
      </c>
      <c r="B33" s="5" t="inlineStr">
        <is>
          <t>S2</t>
        </is>
      </c>
      <c r="C33" s="5" t="inlineStr">
        <is>
          <t>Denial of Service</t>
        </is>
      </c>
      <c r="D33" s="5" t="n">
        <f>COUNTIFS('02_REFERENCE'!$B$2:$B$99,$B33,'02_REFERENCE'!$D$2:$D$99,$C33,'02_REFERENCE'!$S$2:$S$99,"YES")</f>
        <v>3.0</v>
      </c>
      <c r="E33" s="5" t="n">
        <f>COUNTIFS('04_MATCHING'!$B$2:$B$1026,$A33,'04_MATCHING'!$C$2:$C$1026,$B33,'04_MATCHING'!$H$2:$H$1026,"Primary TP",'04_MATCHING'!$D$2:$D$1026,$C33)</f>
        <v>2.0</v>
      </c>
      <c r="F33" s="5" t="n">
        <f>D33-E33</f>
        <v>1</v>
      </c>
      <c r="G33" s="25" t="n">
        <f>IFERROR(E33/D33,"")</f>
        <v>0.6666666666666666</v>
      </c>
      <c r="H33" s="5" t="inlineStr">
        <is>
          <t>N/A</t>
        </is>
      </c>
      <c r="I33" s="5" t="inlineStr">
        <is>
          <t>N/A</t>
        </is>
      </c>
      <c r="J33" s="5" t="inlineStr">
        <is>
          <t>N/A</t>
        </is>
      </c>
      <c r="K33" s="5" t="inlineStr">
        <is>
          <t>N/A</t>
        </is>
      </c>
    </row>
    <row r="34">
      <c r="A34" s="5" t="inlineStr">
        <is>
          <t>TMT</t>
        </is>
      </c>
      <c r="B34" s="5" t="inlineStr">
        <is>
          <t>S2</t>
        </is>
      </c>
      <c r="C34" s="5" t="inlineStr">
        <is>
          <t>Elevation of Privilege</t>
        </is>
      </c>
      <c r="D34" s="5" t="n">
        <f>COUNTIFS('02_REFERENCE'!$B$2:$B$99,$B34,'02_REFERENCE'!$D$2:$D$99,$C34,'02_REFERENCE'!$S$2:$S$99,"YES")</f>
        <v>6.0</v>
      </c>
      <c r="E34" s="5" t="n">
        <f>COUNTIFS('04_MATCHING'!$B$2:$B$1026,$A34,'04_MATCHING'!$C$2:$C$1026,$B34,'04_MATCHING'!$H$2:$H$1026,"Primary TP",'04_MATCHING'!$D$2:$D$1026,$C34)</f>
        <v>1.0</v>
      </c>
      <c r="F34" s="5" t="n">
        <f>D34-E34</f>
        <v>5</v>
      </c>
      <c r="G34" s="25" t="n">
        <f>IFERROR(E34/D34,"")</f>
        <v>0.16666666666666666</v>
      </c>
      <c r="H34" s="5" t="inlineStr">
        <is>
          <t>N/A</t>
        </is>
      </c>
      <c r="I34" s="5" t="inlineStr">
        <is>
          <t>N/A</t>
        </is>
      </c>
      <c r="J34" s="5" t="inlineStr">
        <is>
          <t>N/A</t>
        </is>
      </c>
      <c r="K34" s="5" t="inlineStr">
        <is>
          <t>N/A</t>
        </is>
      </c>
    </row>
    <row r="35">
      <c r="A35" s="5" t="inlineStr">
        <is>
          <t>TMT</t>
        </is>
      </c>
      <c r="B35" s="5" t="inlineStr">
        <is>
          <t>S3</t>
        </is>
      </c>
      <c r="C35" s="5" t="inlineStr">
        <is>
          <t>Spoofing</t>
        </is>
      </c>
      <c r="D35" s="5" t="n">
        <f>COUNTIFS('02_REFERENCE'!$B$2:$B$99,$B35,'02_REFERENCE'!$D$2:$D$99,$C35,'02_REFERENCE'!$S$2:$S$99,"YES")</f>
        <v>7.0</v>
      </c>
      <c r="E35" s="5" t="n">
        <f>COUNTIFS('04_MATCHING'!$B$2:$B$1026,$A35,'04_MATCHING'!$C$2:$C$1026,$B35,'04_MATCHING'!$H$2:$H$1026,"Primary TP",'04_MATCHING'!$D$2:$D$1026,$C35)</f>
        <v>2.0</v>
      </c>
      <c r="F35" s="5" t="n">
        <f>D35-E35</f>
        <v>5</v>
      </c>
      <c r="G35" s="25" t="n">
        <f>IFERROR(E35/D35,"")</f>
        <v>0.2857142857142857</v>
      </c>
      <c r="H35" s="5" t="inlineStr">
        <is>
          <t>N/A</t>
        </is>
      </c>
      <c r="I35" s="5" t="inlineStr">
        <is>
          <t>N/A</t>
        </is>
      </c>
      <c r="J35" s="5" t="inlineStr">
        <is>
          <t>N/A</t>
        </is>
      </c>
      <c r="K35" s="5" t="inlineStr">
        <is>
          <t>N/A</t>
        </is>
      </c>
    </row>
    <row r="36">
      <c r="A36" s="5" t="inlineStr">
        <is>
          <t>TMT</t>
        </is>
      </c>
      <c r="B36" s="5" t="inlineStr">
        <is>
          <t>S3</t>
        </is>
      </c>
      <c r="C36" s="5" t="inlineStr">
        <is>
          <t>Tampering</t>
        </is>
      </c>
      <c r="D36" s="5" t="n">
        <f>COUNTIFS('02_REFERENCE'!$B$2:$B$99,$B36,'02_REFERENCE'!$D$2:$D$99,$C36,'02_REFERENCE'!$S$2:$S$99,"YES")</f>
        <v>8.0</v>
      </c>
      <c r="E36" s="5" t="n">
        <f>COUNTIFS('04_MATCHING'!$B$2:$B$1026,$A36,'04_MATCHING'!$C$2:$C$1026,$B36,'04_MATCHING'!$H$2:$H$1026,"Primary TP",'04_MATCHING'!$D$2:$D$1026,$C36)</f>
        <v>2.0</v>
      </c>
      <c r="F36" s="5" t="n">
        <f>D36-E36</f>
        <v>6</v>
      </c>
      <c r="G36" s="25" t="n">
        <f>IFERROR(E36/D36,"")</f>
        <v>0.25</v>
      </c>
      <c r="H36" s="5" t="inlineStr">
        <is>
          <t>N/A</t>
        </is>
      </c>
      <c r="I36" s="5" t="inlineStr">
        <is>
          <t>N/A</t>
        </is>
      </c>
      <c r="J36" s="5" t="inlineStr">
        <is>
          <t>N/A</t>
        </is>
      </c>
      <c r="K36" s="5" t="inlineStr">
        <is>
          <t>N/A</t>
        </is>
      </c>
    </row>
    <row r="37">
      <c r="A37" s="5" t="inlineStr">
        <is>
          <t>TMT</t>
        </is>
      </c>
      <c r="B37" s="5" t="inlineStr">
        <is>
          <t>S3</t>
        </is>
      </c>
      <c r="C37" s="5" t="inlineStr">
        <is>
          <t>Repudiation</t>
        </is>
      </c>
      <c r="D37" s="5" t="n">
        <f>COUNTIFS('02_REFERENCE'!$B$2:$B$99,$B37,'02_REFERENCE'!$D$2:$D$99,$C37,'02_REFERENCE'!$S$2:$S$99,"YES")</f>
        <v>1.0</v>
      </c>
      <c r="E37" s="5" t="n">
        <f>COUNTIFS('04_MATCHING'!$B$2:$B$1026,$A37,'04_MATCHING'!$C$2:$C$1026,$B37,'04_MATCHING'!$H$2:$H$1026,"Primary TP",'04_MATCHING'!$D$2:$D$1026,$C37)</f>
        <v>1.0</v>
      </c>
      <c r="F37" s="5" t="n">
        <f>D37-E37</f>
        <v>0</v>
      </c>
      <c r="G37" s="25" t="n">
        <f>IFERROR(E37/D37,"")</f>
        <v>1</v>
      </c>
      <c r="H37" s="5" t="inlineStr">
        <is>
          <t>N/A</t>
        </is>
      </c>
      <c r="I37" s="5" t="inlineStr">
        <is>
          <t>N/A</t>
        </is>
      </c>
      <c r="J37" s="5" t="inlineStr">
        <is>
          <t>N/A</t>
        </is>
      </c>
      <c r="K37" s="5" t="inlineStr">
        <is>
          <t>N/A</t>
        </is>
      </c>
    </row>
    <row r="38">
      <c r="A38" s="5" t="inlineStr">
        <is>
          <t>TMT</t>
        </is>
      </c>
      <c r="B38" s="5" t="inlineStr">
        <is>
          <t>S3</t>
        </is>
      </c>
      <c r="C38" s="5" t="inlineStr">
        <is>
          <t>Information Disclosure</t>
        </is>
      </c>
      <c r="D38" s="5" t="n">
        <f>COUNTIFS('02_REFERENCE'!$B$2:$B$99,$B38,'02_REFERENCE'!$D$2:$D$99,$C38,'02_REFERENCE'!$S$2:$S$99,"YES")</f>
        <v>8.0</v>
      </c>
      <c r="E38" s="5" t="n">
        <f>COUNTIFS('04_MATCHING'!$B$2:$B$1026,$A38,'04_MATCHING'!$C$2:$C$1026,$B38,'04_MATCHING'!$H$2:$H$1026,"Primary TP",'04_MATCHING'!$D$2:$D$1026,$C38)</f>
        <v>2.0</v>
      </c>
      <c r="F38" s="5" t="n">
        <f>D38-E38</f>
        <v>6</v>
      </c>
      <c r="G38" s="25" t="n">
        <f>IFERROR(E38/D38,"")</f>
        <v>0.25</v>
      </c>
      <c r="H38" s="5" t="inlineStr">
        <is>
          <t>N/A</t>
        </is>
      </c>
      <c r="I38" s="5" t="inlineStr">
        <is>
          <t>N/A</t>
        </is>
      </c>
      <c r="J38" s="5" t="inlineStr">
        <is>
          <t>N/A</t>
        </is>
      </c>
      <c r="K38" s="5" t="inlineStr">
        <is>
          <t>N/A</t>
        </is>
      </c>
    </row>
    <row r="39">
      <c r="A39" s="5" t="inlineStr">
        <is>
          <t>TMT</t>
        </is>
      </c>
      <c r="B39" s="5" t="inlineStr">
        <is>
          <t>S3</t>
        </is>
      </c>
      <c r="C39" s="5" t="inlineStr">
        <is>
          <t>Denial of Service</t>
        </is>
      </c>
      <c r="D39" s="5" t="n">
        <f>COUNTIFS('02_REFERENCE'!$B$2:$B$99,$B39,'02_REFERENCE'!$D$2:$D$99,$C39,'02_REFERENCE'!$S$2:$S$99,"YES")</f>
        <v>4.0</v>
      </c>
      <c r="E39" s="5" t="n">
        <f>COUNTIFS('04_MATCHING'!$B$2:$B$1026,$A39,'04_MATCHING'!$C$2:$C$1026,$B39,'04_MATCHING'!$H$2:$H$1026,"Primary TP",'04_MATCHING'!$D$2:$D$1026,$C39)</f>
        <v>2.0</v>
      </c>
      <c r="F39" s="5" t="n">
        <f>D39-E39</f>
        <v>2</v>
      </c>
      <c r="G39" s="25" t="n">
        <f>IFERROR(E39/D39,"")</f>
        <v>0.5</v>
      </c>
      <c r="H39" s="5" t="inlineStr">
        <is>
          <t>N/A</t>
        </is>
      </c>
      <c r="I39" s="5" t="inlineStr">
        <is>
          <t>N/A</t>
        </is>
      </c>
      <c r="J39" s="5" t="inlineStr">
        <is>
          <t>N/A</t>
        </is>
      </c>
      <c r="K39" s="5" t="inlineStr">
        <is>
          <t>N/A</t>
        </is>
      </c>
    </row>
    <row r="40">
      <c r="A40" s="5" t="inlineStr">
        <is>
          <t>TMT</t>
        </is>
      </c>
      <c r="B40" s="5" t="inlineStr">
        <is>
          <t>S3</t>
        </is>
      </c>
      <c r="C40" s="5" t="inlineStr">
        <is>
          <t>Elevation of Privilege</t>
        </is>
      </c>
      <c r="D40" s="5" t="n">
        <f>COUNTIFS('02_REFERENCE'!$B$2:$B$99,$B40,'02_REFERENCE'!$D$2:$D$99,$C40,'02_REFERENCE'!$S$2:$S$99,"YES")</f>
        <v>5.0</v>
      </c>
      <c r="E40" s="5" t="n">
        <f>COUNTIFS('04_MATCHING'!$B$2:$B$1026,$A40,'04_MATCHING'!$C$2:$C$1026,$B40,'04_MATCHING'!$H$2:$H$1026,"Primary TP",'04_MATCHING'!$D$2:$D$1026,$C40)</f>
        <v>0.0</v>
      </c>
      <c r="F40" s="5" t="n">
        <f>D40-E40</f>
        <v>5</v>
      </c>
      <c r="G40" s="25" t="n">
        <f>IFERROR(E40/D40,"")</f>
        <v>0</v>
      </c>
      <c r="H40" s="5" t="inlineStr">
        <is>
          <t>N/A</t>
        </is>
      </c>
      <c r="I40" s="5" t="inlineStr">
        <is>
          <t>N/A</t>
        </is>
      </c>
      <c r="J40" s="5" t="inlineStr">
        <is>
          <t>N/A</t>
        </is>
      </c>
      <c r="K40" s="5" t="inlineStr">
        <is>
          <t>N/A</t>
        </is>
      </c>
    </row>
    <row r="41">
      <c r="A41" s="5" t="inlineStr">
        <is>
          <t>CHATGPT</t>
        </is>
      </c>
      <c r="B41" s="5" t="inlineStr">
        <is>
          <t>S1</t>
        </is>
      </c>
      <c r="C41" s="5" t="inlineStr">
        <is>
          <t>Spoofing</t>
        </is>
      </c>
      <c r="D41" s="5" t="n">
        <f>COUNTIFS('02_REFERENCE'!$B$2:$B$99,$B41,'02_REFERENCE'!$D$2:$D$99,$C41,'02_REFERENCE'!$S$2:$S$99,"YES")</f>
        <v>8.0</v>
      </c>
      <c r="E41" s="5" t="n">
        <f>COUNTIFS('04_MATCHING'!$B$2:$B$1026,$A41,'04_MATCHING'!$C$2:$C$1026,$B41,'04_MATCHING'!$H$2:$H$1026,"Primary TP",'04_MATCHING'!$D$2:$D$1026,$C41)</f>
        <v>3.0</v>
      </c>
      <c r="F41" s="5" t="n">
        <f>D41-E41</f>
        <v>5</v>
      </c>
      <c r="G41" s="25" t="n">
        <f>IFERROR(E41/D41,"")</f>
        <v>0.375</v>
      </c>
      <c r="H41" s="5" t="inlineStr">
        <is>
          <t>N/A</t>
        </is>
      </c>
      <c r="I41" s="5" t="inlineStr">
        <is>
          <t>N/A</t>
        </is>
      </c>
      <c r="J41" s="5" t="inlineStr">
        <is>
          <t>N/A</t>
        </is>
      </c>
      <c r="K41" s="5" t="inlineStr">
        <is>
          <t>N/A</t>
        </is>
      </c>
    </row>
    <row r="42">
      <c r="A42" s="5" t="inlineStr">
        <is>
          <t>CHATGPT</t>
        </is>
      </c>
      <c r="B42" s="5" t="inlineStr">
        <is>
          <t>S1</t>
        </is>
      </c>
      <c r="C42" s="5" t="inlineStr">
        <is>
          <t>Tampering</t>
        </is>
      </c>
      <c r="D42" s="5" t="n">
        <f>COUNTIFS('02_REFERENCE'!$B$2:$B$99,$B42,'02_REFERENCE'!$D$2:$D$99,$C42,'02_REFERENCE'!$S$2:$S$99,"YES")</f>
        <v>7.0</v>
      </c>
      <c r="E42" s="5" t="n">
        <f>COUNTIFS('04_MATCHING'!$B$2:$B$1026,$A42,'04_MATCHING'!$C$2:$C$1026,$B42,'04_MATCHING'!$H$2:$H$1026,"Primary TP",'04_MATCHING'!$D$2:$D$1026,$C42)</f>
        <v>5.0</v>
      </c>
      <c r="F42" s="5" t="n">
        <f>D42-E42</f>
        <v>2</v>
      </c>
      <c r="G42" s="25" t="n">
        <f>IFERROR(E42/D42,"")</f>
        <v>0.7142857142857143</v>
      </c>
      <c r="H42" s="5" t="inlineStr">
        <is>
          <t>N/A</t>
        </is>
      </c>
      <c r="I42" s="5" t="inlineStr">
        <is>
          <t>N/A</t>
        </is>
      </c>
      <c r="J42" s="5" t="inlineStr">
        <is>
          <t>N/A</t>
        </is>
      </c>
      <c r="K42" s="5" t="inlineStr">
        <is>
          <t>N/A</t>
        </is>
      </c>
    </row>
    <row r="43">
      <c r="A43" s="5" t="inlineStr">
        <is>
          <t>CHATGPT</t>
        </is>
      </c>
      <c r="B43" s="5" t="inlineStr">
        <is>
          <t>S1</t>
        </is>
      </c>
      <c r="C43" s="5" t="inlineStr">
        <is>
          <t>Repudiation</t>
        </is>
      </c>
      <c r="D43" s="5" t="n">
        <f>COUNTIFS('02_REFERENCE'!$B$2:$B$99,$B43,'02_REFERENCE'!$D$2:$D$99,$C43,'02_REFERENCE'!$S$2:$S$99,"YES")</f>
        <v>1.0</v>
      </c>
      <c r="E43" s="5" t="n">
        <f>COUNTIFS('04_MATCHING'!$B$2:$B$1026,$A43,'04_MATCHING'!$C$2:$C$1026,$B43,'04_MATCHING'!$H$2:$H$1026,"Primary TP",'04_MATCHING'!$D$2:$D$1026,$C43)</f>
        <v>0.0</v>
      </c>
      <c r="F43" s="5" t="n">
        <f>D43-E43</f>
        <v>1</v>
      </c>
      <c r="G43" s="25" t="n">
        <f>IFERROR(E43/D43,"")</f>
        <v>0</v>
      </c>
      <c r="H43" s="5" t="inlineStr">
        <is>
          <t>N/A</t>
        </is>
      </c>
      <c r="I43" s="5" t="inlineStr">
        <is>
          <t>N/A</t>
        </is>
      </c>
      <c r="J43" s="5" t="inlineStr">
        <is>
          <t>N/A</t>
        </is>
      </c>
      <c r="K43" s="5" t="inlineStr">
        <is>
          <t>N/A</t>
        </is>
      </c>
    </row>
    <row r="44">
      <c r="A44" s="5" t="inlineStr">
        <is>
          <t>CHATGPT</t>
        </is>
      </c>
      <c r="B44" s="5" t="inlineStr">
        <is>
          <t>S1</t>
        </is>
      </c>
      <c r="C44" s="5" t="inlineStr">
        <is>
          <t>Information Disclosure</t>
        </is>
      </c>
      <c r="D44" s="5" t="n">
        <f>COUNTIFS('02_REFERENCE'!$B$2:$B$99,$B44,'02_REFERENCE'!$D$2:$D$99,$C44,'02_REFERENCE'!$S$2:$S$99,"YES")</f>
        <v>10.0</v>
      </c>
      <c r="E44" s="5" t="n">
        <f>COUNTIFS('04_MATCHING'!$B$2:$B$1026,$A44,'04_MATCHING'!$C$2:$C$1026,$B44,'04_MATCHING'!$H$2:$H$1026,"Primary TP",'04_MATCHING'!$D$2:$D$1026,$C44)</f>
        <v>7.0</v>
      </c>
      <c r="F44" s="5" t="n">
        <f>D44-E44</f>
        <v>3</v>
      </c>
      <c r="G44" s="25" t="n">
        <f>IFERROR(E44/D44,"")</f>
        <v>0.7</v>
      </c>
      <c r="H44" s="5" t="inlineStr">
        <is>
          <t>N/A</t>
        </is>
      </c>
      <c r="I44" s="5" t="inlineStr">
        <is>
          <t>N/A</t>
        </is>
      </c>
      <c r="J44" s="5" t="inlineStr">
        <is>
          <t>N/A</t>
        </is>
      </c>
      <c r="K44" s="5" t="inlineStr">
        <is>
          <t>N/A</t>
        </is>
      </c>
    </row>
    <row r="45">
      <c r="A45" s="5" t="inlineStr">
        <is>
          <t>CHATGPT</t>
        </is>
      </c>
      <c r="B45" s="5" t="inlineStr">
        <is>
          <t>S1</t>
        </is>
      </c>
      <c r="C45" s="5" t="inlineStr">
        <is>
          <t>Denial of Service</t>
        </is>
      </c>
      <c r="D45" s="5" t="n">
        <f>COUNTIFS('02_REFERENCE'!$B$2:$B$99,$B45,'02_REFERENCE'!$D$2:$D$99,$C45,'02_REFERENCE'!$S$2:$S$99,"YES")</f>
        <v>3.0</v>
      </c>
      <c r="E45" s="5" t="n">
        <f>COUNTIFS('04_MATCHING'!$B$2:$B$1026,$A45,'04_MATCHING'!$C$2:$C$1026,$B45,'04_MATCHING'!$H$2:$H$1026,"Primary TP",'04_MATCHING'!$D$2:$D$1026,$C45)</f>
        <v>3.0</v>
      </c>
      <c r="F45" s="5" t="n">
        <f>D45-E45</f>
        <v>0</v>
      </c>
      <c r="G45" s="25" t="n">
        <f>IFERROR(E45/D45,"")</f>
        <v>1</v>
      </c>
      <c r="H45" s="5" t="inlineStr">
        <is>
          <t>N/A</t>
        </is>
      </c>
      <c r="I45" s="5" t="inlineStr">
        <is>
          <t>N/A</t>
        </is>
      </c>
      <c r="J45" s="5" t="inlineStr">
        <is>
          <t>N/A</t>
        </is>
      </c>
      <c r="K45" s="5" t="inlineStr">
        <is>
          <t>N/A</t>
        </is>
      </c>
    </row>
    <row r="46">
      <c r="A46" s="5" t="inlineStr">
        <is>
          <t>CHATGPT</t>
        </is>
      </c>
      <c r="B46" s="5" t="inlineStr">
        <is>
          <t>S1</t>
        </is>
      </c>
      <c r="C46" s="5" t="inlineStr">
        <is>
          <t>Elevation of Privilege</t>
        </is>
      </c>
      <c r="D46" s="5" t="n">
        <f>COUNTIFS('02_REFERENCE'!$B$2:$B$99,$B46,'02_REFERENCE'!$D$2:$D$99,$C46,'02_REFERENCE'!$S$2:$S$99,"YES")</f>
        <v>3.0</v>
      </c>
      <c r="E46" s="5" t="n">
        <f>COUNTIFS('04_MATCHING'!$B$2:$B$1026,$A46,'04_MATCHING'!$C$2:$C$1026,$B46,'04_MATCHING'!$H$2:$H$1026,"Primary TP",'04_MATCHING'!$D$2:$D$1026,$C46)</f>
        <v>0.0</v>
      </c>
      <c r="F46" s="5" t="n">
        <f>D46-E46</f>
        <v>3</v>
      </c>
      <c r="G46" s="25" t="n">
        <f>IFERROR(E46/D46,"")</f>
        <v>0</v>
      </c>
      <c r="H46" s="5" t="inlineStr">
        <is>
          <t>N/A</t>
        </is>
      </c>
      <c r="I46" s="5" t="inlineStr">
        <is>
          <t>N/A</t>
        </is>
      </c>
      <c r="J46" s="5" t="inlineStr">
        <is>
          <t>N/A</t>
        </is>
      </c>
      <c r="K46" s="5" t="inlineStr">
        <is>
          <t>N/A</t>
        </is>
      </c>
    </row>
    <row r="47">
      <c r="A47" s="5" t="inlineStr">
        <is>
          <t>CHATGPT</t>
        </is>
      </c>
      <c r="B47" s="5" t="inlineStr">
        <is>
          <t>S2</t>
        </is>
      </c>
      <c r="C47" s="5" t="inlineStr">
        <is>
          <t>Spoofing</t>
        </is>
      </c>
      <c r="D47" s="5" t="n">
        <f>COUNTIFS('02_REFERENCE'!$B$2:$B$99,$B47,'02_REFERENCE'!$D$2:$D$99,$C47,'02_REFERENCE'!$S$2:$S$99,"YES")</f>
        <v>3.0</v>
      </c>
      <c r="E47" s="5" t="n">
        <f>COUNTIFS('04_MATCHING'!$B$2:$B$1026,$A47,'04_MATCHING'!$C$2:$C$1026,$B47,'04_MATCHING'!$H$2:$H$1026,"Primary TP",'04_MATCHING'!$D$2:$D$1026,$C47)</f>
        <v>1.0</v>
      </c>
      <c r="F47" s="5" t="n">
        <f>D47-E47</f>
        <v>2</v>
      </c>
      <c r="G47" s="25" t="n">
        <f>IFERROR(E47/D47,"")</f>
        <v>0.3333333333333333</v>
      </c>
      <c r="H47" s="5" t="inlineStr">
        <is>
          <t>N/A</t>
        </is>
      </c>
      <c r="I47" s="5" t="inlineStr">
        <is>
          <t>N/A</t>
        </is>
      </c>
      <c r="J47" s="5" t="inlineStr">
        <is>
          <t>N/A</t>
        </is>
      </c>
      <c r="K47" s="5" t="inlineStr">
        <is>
          <t>N/A</t>
        </is>
      </c>
    </row>
    <row r="48">
      <c r="A48" s="5" t="inlineStr">
        <is>
          <t>CHATGPT</t>
        </is>
      </c>
      <c r="B48" s="5" t="inlineStr">
        <is>
          <t>S2</t>
        </is>
      </c>
      <c r="C48" s="5" t="inlineStr">
        <is>
          <t>Tampering</t>
        </is>
      </c>
      <c r="D48" s="5" t="n">
        <f>COUNTIFS('02_REFERENCE'!$B$2:$B$99,$B48,'02_REFERENCE'!$D$2:$D$99,$C48,'02_REFERENCE'!$S$2:$S$99,"YES")</f>
        <v>12.0</v>
      </c>
      <c r="E48" s="5" t="n">
        <f>COUNTIFS('04_MATCHING'!$B$2:$B$1026,$A48,'04_MATCHING'!$C$2:$C$1026,$B48,'04_MATCHING'!$H$2:$H$1026,"Primary TP",'04_MATCHING'!$D$2:$D$1026,$C48)</f>
        <v>6.0</v>
      </c>
      <c r="F48" s="5" t="n">
        <f>D48-E48</f>
        <v>6</v>
      </c>
      <c r="G48" s="25" t="n">
        <f>IFERROR(E48/D48,"")</f>
        <v>0.5</v>
      </c>
      <c r="H48" s="5" t="inlineStr">
        <is>
          <t>N/A</t>
        </is>
      </c>
      <c r="I48" s="5" t="inlineStr">
        <is>
          <t>N/A</t>
        </is>
      </c>
      <c r="J48" s="5" t="inlineStr">
        <is>
          <t>N/A</t>
        </is>
      </c>
      <c r="K48" s="5" t="inlineStr">
        <is>
          <t>N/A</t>
        </is>
      </c>
    </row>
    <row r="49">
      <c r="A49" s="5" t="inlineStr">
        <is>
          <t>CHATGPT</t>
        </is>
      </c>
      <c r="B49" s="5" t="inlineStr">
        <is>
          <t>S2</t>
        </is>
      </c>
      <c r="C49" s="5" t="inlineStr">
        <is>
          <t>Repudiation</t>
        </is>
      </c>
      <c r="D49" s="5" t="n">
        <f>COUNTIFS('02_REFERENCE'!$B$2:$B$99,$B49,'02_REFERENCE'!$D$2:$D$99,$C49,'02_REFERENCE'!$S$2:$S$99,"YES")</f>
        <v>1.0</v>
      </c>
      <c r="E49" s="5" t="n">
        <f>COUNTIFS('04_MATCHING'!$B$2:$B$1026,$A49,'04_MATCHING'!$C$2:$C$1026,$B49,'04_MATCHING'!$H$2:$H$1026,"Primary TP",'04_MATCHING'!$D$2:$D$1026,$C49)</f>
        <v>1.0</v>
      </c>
      <c r="F49" s="5" t="n">
        <f>D49-E49</f>
        <v>0</v>
      </c>
      <c r="G49" s="25" t="n">
        <f>IFERROR(E49/D49,"")</f>
        <v>1</v>
      </c>
      <c r="H49" s="5" t="inlineStr">
        <is>
          <t>N/A</t>
        </is>
      </c>
      <c r="I49" s="5" t="inlineStr">
        <is>
          <t>N/A</t>
        </is>
      </c>
      <c r="J49" s="5" t="inlineStr">
        <is>
          <t>N/A</t>
        </is>
      </c>
      <c r="K49" s="5" t="inlineStr">
        <is>
          <t>N/A</t>
        </is>
      </c>
    </row>
    <row r="50">
      <c r="A50" s="5" t="inlineStr">
        <is>
          <t>CHATGPT</t>
        </is>
      </c>
      <c r="B50" s="5" t="inlineStr">
        <is>
          <t>S2</t>
        </is>
      </c>
      <c r="C50" s="5" t="inlineStr">
        <is>
          <t>Information Disclosure</t>
        </is>
      </c>
      <c r="D50" s="5" t="n">
        <f>COUNTIFS('02_REFERENCE'!$B$2:$B$99,$B50,'02_REFERENCE'!$D$2:$D$99,$C50,'02_REFERENCE'!$S$2:$S$99,"YES")</f>
        <v>8.0</v>
      </c>
      <c r="E50" s="5" t="n">
        <f>COUNTIFS('04_MATCHING'!$B$2:$B$1026,$A50,'04_MATCHING'!$C$2:$C$1026,$B50,'04_MATCHING'!$H$2:$H$1026,"Primary TP",'04_MATCHING'!$D$2:$D$1026,$C50)</f>
        <v>5.0</v>
      </c>
      <c r="F50" s="5" t="n">
        <f>D50-E50</f>
        <v>3</v>
      </c>
      <c r="G50" s="25" t="n">
        <f>IFERROR(E50/D50,"")</f>
        <v>0.625</v>
      </c>
      <c r="H50" s="5" t="inlineStr">
        <is>
          <t>N/A</t>
        </is>
      </c>
      <c r="I50" s="5" t="inlineStr">
        <is>
          <t>N/A</t>
        </is>
      </c>
      <c r="J50" s="5" t="inlineStr">
        <is>
          <t>N/A</t>
        </is>
      </c>
      <c r="K50" s="5" t="inlineStr">
        <is>
          <t>N/A</t>
        </is>
      </c>
    </row>
    <row r="51">
      <c r="A51" s="5" t="inlineStr">
        <is>
          <t>CHATGPT</t>
        </is>
      </c>
      <c r="B51" s="5" t="inlineStr">
        <is>
          <t>S2</t>
        </is>
      </c>
      <c r="C51" s="5" t="inlineStr">
        <is>
          <t>Denial of Service</t>
        </is>
      </c>
      <c r="D51" s="5" t="n">
        <f>COUNTIFS('02_REFERENCE'!$B$2:$B$99,$B51,'02_REFERENCE'!$D$2:$D$99,$C51,'02_REFERENCE'!$S$2:$S$99,"YES")</f>
        <v>3.0</v>
      </c>
      <c r="E51" s="5" t="n">
        <f>COUNTIFS('04_MATCHING'!$B$2:$B$1026,$A51,'04_MATCHING'!$C$2:$C$1026,$B51,'04_MATCHING'!$H$2:$H$1026,"Primary TP",'04_MATCHING'!$D$2:$D$1026,$C51)</f>
        <v>3.0</v>
      </c>
      <c r="F51" s="5" t="n">
        <f>D51-E51</f>
        <v>0</v>
      </c>
      <c r="G51" s="25" t="n">
        <f>IFERROR(E51/D51,"")</f>
        <v>1</v>
      </c>
      <c r="H51" s="5" t="inlineStr">
        <is>
          <t>N/A</t>
        </is>
      </c>
      <c r="I51" s="5" t="inlineStr">
        <is>
          <t>N/A</t>
        </is>
      </c>
      <c r="J51" s="5" t="inlineStr">
        <is>
          <t>N/A</t>
        </is>
      </c>
      <c r="K51" s="5" t="inlineStr">
        <is>
          <t>N/A</t>
        </is>
      </c>
    </row>
    <row r="52">
      <c r="A52" s="5" t="inlineStr">
        <is>
          <t>CHATGPT</t>
        </is>
      </c>
      <c r="B52" s="5" t="inlineStr">
        <is>
          <t>S2</t>
        </is>
      </c>
      <c r="C52" s="5" t="inlineStr">
        <is>
          <t>Elevation of Privilege</t>
        </is>
      </c>
      <c r="D52" s="5" t="n">
        <f>COUNTIFS('02_REFERENCE'!$B$2:$B$99,$B52,'02_REFERENCE'!$D$2:$D$99,$C52,'02_REFERENCE'!$S$2:$S$99,"YES")</f>
        <v>6.0</v>
      </c>
      <c r="E52" s="5" t="n">
        <f>COUNTIFS('04_MATCHING'!$B$2:$B$1026,$A52,'04_MATCHING'!$C$2:$C$1026,$B52,'04_MATCHING'!$H$2:$H$1026,"Primary TP",'04_MATCHING'!$D$2:$D$1026,$C52)</f>
        <v>2.0</v>
      </c>
      <c r="F52" s="5" t="n">
        <f>D52-E52</f>
        <v>4</v>
      </c>
      <c r="G52" s="25" t="n">
        <f>IFERROR(E52/D52,"")</f>
        <v>0.3333333333333333</v>
      </c>
      <c r="H52" s="5" t="inlineStr">
        <is>
          <t>N/A</t>
        </is>
      </c>
      <c r="I52" s="5" t="inlineStr">
        <is>
          <t>N/A</t>
        </is>
      </c>
      <c r="J52" s="5" t="inlineStr">
        <is>
          <t>N/A</t>
        </is>
      </c>
      <c r="K52" s="5" t="inlineStr">
        <is>
          <t>N/A</t>
        </is>
      </c>
    </row>
    <row r="53">
      <c r="A53" s="5" t="inlineStr">
        <is>
          <t>CHATGPT</t>
        </is>
      </c>
      <c r="B53" s="5" t="inlineStr">
        <is>
          <t>S3</t>
        </is>
      </c>
      <c r="C53" s="5" t="inlineStr">
        <is>
          <t>Spoofing</t>
        </is>
      </c>
      <c r="D53" s="5" t="n">
        <f>COUNTIFS('02_REFERENCE'!$B$2:$B$99,$B53,'02_REFERENCE'!$D$2:$D$99,$C53,'02_REFERENCE'!$S$2:$S$99,"YES")</f>
        <v>7.0</v>
      </c>
      <c r="E53" s="5" t="n">
        <f>COUNTIFS('04_MATCHING'!$B$2:$B$1026,$A53,'04_MATCHING'!$C$2:$C$1026,$B53,'04_MATCHING'!$H$2:$H$1026,"Primary TP",'04_MATCHING'!$D$2:$D$1026,$C53)</f>
        <v>5.0</v>
      </c>
      <c r="F53" s="5" t="n">
        <f>D53-E53</f>
        <v>2</v>
      </c>
      <c r="G53" s="25" t="n">
        <f>IFERROR(E53/D53,"")</f>
        <v>0.7142857142857143</v>
      </c>
      <c r="H53" s="5" t="inlineStr">
        <is>
          <t>N/A</t>
        </is>
      </c>
      <c r="I53" s="5" t="inlineStr">
        <is>
          <t>N/A</t>
        </is>
      </c>
      <c r="J53" s="5" t="inlineStr">
        <is>
          <t>N/A</t>
        </is>
      </c>
      <c r="K53" s="5" t="inlineStr">
        <is>
          <t>N/A</t>
        </is>
      </c>
    </row>
    <row r="54">
      <c r="A54" s="5" t="inlineStr">
        <is>
          <t>CHATGPT</t>
        </is>
      </c>
      <c r="B54" s="5" t="inlineStr">
        <is>
          <t>S3</t>
        </is>
      </c>
      <c r="C54" s="5" t="inlineStr">
        <is>
          <t>Tampering</t>
        </is>
      </c>
      <c r="D54" s="5" t="n">
        <f>COUNTIFS('02_REFERENCE'!$B$2:$B$99,$B54,'02_REFERENCE'!$D$2:$D$99,$C54,'02_REFERENCE'!$S$2:$S$99,"YES")</f>
        <v>8.0</v>
      </c>
      <c r="E54" s="5" t="n">
        <f>COUNTIFS('04_MATCHING'!$B$2:$B$1026,$A54,'04_MATCHING'!$C$2:$C$1026,$B54,'04_MATCHING'!$H$2:$H$1026,"Primary TP",'04_MATCHING'!$D$2:$D$1026,$C54)</f>
        <v>2.0</v>
      </c>
      <c r="F54" s="5" t="n">
        <f>D54-E54</f>
        <v>6</v>
      </c>
      <c r="G54" s="25" t="n">
        <f>IFERROR(E54/D54,"")</f>
        <v>0.25</v>
      </c>
      <c r="H54" s="5" t="inlineStr">
        <is>
          <t>N/A</t>
        </is>
      </c>
      <c r="I54" s="5" t="inlineStr">
        <is>
          <t>N/A</t>
        </is>
      </c>
      <c r="J54" s="5" t="inlineStr">
        <is>
          <t>N/A</t>
        </is>
      </c>
      <c r="K54" s="5" t="inlineStr">
        <is>
          <t>N/A</t>
        </is>
      </c>
    </row>
    <row r="55">
      <c r="A55" s="5" t="inlineStr">
        <is>
          <t>CHATGPT</t>
        </is>
      </c>
      <c r="B55" s="5" t="inlineStr">
        <is>
          <t>S3</t>
        </is>
      </c>
      <c r="C55" s="5" t="inlineStr">
        <is>
          <t>Repudiation</t>
        </is>
      </c>
      <c r="D55" s="5" t="n">
        <f>COUNTIFS('02_REFERENCE'!$B$2:$B$99,$B55,'02_REFERENCE'!$D$2:$D$99,$C55,'02_REFERENCE'!$S$2:$S$99,"YES")</f>
        <v>1.0</v>
      </c>
      <c r="E55" s="5" t="n">
        <f>COUNTIFS('04_MATCHING'!$B$2:$B$1026,$A55,'04_MATCHING'!$C$2:$C$1026,$B55,'04_MATCHING'!$H$2:$H$1026,"Primary TP",'04_MATCHING'!$D$2:$D$1026,$C55)</f>
        <v>1.0</v>
      </c>
      <c r="F55" s="5" t="n">
        <f>D55-E55</f>
        <v>0</v>
      </c>
      <c r="G55" s="25" t="n">
        <f>IFERROR(E55/D55,"")</f>
        <v>1</v>
      </c>
      <c r="H55" s="5" t="inlineStr">
        <is>
          <t>N/A</t>
        </is>
      </c>
      <c r="I55" s="5" t="inlineStr">
        <is>
          <t>N/A</t>
        </is>
      </c>
      <c r="J55" s="5" t="inlineStr">
        <is>
          <t>N/A</t>
        </is>
      </c>
      <c r="K55" s="5" t="inlineStr">
        <is>
          <t>N/A</t>
        </is>
      </c>
    </row>
    <row r="56">
      <c r="A56" s="5" t="inlineStr">
        <is>
          <t>CHATGPT</t>
        </is>
      </c>
      <c r="B56" s="5" t="inlineStr">
        <is>
          <t>S3</t>
        </is>
      </c>
      <c r="C56" s="5" t="inlineStr">
        <is>
          <t>Information Disclosure</t>
        </is>
      </c>
      <c r="D56" s="5" t="n">
        <f>COUNTIFS('02_REFERENCE'!$B$2:$B$99,$B56,'02_REFERENCE'!$D$2:$D$99,$C56,'02_REFERENCE'!$S$2:$S$99,"YES")</f>
        <v>8.0</v>
      </c>
      <c r="E56" s="5" t="n">
        <f>COUNTIFS('04_MATCHING'!$B$2:$B$1026,$A56,'04_MATCHING'!$C$2:$C$1026,$B56,'04_MATCHING'!$H$2:$H$1026,"Primary TP",'04_MATCHING'!$D$2:$D$1026,$C56)</f>
        <v>4.0</v>
      </c>
      <c r="F56" s="5" t="n">
        <f>D56-E56</f>
        <v>4</v>
      </c>
      <c r="G56" s="25" t="n">
        <f>IFERROR(E56/D56,"")</f>
        <v>0.5</v>
      </c>
      <c r="H56" s="5" t="inlineStr">
        <is>
          <t>N/A</t>
        </is>
      </c>
      <c r="I56" s="5" t="inlineStr">
        <is>
          <t>N/A</t>
        </is>
      </c>
      <c r="J56" s="5" t="inlineStr">
        <is>
          <t>N/A</t>
        </is>
      </c>
      <c r="K56" s="5" t="inlineStr">
        <is>
          <t>N/A</t>
        </is>
      </c>
    </row>
    <row r="57">
      <c r="A57" s="5" t="inlineStr">
        <is>
          <t>CHATGPT</t>
        </is>
      </c>
      <c r="B57" s="5" t="inlineStr">
        <is>
          <t>S3</t>
        </is>
      </c>
      <c r="C57" s="5" t="inlineStr">
        <is>
          <t>Denial of Service</t>
        </is>
      </c>
      <c r="D57" s="5" t="n">
        <f>COUNTIFS('02_REFERENCE'!$B$2:$B$99,$B57,'02_REFERENCE'!$D$2:$D$99,$C57,'02_REFERENCE'!$S$2:$S$99,"YES")</f>
        <v>4.0</v>
      </c>
      <c r="E57" s="5" t="n">
        <f>COUNTIFS('04_MATCHING'!$B$2:$B$1026,$A57,'04_MATCHING'!$C$2:$C$1026,$B57,'04_MATCHING'!$H$2:$H$1026,"Primary TP",'04_MATCHING'!$D$2:$D$1026,$C57)</f>
        <v>3.0</v>
      </c>
      <c r="F57" s="5" t="n">
        <f>D57-E57</f>
        <v>1</v>
      </c>
      <c r="G57" s="25" t="n">
        <f>IFERROR(E57/D57,"")</f>
        <v>0.75</v>
      </c>
      <c r="H57" s="5" t="inlineStr">
        <is>
          <t>N/A</t>
        </is>
      </c>
      <c r="I57" s="5" t="inlineStr">
        <is>
          <t>N/A</t>
        </is>
      </c>
      <c r="J57" s="5" t="inlineStr">
        <is>
          <t>N/A</t>
        </is>
      </c>
      <c r="K57" s="5" t="inlineStr">
        <is>
          <t>N/A</t>
        </is>
      </c>
    </row>
    <row r="58">
      <c r="A58" s="5" t="inlineStr">
        <is>
          <t>CHATGPT</t>
        </is>
      </c>
      <c r="B58" s="5" t="inlineStr">
        <is>
          <t>S3</t>
        </is>
      </c>
      <c r="C58" s="5" t="inlineStr">
        <is>
          <t>Elevation of Privilege</t>
        </is>
      </c>
      <c r="D58" s="5" t="n">
        <f>COUNTIFS('02_REFERENCE'!$B$2:$B$99,$B58,'02_REFERENCE'!$D$2:$D$99,$C58,'02_REFERENCE'!$S$2:$S$99,"YES")</f>
        <v>5.0</v>
      </c>
      <c r="E58" s="5" t="n">
        <f>COUNTIFS('04_MATCHING'!$B$2:$B$1026,$A58,'04_MATCHING'!$C$2:$C$1026,$B58,'04_MATCHING'!$H$2:$H$1026,"Primary TP",'04_MATCHING'!$D$2:$D$1026,$C58)</f>
        <v>1.0</v>
      </c>
      <c r="F58" s="5" t="n">
        <f>D58-E58</f>
        <v>4</v>
      </c>
      <c r="G58" s="25" t="n">
        <f>IFERROR(E58/D58,"")</f>
        <v>0.2</v>
      </c>
      <c r="H58" s="5" t="inlineStr">
        <is>
          <t>N/A</t>
        </is>
      </c>
      <c r="I58" s="5" t="inlineStr">
        <is>
          <t>N/A</t>
        </is>
      </c>
      <c r="J58" s="5" t="inlineStr">
        <is>
          <t>N/A</t>
        </is>
      </c>
      <c r="K58" s="5" t="inlineStr">
        <is>
          <t>N/A</t>
        </is>
      </c>
    </row>
    <row r="59">
      <c r="A59" s="5" t="inlineStr">
        <is>
          <t>OLLAMA</t>
        </is>
      </c>
      <c r="B59" s="5" t="inlineStr">
        <is>
          <t>S1</t>
        </is>
      </c>
      <c r="C59" s="5" t="inlineStr">
        <is>
          <t>Spoofing</t>
        </is>
      </c>
      <c r="D59" s="5" t="n">
        <f>COUNTIFS('02_REFERENCE'!$B$2:$B$99,$B59,'02_REFERENCE'!$D$2:$D$99,$C59,'02_REFERENCE'!$S$2:$S$99,"YES")</f>
        <v>8.0</v>
      </c>
      <c r="E59" s="5" t="n">
        <f>COUNTIFS('04_MATCHING'!$B$2:$B$1026,$A59,'04_MATCHING'!$C$2:$C$1026,$B59,'04_MATCHING'!$H$2:$H$1026,"Primary TP",'04_MATCHING'!$D$2:$D$1026,$C59)</f>
        <v>2.0</v>
      </c>
      <c r="F59" s="5" t="n">
        <f>D59-E59</f>
        <v>6</v>
      </c>
      <c r="G59" s="25" t="n">
        <f>IFERROR(E59/D59,"")</f>
        <v>0.25</v>
      </c>
      <c r="H59" s="5" t="inlineStr">
        <is>
          <t>N/A</t>
        </is>
      </c>
      <c r="I59" s="5" t="inlineStr">
        <is>
          <t>N/A</t>
        </is>
      </c>
      <c r="J59" s="5" t="inlineStr">
        <is>
          <t>N/A</t>
        </is>
      </c>
      <c r="K59" s="5" t="inlineStr">
        <is>
          <t>N/A</t>
        </is>
      </c>
    </row>
    <row r="60">
      <c r="A60" s="5" t="inlineStr">
        <is>
          <t>OLLAMA</t>
        </is>
      </c>
      <c r="B60" s="5" t="inlineStr">
        <is>
          <t>S1</t>
        </is>
      </c>
      <c r="C60" s="5" t="inlineStr">
        <is>
          <t>Tampering</t>
        </is>
      </c>
      <c r="D60" s="5" t="n">
        <f>COUNTIFS('02_REFERENCE'!$B$2:$B$99,$B60,'02_REFERENCE'!$D$2:$D$99,$C60,'02_REFERENCE'!$S$2:$S$99,"YES")</f>
        <v>7.0</v>
      </c>
      <c r="E60" s="5" t="n">
        <f>COUNTIFS('04_MATCHING'!$B$2:$B$1026,$A60,'04_MATCHING'!$C$2:$C$1026,$B60,'04_MATCHING'!$H$2:$H$1026,"Primary TP",'04_MATCHING'!$D$2:$D$1026,$C60)</f>
        <v>3.0</v>
      </c>
      <c r="F60" s="5" t="n">
        <f>D60-E60</f>
        <v>4</v>
      </c>
      <c r="G60" s="25" t="n">
        <f>IFERROR(E60/D60,"")</f>
        <v>0.42857142857142855</v>
      </c>
      <c r="H60" s="5" t="inlineStr">
        <is>
          <t>N/A</t>
        </is>
      </c>
      <c r="I60" s="5" t="inlineStr">
        <is>
          <t>N/A</t>
        </is>
      </c>
      <c r="J60" s="5" t="inlineStr">
        <is>
          <t>N/A</t>
        </is>
      </c>
      <c r="K60" s="5" t="inlineStr">
        <is>
          <t>N/A</t>
        </is>
      </c>
    </row>
    <row r="61">
      <c r="A61" s="5" t="inlineStr">
        <is>
          <t>OLLAMA</t>
        </is>
      </c>
      <c r="B61" s="5" t="inlineStr">
        <is>
          <t>S1</t>
        </is>
      </c>
      <c r="C61" s="5" t="inlineStr">
        <is>
          <t>Repudiation</t>
        </is>
      </c>
      <c r="D61" s="5" t="n">
        <f>COUNTIFS('02_REFERENCE'!$B$2:$B$99,$B61,'02_REFERENCE'!$D$2:$D$99,$C61,'02_REFERENCE'!$S$2:$S$99,"YES")</f>
        <v>1.0</v>
      </c>
      <c r="E61" s="5" t="n">
        <f>COUNTIFS('04_MATCHING'!$B$2:$B$1026,$A61,'04_MATCHING'!$C$2:$C$1026,$B61,'04_MATCHING'!$H$2:$H$1026,"Primary TP",'04_MATCHING'!$D$2:$D$1026,$C61)</f>
        <v>0.0</v>
      </c>
      <c r="F61" s="5" t="n">
        <f>D61-E61</f>
        <v>1</v>
      </c>
      <c r="G61" s="25" t="n">
        <f>IFERROR(E61/D61,"")</f>
        <v>0</v>
      </c>
      <c r="H61" s="5" t="inlineStr">
        <is>
          <t>N/A</t>
        </is>
      </c>
      <c r="I61" s="5" t="inlineStr">
        <is>
          <t>N/A</t>
        </is>
      </c>
      <c r="J61" s="5" t="inlineStr">
        <is>
          <t>N/A</t>
        </is>
      </c>
      <c r="K61" s="5" t="inlineStr">
        <is>
          <t>N/A</t>
        </is>
      </c>
    </row>
    <row r="62">
      <c r="A62" s="5" t="inlineStr">
        <is>
          <t>OLLAMA</t>
        </is>
      </c>
      <c r="B62" s="5" t="inlineStr">
        <is>
          <t>S1</t>
        </is>
      </c>
      <c r="C62" s="5" t="inlineStr">
        <is>
          <t>Information Disclosure</t>
        </is>
      </c>
      <c r="D62" s="5" t="n">
        <f>COUNTIFS('02_REFERENCE'!$B$2:$B$99,$B62,'02_REFERENCE'!$D$2:$D$99,$C62,'02_REFERENCE'!$S$2:$S$99,"YES")</f>
        <v>10.0</v>
      </c>
      <c r="E62" s="5" t="n">
        <f>COUNTIFS('04_MATCHING'!$B$2:$B$1026,$A62,'04_MATCHING'!$C$2:$C$1026,$B62,'04_MATCHING'!$H$2:$H$1026,"Primary TP",'04_MATCHING'!$D$2:$D$1026,$C62)</f>
        <v>1.0</v>
      </c>
      <c r="F62" s="5" t="n">
        <f>D62-E62</f>
        <v>9</v>
      </c>
      <c r="G62" s="25" t="n">
        <f>IFERROR(E62/D62,"")</f>
        <v>0.1</v>
      </c>
      <c r="H62" s="5" t="inlineStr">
        <is>
          <t>N/A</t>
        </is>
      </c>
      <c r="I62" s="5" t="inlineStr">
        <is>
          <t>N/A</t>
        </is>
      </c>
      <c r="J62" s="5" t="inlineStr">
        <is>
          <t>N/A</t>
        </is>
      </c>
      <c r="K62" s="5" t="inlineStr">
        <is>
          <t>N/A</t>
        </is>
      </c>
    </row>
    <row r="63">
      <c r="A63" s="5" t="inlineStr">
        <is>
          <t>OLLAMA</t>
        </is>
      </c>
      <c r="B63" s="5" t="inlineStr">
        <is>
          <t>S1</t>
        </is>
      </c>
      <c r="C63" s="5" t="inlineStr">
        <is>
          <t>Denial of Service</t>
        </is>
      </c>
      <c r="D63" s="5" t="n">
        <f>COUNTIFS('02_REFERENCE'!$B$2:$B$99,$B63,'02_REFERENCE'!$D$2:$D$99,$C63,'02_REFERENCE'!$S$2:$S$99,"YES")</f>
        <v>3.0</v>
      </c>
      <c r="E63" s="5" t="n">
        <f>COUNTIFS('04_MATCHING'!$B$2:$B$1026,$A63,'04_MATCHING'!$C$2:$C$1026,$B63,'04_MATCHING'!$H$2:$H$1026,"Primary TP",'04_MATCHING'!$D$2:$D$1026,$C63)</f>
        <v>0.0</v>
      </c>
      <c r="F63" s="5" t="n">
        <f>D63-E63</f>
        <v>3</v>
      </c>
      <c r="G63" s="25" t="n">
        <f>IFERROR(E63/D63,"")</f>
        <v>0</v>
      </c>
      <c r="H63" s="5" t="inlineStr">
        <is>
          <t>N/A</t>
        </is>
      </c>
      <c r="I63" s="5" t="inlineStr">
        <is>
          <t>N/A</t>
        </is>
      </c>
      <c r="J63" s="5" t="inlineStr">
        <is>
          <t>N/A</t>
        </is>
      </c>
      <c r="K63" s="5" t="inlineStr">
        <is>
          <t>N/A</t>
        </is>
      </c>
    </row>
    <row r="64">
      <c r="A64" s="5" t="inlineStr">
        <is>
          <t>OLLAMA</t>
        </is>
      </c>
      <c r="B64" s="5" t="inlineStr">
        <is>
          <t>S1</t>
        </is>
      </c>
      <c r="C64" s="5" t="inlineStr">
        <is>
          <t>Elevation of Privilege</t>
        </is>
      </c>
      <c r="D64" s="5" t="n">
        <f>COUNTIFS('02_REFERENCE'!$B$2:$B$99,$B64,'02_REFERENCE'!$D$2:$D$99,$C64,'02_REFERENCE'!$S$2:$S$99,"YES")</f>
        <v>3.0</v>
      </c>
      <c r="E64" s="5" t="n">
        <f>COUNTIFS('04_MATCHING'!$B$2:$B$1026,$A64,'04_MATCHING'!$C$2:$C$1026,$B64,'04_MATCHING'!$H$2:$H$1026,"Primary TP",'04_MATCHING'!$D$2:$D$1026,$C64)</f>
        <v>0.0</v>
      </c>
      <c r="F64" s="5" t="n">
        <f>D64-E64</f>
        <v>3</v>
      </c>
      <c r="G64" s="25" t="n">
        <f>IFERROR(E64/D64,"")</f>
        <v>0</v>
      </c>
      <c r="H64" s="5" t="inlineStr">
        <is>
          <t>N/A</t>
        </is>
      </c>
      <c r="I64" s="5" t="inlineStr">
        <is>
          <t>N/A</t>
        </is>
      </c>
      <c r="J64" s="5" t="inlineStr">
        <is>
          <t>N/A</t>
        </is>
      </c>
      <c r="K64" s="5" t="inlineStr">
        <is>
          <t>N/A</t>
        </is>
      </c>
    </row>
    <row r="65">
      <c r="A65" s="5" t="inlineStr">
        <is>
          <t>OLLAMA</t>
        </is>
      </c>
      <c r="B65" s="5" t="inlineStr">
        <is>
          <t>S2</t>
        </is>
      </c>
      <c r="C65" s="5" t="inlineStr">
        <is>
          <t>Spoofing</t>
        </is>
      </c>
      <c r="D65" s="5" t="n">
        <f>COUNTIFS('02_REFERENCE'!$B$2:$B$99,$B65,'02_REFERENCE'!$D$2:$D$99,$C65,'02_REFERENCE'!$S$2:$S$99,"YES")</f>
        <v>3.0</v>
      </c>
      <c r="E65" s="5" t="n">
        <f>COUNTIFS('04_MATCHING'!$B$2:$B$1026,$A65,'04_MATCHING'!$C$2:$C$1026,$B65,'04_MATCHING'!$H$2:$H$1026,"Primary TP",'04_MATCHING'!$D$2:$D$1026,$C65)</f>
        <v>1.0</v>
      </c>
      <c r="F65" s="5" t="n">
        <f>D65-E65</f>
        <v>2</v>
      </c>
      <c r="G65" s="25" t="n">
        <f>IFERROR(E65/D65,"")</f>
        <v>0.3333333333333333</v>
      </c>
      <c r="H65" s="5" t="inlineStr">
        <is>
          <t>N/A</t>
        </is>
      </c>
      <c r="I65" s="5" t="inlineStr">
        <is>
          <t>N/A</t>
        </is>
      </c>
      <c r="J65" s="5" t="inlineStr">
        <is>
          <t>N/A</t>
        </is>
      </c>
      <c r="K65" s="5" t="inlineStr">
        <is>
          <t>N/A</t>
        </is>
      </c>
    </row>
    <row r="66">
      <c r="A66" s="5" t="inlineStr">
        <is>
          <t>OLLAMA</t>
        </is>
      </c>
      <c r="B66" s="5" t="inlineStr">
        <is>
          <t>S2</t>
        </is>
      </c>
      <c r="C66" s="5" t="inlineStr">
        <is>
          <t>Tampering</t>
        </is>
      </c>
      <c r="D66" s="5" t="n">
        <f>COUNTIFS('02_REFERENCE'!$B$2:$B$99,$B66,'02_REFERENCE'!$D$2:$D$99,$C66,'02_REFERENCE'!$S$2:$S$99,"YES")</f>
        <v>12.0</v>
      </c>
      <c r="E66" s="5" t="n">
        <f>COUNTIFS('04_MATCHING'!$B$2:$B$1026,$A66,'04_MATCHING'!$C$2:$C$1026,$B66,'04_MATCHING'!$H$2:$H$1026,"Primary TP",'04_MATCHING'!$D$2:$D$1026,$C66)</f>
        <v>3.0</v>
      </c>
      <c r="F66" s="5" t="n">
        <f>D66-E66</f>
        <v>9</v>
      </c>
      <c r="G66" s="25" t="n">
        <f>IFERROR(E66/D66,"")</f>
        <v>0.25</v>
      </c>
      <c r="H66" s="5" t="inlineStr">
        <is>
          <t>N/A</t>
        </is>
      </c>
      <c r="I66" s="5" t="inlineStr">
        <is>
          <t>N/A</t>
        </is>
      </c>
      <c r="J66" s="5" t="inlineStr">
        <is>
          <t>N/A</t>
        </is>
      </c>
      <c r="K66" s="5" t="inlineStr">
        <is>
          <t>N/A</t>
        </is>
      </c>
    </row>
    <row r="67">
      <c r="A67" s="5" t="inlineStr">
        <is>
          <t>OLLAMA</t>
        </is>
      </c>
      <c r="B67" s="5" t="inlineStr">
        <is>
          <t>S2</t>
        </is>
      </c>
      <c r="C67" s="5" t="inlineStr">
        <is>
          <t>Repudiation</t>
        </is>
      </c>
      <c r="D67" s="5" t="n">
        <f>COUNTIFS('02_REFERENCE'!$B$2:$B$99,$B67,'02_REFERENCE'!$D$2:$D$99,$C67,'02_REFERENCE'!$S$2:$S$99,"YES")</f>
        <v>1.0</v>
      </c>
      <c r="E67" s="5" t="n">
        <f>COUNTIFS('04_MATCHING'!$B$2:$B$1026,$A67,'04_MATCHING'!$C$2:$C$1026,$B67,'04_MATCHING'!$H$2:$H$1026,"Primary TP",'04_MATCHING'!$D$2:$D$1026,$C67)</f>
        <v>0.0</v>
      </c>
      <c r="F67" s="5" t="n">
        <f>D67-E67</f>
        <v>1</v>
      </c>
      <c r="G67" s="25" t="n">
        <f>IFERROR(E67/D67,"")</f>
        <v>0</v>
      </c>
      <c r="H67" s="5" t="inlineStr">
        <is>
          <t>N/A</t>
        </is>
      </c>
      <c r="I67" s="5" t="inlineStr">
        <is>
          <t>N/A</t>
        </is>
      </c>
      <c r="J67" s="5" t="inlineStr">
        <is>
          <t>N/A</t>
        </is>
      </c>
      <c r="K67" s="5" t="inlineStr">
        <is>
          <t>N/A</t>
        </is>
      </c>
    </row>
    <row r="68">
      <c r="A68" s="5" t="inlineStr">
        <is>
          <t>OLLAMA</t>
        </is>
      </c>
      <c r="B68" s="5" t="inlineStr">
        <is>
          <t>S2</t>
        </is>
      </c>
      <c r="C68" s="5" t="inlineStr">
        <is>
          <t>Information Disclosure</t>
        </is>
      </c>
      <c r="D68" s="5" t="n">
        <f>COUNTIFS('02_REFERENCE'!$B$2:$B$99,$B68,'02_REFERENCE'!$D$2:$D$99,$C68,'02_REFERENCE'!$S$2:$S$99,"YES")</f>
        <v>8.0</v>
      </c>
      <c r="E68" s="5" t="n">
        <f>COUNTIFS('04_MATCHING'!$B$2:$B$1026,$A68,'04_MATCHING'!$C$2:$C$1026,$B68,'04_MATCHING'!$H$2:$H$1026,"Primary TP",'04_MATCHING'!$D$2:$D$1026,$C68)</f>
        <v>2.0</v>
      </c>
      <c r="F68" s="5" t="n">
        <f>D68-E68</f>
        <v>6</v>
      </c>
      <c r="G68" s="25" t="n">
        <f>IFERROR(E68/D68,"")</f>
        <v>0.25</v>
      </c>
      <c r="H68" s="5" t="inlineStr">
        <is>
          <t>N/A</t>
        </is>
      </c>
      <c r="I68" s="5" t="inlineStr">
        <is>
          <t>N/A</t>
        </is>
      </c>
      <c r="J68" s="5" t="inlineStr">
        <is>
          <t>N/A</t>
        </is>
      </c>
      <c r="K68" s="5" t="inlineStr">
        <is>
          <t>N/A</t>
        </is>
      </c>
    </row>
    <row r="69">
      <c r="A69" s="5" t="inlineStr">
        <is>
          <t>OLLAMA</t>
        </is>
      </c>
      <c r="B69" s="5" t="inlineStr">
        <is>
          <t>S2</t>
        </is>
      </c>
      <c r="C69" s="5" t="inlineStr">
        <is>
          <t>Denial of Service</t>
        </is>
      </c>
      <c r="D69" s="5" t="n">
        <f>COUNTIFS('02_REFERENCE'!$B$2:$B$99,$B69,'02_REFERENCE'!$D$2:$D$99,$C69,'02_REFERENCE'!$S$2:$S$99,"YES")</f>
        <v>3.0</v>
      </c>
      <c r="E69" s="5" t="n">
        <f>COUNTIFS('04_MATCHING'!$B$2:$B$1026,$A69,'04_MATCHING'!$C$2:$C$1026,$B69,'04_MATCHING'!$H$2:$H$1026,"Primary TP",'04_MATCHING'!$D$2:$D$1026,$C69)</f>
        <v>0.0</v>
      </c>
      <c r="F69" s="5" t="n">
        <f>D69-E69</f>
        <v>3</v>
      </c>
      <c r="G69" s="25" t="n">
        <f>IFERROR(E69/D69,"")</f>
        <v>0</v>
      </c>
      <c r="H69" s="5" t="inlineStr">
        <is>
          <t>N/A</t>
        </is>
      </c>
      <c r="I69" s="5" t="inlineStr">
        <is>
          <t>N/A</t>
        </is>
      </c>
      <c r="J69" s="5" t="inlineStr">
        <is>
          <t>N/A</t>
        </is>
      </c>
      <c r="K69" s="5" t="inlineStr">
        <is>
          <t>N/A</t>
        </is>
      </c>
    </row>
    <row r="70">
      <c r="A70" s="5" t="inlineStr">
        <is>
          <t>OLLAMA</t>
        </is>
      </c>
      <c r="B70" s="5" t="inlineStr">
        <is>
          <t>S2</t>
        </is>
      </c>
      <c r="C70" s="5" t="inlineStr">
        <is>
          <t>Elevation of Privilege</t>
        </is>
      </c>
      <c r="D70" s="5" t="n">
        <f>COUNTIFS('02_REFERENCE'!$B$2:$B$99,$B70,'02_REFERENCE'!$D$2:$D$99,$C70,'02_REFERENCE'!$S$2:$S$99,"YES")</f>
        <v>6.0</v>
      </c>
      <c r="E70" s="5" t="n">
        <f>COUNTIFS('04_MATCHING'!$B$2:$B$1026,$A70,'04_MATCHING'!$C$2:$C$1026,$B70,'04_MATCHING'!$H$2:$H$1026,"Primary TP",'04_MATCHING'!$D$2:$D$1026,$C70)</f>
        <v>1.0</v>
      </c>
      <c r="F70" s="5" t="n">
        <f>D70-E70</f>
        <v>5</v>
      </c>
      <c r="G70" s="25" t="n">
        <f>IFERROR(E70/D70,"")</f>
        <v>0.16666666666666666</v>
      </c>
      <c r="H70" s="5" t="inlineStr">
        <is>
          <t>N/A</t>
        </is>
      </c>
      <c r="I70" s="5" t="inlineStr">
        <is>
          <t>N/A</t>
        </is>
      </c>
      <c r="J70" s="5" t="inlineStr">
        <is>
          <t>N/A</t>
        </is>
      </c>
      <c r="K70" s="5" t="inlineStr">
        <is>
          <t>N/A</t>
        </is>
      </c>
    </row>
    <row r="71">
      <c r="A71" s="5" t="inlineStr">
        <is>
          <t>OLLAMA</t>
        </is>
      </c>
      <c r="B71" s="5" t="inlineStr">
        <is>
          <t>S3</t>
        </is>
      </c>
      <c r="C71" s="5" t="inlineStr">
        <is>
          <t>Spoofing</t>
        </is>
      </c>
      <c r="D71" s="5" t="n">
        <f>COUNTIFS('02_REFERENCE'!$B$2:$B$99,$B71,'02_REFERENCE'!$D$2:$D$99,$C71,'02_REFERENCE'!$S$2:$S$99,"YES")</f>
        <v>7.0</v>
      </c>
      <c r="E71" s="5" t="n">
        <f>COUNTIFS('04_MATCHING'!$B$2:$B$1026,$A71,'04_MATCHING'!$C$2:$C$1026,$B71,'04_MATCHING'!$H$2:$H$1026,"Primary TP",'04_MATCHING'!$D$2:$D$1026,$C71)</f>
        <v>3.0</v>
      </c>
      <c r="F71" s="5" t="n">
        <f>D71-E71</f>
        <v>4</v>
      </c>
      <c r="G71" s="25" t="n">
        <f>IFERROR(E71/D71,"")</f>
        <v>0.42857142857142855</v>
      </c>
      <c r="H71" s="5" t="inlineStr">
        <is>
          <t>N/A</t>
        </is>
      </c>
      <c r="I71" s="5" t="inlineStr">
        <is>
          <t>N/A</t>
        </is>
      </c>
      <c r="J71" s="5" t="inlineStr">
        <is>
          <t>N/A</t>
        </is>
      </c>
      <c r="K71" s="5" t="inlineStr">
        <is>
          <t>N/A</t>
        </is>
      </c>
    </row>
    <row r="72">
      <c r="A72" s="5" t="inlineStr">
        <is>
          <t>OLLAMA</t>
        </is>
      </c>
      <c r="B72" s="5" t="inlineStr">
        <is>
          <t>S3</t>
        </is>
      </c>
      <c r="C72" s="5" t="inlineStr">
        <is>
          <t>Tampering</t>
        </is>
      </c>
      <c r="D72" s="5" t="n">
        <f>COUNTIFS('02_REFERENCE'!$B$2:$B$99,$B72,'02_REFERENCE'!$D$2:$D$99,$C72,'02_REFERENCE'!$S$2:$S$99,"YES")</f>
        <v>8.0</v>
      </c>
      <c r="E72" s="5" t="n">
        <f>COUNTIFS('04_MATCHING'!$B$2:$B$1026,$A72,'04_MATCHING'!$C$2:$C$1026,$B72,'04_MATCHING'!$H$2:$H$1026,"Primary TP",'04_MATCHING'!$D$2:$D$1026,$C72)</f>
        <v>2.0</v>
      </c>
      <c r="F72" s="5" t="n">
        <f>D72-E72</f>
        <v>6</v>
      </c>
      <c r="G72" s="25" t="n">
        <f>IFERROR(E72/D72,"")</f>
        <v>0.25</v>
      </c>
      <c r="H72" s="5" t="inlineStr">
        <is>
          <t>N/A</t>
        </is>
      </c>
      <c r="I72" s="5" t="inlineStr">
        <is>
          <t>N/A</t>
        </is>
      </c>
      <c r="J72" s="5" t="inlineStr">
        <is>
          <t>N/A</t>
        </is>
      </c>
      <c r="K72" s="5" t="inlineStr">
        <is>
          <t>N/A</t>
        </is>
      </c>
    </row>
    <row r="73">
      <c r="A73" s="5" t="inlineStr">
        <is>
          <t>OLLAMA</t>
        </is>
      </c>
      <c r="B73" s="5" t="inlineStr">
        <is>
          <t>S3</t>
        </is>
      </c>
      <c r="C73" s="5" t="inlineStr">
        <is>
          <t>Repudiation</t>
        </is>
      </c>
      <c r="D73" s="5" t="n">
        <f>COUNTIFS('02_REFERENCE'!$B$2:$B$99,$B73,'02_REFERENCE'!$D$2:$D$99,$C73,'02_REFERENCE'!$S$2:$S$99,"YES")</f>
        <v>1.0</v>
      </c>
      <c r="E73" s="5" t="n">
        <f>COUNTIFS('04_MATCHING'!$B$2:$B$1026,$A73,'04_MATCHING'!$C$2:$C$1026,$B73,'04_MATCHING'!$H$2:$H$1026,"Primary TP",'04_MATCHING'!$D$2:$D$1026,$C73)</f>
        <v>0.0</v>
      </c>
      <c r="F73" s="5" t="n">
        <f>D73-E73</f>
        <v>1</v>
      </c>
      <c r="G73" s="25" t="n">
        <f>IFERROR(E73/D73,"")</f>
        <v>0</v>
      </c>
      <c r="H73" s="5" t="inlineStr">
        <is>
          <t>N/A</t>
        </is>
      </c>
      <c r="I73" s="5" t="inlineStr">
        <is>
          <t>N/A</t>
        </is>
      </c>
      <c r="J73" s="5" t="inlineStr">
        <is>
          <t>N/A</t>
        </is>
      </c>
      <c r="K73" s="5" t="inlineStr">
        <is>
          <t>N/A</t>
        </is>
      </c>
    </row>
    <row r="74">
      <c r="A74" s="5" t="inlineStr">
        <is>
          <t>OLLAMA</t>
        </is>
      </c>
      <c r="B74" s="5" t="inlineStr">
        <is>
          <t>S3</t>
        </is>
      </c>
      <c r="C74" s="5" t="inlineStr">
        <is>
          <t>Information Disclosure</t>
        </is>
      </c>
      <c r="D74" s="5" t="n">
        <f>COUNTIFS('02_REFERENCE'!$B$2:$B$99,$B74,'02_REFERENCE'!$D$2:$D$99,$C74,'02_REFERENCE'!$S$2:$S$99,"YES")</f>
        <v>8.0</v>
      </c>
      <c r="E74" s="5" t="n">
        <f>COUNTIFS('04_MATCHING'!$B$2:$B$1026,$A74,'04_MATCHING'!$C$2:$C$1026,$B74,'04_MATCHING'!$H$2:$H$1026,"Primary TP",'04_MATCHING'!$D$2:$D$1026,$C74)</f>
        <v>0.0</v>
      </c>
      <c r="F74" s="5" t="n">
        <f>D74-E74</f>
        <v>8</v>
      </c>
      <c r="G74" s="25" t="n">
        <f>IFERROR(E74/D74,"")</f>
        <v>0</v>
      </c>
      <c r="H74" s="5" t="inlineStr">
        <is>
          <t>N/A</t>
        </is>
      </c>
      <c r="I74" s="5" t="inlineStr">
        <is>
          <t>N/A</t>
        </is>
      </c>
      <c r="J74" s="5" t="inlineStr">
        <is>
          <t>N/A</t>
        </is>
      </c>
      <c r="K74" s="5" t="inlineStr">
        <is>
          <t>N/A</t>
        </is>
      </c>
    </row>
    <row r="75">
      <c r="A75" s="5" t="inlineStr">
        <is>
          <t>OLLAMA</t>
        </is>
      </c>
      <c r="B75" s="5" t="inlineStr">
        <is>
          <t>S3</t>
        </is>
      </c>
      <c r="C75" s="5" t="inlineStr">
        <is>
          <t>Denial of Service</t>
        </is>
      </c>
      <c r="D75" s="5" t="n">
        <f>COUNTIFS('02_REFERENCE'!$B$2:$B$99,$B75,'02_REFERENCE'!$D$2:$D$99,$C75,'02_REFERENCE'!$S$2:$S$99,"YES")</f>
        <v>4.0</v>
      </c>
      <c r="E75" s="5" t="n">
        <f>COUNTIFS('04_MATCHING'!$B$2:$B$1026,$A75,'04_MATCHING'!$C$2:$C$1026,$B75,'04_MATCHING'!$H$2:$H$1026,"Primary TP",'04_MATCHING'!$D$2:$D$1026,$C75)</f>
        <v>1.0</v>
      </c>
      <c r="F75" s="5" t="n">
        <f>D75-E75</f>
        <v>3</v>
      </c>
      <c r="G75" s="25" t="n">
        <f>IFERROR(E75/D75,"")</f>
        <v>0.25</v>
      </c>
      <c r="H75" s="5" t="inlineStr">
        <is>
          <t>N/A</t>
        </is>
      </c>
      <c r="I75" s="5" t="inlineStr">
        <is>
          <t>N/A</t>
        </is>
      </c>
      <c r="J75" s="5" t="inlineStr">
        <is>
          <t>N/A</t>
        </is>
      </c>
      <c r="K75" s="5" t="inlineStr">
        <is>
          <t>N/A</t>
        </is>
      </c>
    </row>
    <row r="76">
      <c r="A76" s="5" t="inlineStr">
        <is>
          <t>OLLAMA</t>
        </is>
      </c>
      <c r="B76" s="5" t="inlineStr">
        <is>
          <t>S3</t>
        </is>
      </c>
      <c r="C76" s="5" t="inlineStr">
        <is>
          <t>Elevation of Privilege</t>
        </is>
      </c>
      <c r="D76" s="5" t="n">
        <f>COUNTIFS('02_REFERENCE'!$B$2:$B$99,$B76,'02_REFERENCE'!$D$2:$D$99,$C76,'02_REFERENCE'!$S$2:$S$99,"YES")</f>
        <v>5.0</v>
      </c>
      <c r="E76" s="5" t="n">
        <f>COUNTIFS('04_MATCHING'!$B$2:$B$1026,$A76,'04_MATCHING'!$C$2:$C$1026,$B76,'04_MATCHING'!$H$2:$H$1026,"Primary TP",'04_MATCHING'!$D$2:$D$1026,$C76)</f>
        <v>1.0</v>
      </c>
      <c r="F76" s="5" t="n">
        <f>D76-E76</f>
        <v>4</v>
      </c>
      <c r="G76" s="25" t="n">
        <f>IFERROR(E76/D76,"")</f>
        <v>0.2</v>
      </c>
      <c r="H76" s="5" t="inlineStr">
        <is>
          <t>N/A</t>
        </is>
      </c>
      <c r="I76" s="5" t="inlineStr">
        <is>
          <t>N/A</t>
        </is>
      </c>
      <c r="J76" s="5" t="inlineStr">
        <is>
          <t>N/A</t>
        </is>
      </c>
      <c r="K76" s="5" t="inlineStr">
        <is>
          <t>N/A</t>
        </is>
      </c>
    </row>
    <row r="77">
      <c r="A77" s="5" t="inlineStr">
        <is>
          <t>THREMOLIA</t>
        </is>
      </c>
      <c r="B77" s="5" t="inlineStr">
        <is>
          <t>S1</t>
        </is>
      </c>
      <c r="C77" s="5" t="inlineStr">
        <is>
          <t>Spoofing</t>
        </is>
      </c>
      <c r="D77" s="5" t="n">
        <f>COUNTIFS('02_REFERENCE'!$B$2:$B$99,$B77,'02_REFERENCE'!$D$2:$D$99,$C77,'02_REFERENCE'!$S$2:$S$99,"YES")</f>
        <v>8.0</v>
      </c>
      <c r="E77" s="5" t="n">
        <f>COUNTIFS('04_MATCHING'!$B$2:$B$1026,$A77,'04_MATCHING'!$C$2:$C$1026,$B77,'04_MATCHING'!$H$2:$H$1026,"Primary TP",'04_MATCHING'!$D$2:$D$1026,$C77)</f>
        <v>7.0</v>
      </c>
      <c r="F77" s="5" t="n">
        <f>D77-E77</f>
        <v>1</v>
      </c>
      <c r="G77" s="25" t="n">
        <f>IFERROR(E77/D77,"")</f>
        <v>0.875</v>
      </c>
      <c r="H77" s="5" t="inlineStr">
        <is>
          <t>N/A</t>
        </is>
      </c>
      <c r="I77" s="5" t="inlineStr">
        <is>
          <t>N/A</t>
        </is>
      </c>
      <c r="J77" s="5" t="inlineStr">
        <is>
          <t>N/A</t>
        </is>
      </c>
      <c r="K77" s="5" t="inlineStr">
        <is>
          <t>N/A</t>
        </is>
      </c>
    </row>
    <row r="78">
      <c r="A78" s="5" t="inlineStr">
        <is>
          <t>THREMOLIA</t>
        </is>
      </c>
      <c r="B78" s="5" t="inlineStr">
        <is>
          <t>S1</t>
        </is>
      </c>
      <c r="C78" s="5" t="inlineStr">
        <is>
          <t>Tampering</t>
        </is>
      </c>
      <c r="D78" s="5" t="n">
        <f>COUNTIFS('02_REFERENCE'!$B$2:$B$99,$B78,'02_REFERENCE'!$D$2:$D$99,$C78,'02_REFERENCE'!$S$2:$S$99,"YES")</f>
        <v>7.0</v>
      </c>
      <c r="E78" s="5" t="n">
        <f>COUNTIFS('04_MATCHING'!$B$2:$B$1026,$A78,'04_MATCHING'!$C$2:$C$1026,$B78,'04_MATCHING'!$H$2:$H$1026,"Primary TP",'04_MATCHING'!$D$2:$D$1026,$C78)</f>
        <v>6.0</v>
      </c>
      <c r="F78" s="5" t="n">
        <f>D78-E78</f>
        <v>1</v>
      </c>
      <c r="G78" s="25" t="n">
        <f>IFERROR(E78/D78,"")</f>
        <v>0.8571428571428571</v>
      </c>
      <c r="H78" s="5" t="inlineStr">
        <is>
          <t>N/A</t>
        </is>
      </c>
      <c r="I78" s="5" t="inlineStr">
        <is>
          <t>N/A</t>
        </is>
      </c>
      <c r="J78" s="5" t="inlineStr">
        <is>
          <t>N/A</t>
        </is>
      </c>
      <c r="K78" s="5" t="inlineStr">
        <is>
          <t>N/A</t>
        </is>
      </c>
    </row>
    <row r="79">
      <c r="A79" s="5" t="inlineStr">
        <is>
          <t>THREMOLIA</t>
        </is>
      </c>
      <c r="B79" s="5" t="inlineStr">
        <is>
          <t>S1</t>
        </is>
      </c>
      <c r="C79" s="5" t="inlineStr">
        <is>
          <t>Repudiation</t>
        </is>
      </c>
      <c r="D79" s="5" t="n">
        <f>COUNTIFS('02_REFERENCE'!$B$2:$B$99,$B79,'02_REFERENCE'!$D$2:$D$99,$C79,'02_REFERENCE'!$S$2:$S$99,"YES")</f>
        <v>1.0</v>
      </c>
      <c r="E79" s="5" t="n">
        <f>COUNTIFS('04_MATCHING'!$B$2:$B$1026,$A79,'04_MATCHING'!$C$2:$C$1026,$B79,'04_MATCHING'!$H$2:$H$1026,"Primary TP",'04_MATCHING'!$D$2:$D$1026,$C79)</f>
        <v>1.0</v>
      </c>
      <c r="F79" s="5" t="n">
        <f>D79-E79</f>
        <v>0</v>
      </c>
      <c r="G79" s="25" t="n">
        <f>IFERROR(E79/D79,"")</f>
        <v>1</v>
      </c>
      <c r="H79" s="5" t="inlineStr">
        <is>
          <t>N/A</t>
        </is>
      </c>
      <c r="I79" s="5" t="inlineStr">
        <is>
          <t>N/A</t>
        </is>
      </c>
      <c r="J79" s="5" t="inlineStr">
        <is>
          <t>N/A</t>
        </is>
      </c>
      <c r="K79" s="5" t="inlineStr">
        <is>
          <t>N/A</t>
        </is>
      </c>
    </row>
    <row r="80">
      <c r="A80" s="5" t="inlineStr">
        <is>
          <t>THREMOLIA</t>
        </is>
      </c>
      <c r="B80" s="5" t="inlineStr">
        <is>
          <t>S1</t>
        </is>
      </c>
      <c r="C80" s="5" t="inlineStr">
        <is>
          <t>Information Disclosure</t>
        </is>
      </c>
      <c r="D80" s="5" t="n">
        <f>COUNTIFS('02_REFERENCE'!$B$2:$B$99,$B80,'02_REFERENCE'!$D$2:$D$99,$C80,'02_REFERENCE'!$S$2:$S$99,"YES")</f>
        <v>10.0</v>
      </c>
      <c r="E80" s="5" t="n">
        <f>COUNTIFS('04_MATCHING'!$B$2:$B$1026,$A80,'04_MATCHING'!$C$2:$C$1026,$B80,'04_MATCHING'!$H$2:$H$1026,"Primary TP",'04_MATCHING'!$D$2:$D$1026,$C80)</f>
        <v>8.0</v>
      </c>
      <c r="F80" s="5" t="n">
        <f>D80-E80</f>
        <v>2</v>
      </c>
      <c r="G80" s="25" t="n">
        <f>IFERROR(E80/D80,"")</f>
        <v>0.8</v>
      </c>
      <c r="H80" s="5" t="inlineStr">
        <is>
          <t>N/A</t>
        </is>
      </c>
      <c r="I80" s="5" t="inlineStr">
        <is>
          <t>N/A</t>
        </is>
      </c>
      <c r="J80" s="5" t="inlineStr">
        <is>
          <t>N/A</t>
        </is>
      </c>
      <c r="K80" s="5" t="inlineStr">
        <is>
          <t>N/A</t>
        </is>
      </c>
    </row>
    <row r="81">
      <c r="A81" s="5" t="inlineStr">
        <is>
          <t>THREMOLIA</t>
        </is>
      </c>
      <c r="B81" s="5" t="inlineStr">
        <is>
          <t>S1</t>
        </is>
      </c>
      <c r="C81" s="5" t="inlineStr">
        <is>
          <t>Denial of Service</t>
        </is>
      </c>
      <c r="D81" s="5" t="n">
        <f>COUNTIFS('02_REFERENCE'!$B$2:$B$99,$B81,'02_REFERENCE'!$D$2:$D$99,$C81,'02_REFERENCE'!$S$2:$S$99,"YES")</f>
        <v>3.0</v>
      </c>
      <c r="E81" s="5" t="n">
        <f>COUNTIFS('04_MATCHING'!$B$2:$B$1026,$A81,'04_MATCHING'!$C$2:$C$1026,$B81,'04_MATCHING'!$H$2:$H$1026,"Primary TP",'04_MATCHING'!$D$2:$D$1026,$C81)</f>
        <v>3.0</v>
      </c>
      <c r="F81" s="5" t="n">
        <f>D81-E81</f>
        <v>0</v>
      </c>
      <c r="G81" s="25" t="n">
        <f>IFERROR(E81/D81,"")</f>
        <v>1</v>
      </c>
      <c r="H81" s="5" t="inlineStr">
        <is>
          <t>N/A</t>
        </is>
      </c>
      <c r="I81" s="5" t="inlineStr">
        <is>
          <t>N/A</t>
        </is>
      </c>
      <c r="J81" s="5" t="inlineStr">
        <is>
          <t>N/A</t>
        </is>
      </c>
      <c r="K81" s="5" t="inlineStr">
        <is>
          <t>N/A</t>
        </is>
      </c>
    </row>
    <row r="82">
      <c r="A82" s="5" t="inlineStr">
        <is>
          <t>THREMOLIA</t>
        </is>
      </c>
      <c r="B82" s="5" t="inlineStr">
        <is>
          <t>S1</t>
        </is>
      </c>
      <c r="C82" s="5" t="inlineStr">
        <is>
          <t>Elevation of Privilege</t>
        </is>
      </c>
      <c r="D82" s="5" t="n">
        <f>COUNTIFS('02_REFERENCE'!$B$2:$B$99,$B82,'02_REFERENCE'!$D$2:$D$99,$C82,'02_REFERENCE'!$S$2:$S$99,"YES")</f>
        <v>3.0</v>
      </c>
      <c r="E82" s="5" t="n">
        <f>COUNTIFS('04_MATCHING'!$B$2:$B$1026,$A82,'04_MATCHING'!$C$2:$C$1026,$B82,'04_MATCHING'!$H$2:$H$1026,"Primary TP",'04_MATCHING'!$D$2:$D$1026,$C82)</f>
        <v>1.0</v>
      </c>
      <c r="F82" s="5" t="n">
        <f>D82-E82</f>
        <v>2</v>
      </c>
      <c r="G82" s="25" t="n">
        <f>IFERROR(E82/D82,"")</f>
        <v>0.3333333333333333</v>
      </c>
      <c r="H82" s="5" t="inlineStr">
        <is>
          <t>N/A</t>
        </is>
      </c>
      <c r="I82" s="5" t="inlineStr">
        <is>
          <t>N/A</t>
        </is>
      </c>
      <c r="J82" s="5" t="inlineStr">
        <is>
          <t>N/A</t>
        </is>
      </c>
      <c r="K82" s="5" t="inlineStr">
        <is>
          <t>N/A</t>
        </is>
      </c>
    </row>
    <row r="83">
      <c r="A83" s="5" t="inlineStr">
        <is>
          <t>THREMOLIA</t>
        </is>
      </c>
      <c r="B83" s="5" t="inlineStr">
        <is>
          <t>S2</t>
        </is>
      </c>
      <c r="C83" s="5" t="inlineStr">
        <is>
          <t>Spoofing</t>
        </is>
      </c>
      <c r="D83" s="5" t="n">
        <f>COUNTIFS('02_REFERENCE'!$B$2:$B$99,$B83,'02_REFERENCE'!$D$2:$D$99,$C83,'02_REFERENCE'!$S$2:$S$99,"YES")</f>
        <v>3.0</v>
      </c>
      <c r="E83" s="5" t="n">
        <f>COUNTIFS('04_MATCHING'!$B$2:$B$1026,$A83,'04_MATCHING'!$C$2:$C$1026,$B83,'04_MATCHING'!$H$2:$H$1026,"Primary TP",'04_MATCHING'!$D$2:$D$1026,$C83)</f>
        <v>3.0</v>
      </c>
      <c r="F83" s="5" t="n">
        <f>D83-E83</f>
        <v>0</v>
      </c>
      <c r="G83" s="25" t="n">
        <f>IFERROR(E83/D83,"")</f>
        <v>1</v>
      </c>
      <c r="H83" s="5" t="inlineStr">
        <is>
          <t>N/A</t>
        </is>
      </c>
      <c r="I83" s="5" t="inlineStr">
        <is>
          <t>N/A</t>
        </is>
      </c>
      <c r="J83" s="5" t="inlineStr">
        <is>
          <t>N/A</t>
        </is>
      </c>
      <c r="K83" s="5" t="inlineStr">
        <is>
          <t>N/A</t>
        </is>
      </c>
    </row>
    <row r="84">
      <c r="A84" s="5" t="inlineStr">
        <is>
          <t>THREMOLIA</t>
        </is>
      </c>
      <c r="B84" s="5" t="inlineStr">
        <is>
          <t>S2</t>
        </is>
      </c>
      <c r="C84" s="5" t="inlineStr">
        <is>
          <t>Tampering</t>
        </is>
      </c>
      <c r="D84" s="5" t="n">
        <f>COUNTIFS('02_REFERENCE'!$B$2:$B$99,$B84,'02_REFERENCE'!$D$2:$D$99,$C84,'02_REFERENCE'!$S$2:$S$99,"YES")</f>
        <v>12.0</v>
      </c>
      <c r="E84" s="5" t="n">
        <f>COUNTIFS('04_MATCHING'!$B$2:$B$1026,$A84,'04_MATCHING'!$C$2:$C$1026,$B84,'04_MATCHING'!$H$2:$H$1026,"Primary TP",'04_MATCHING'!$D$2:$D$1026,$C84)</f>
        <v>9.0</v>
      </c>
      <c r="F84" s="5" t="n">
        <f>D84-E84</f>
        <v>3</v>
      </c>
      <c r="G84" s="25" t="n">
        <f>IFERROR(E84/D84,"")</f>
        <v>0.75</v>
      </c>
      <c r="H84" s="5" t="inlineStr">
        <is>
          <t>N/A</t>
        </is>
      </c>
      <c r="I84" s="5" t="inlineStr">
        <is>
          <t>N/A</t>
        </is>
      </c>
      <c r="J84" s="5" t="inlineStr">
        <is>
          <t>N/A</t>
        </is>
      </c>
      <c r="K84" s="5" t="inlineStr">
        <is>
          <t>N/A</t>
        </is>
      </c>
    </row>
    <row r="85">
      <c r="A85" s="5" t="inlineStr">
        <is>
          <t>THREMOLIA</t>
        </is>
      </c>
      <c r="B85" s="5" t="inlineStr">
        <is>
          <t>S2</t>
        </is>
      </c>
      <c r="C85" s="5" t="inlineStr">
        <is>
          <t>Repudiation</t>
        </is>
      </c>
      <c r="D85" s="5" t="n">
        <f>COUNTIFS('02_REFERENCE'!$B$2:$B$99,$B85,'02_REFERENCE'!$D$2:$D$99,$C85,'02_REFERENCE'!$S$2:$S$99,"YES")</f>
        <v>1.0</v>
      </c>
      <c r="E85" s="5" t="n">
        <f>COUNTIFS('04_MATCHING'!$B$2:$B$1026,$A85,'04_MATCHING'!$C$2:$C$1026,$B85,'04_MATCHING'!$H$2:$H$1026,"Primary TP",'04_MATCHING'!$D$2:$D$1026,$C85)</f>
        <v>1.0</v>
      </c>
      <c r="F85" s="5" t="n">
        <f>D85-E85</f>
        <v>0</v>
      </c>
      <c r="G85" s="25" t="n">
        <f>IFERROR(E85/D85,"")</f>
        <v>1</v>
      </c>
      <c r="H85" s="5" t="inlineStr">
        <is>
          <t>N/A</t>
        </is>
      </c>
      <c r="I85" s="5" t="inlineStr">
        <is>
          <t>N/A</t>
        </is>
      </c>
      <c r="J85" s="5" t="inlineStr">
        <is>
          <t>N/A</t>
        </is>
      </c>
      <c r="K85" s="5" t="inlineStr">
        <is>
          <t>N/A</t>
        </is>
      </c>
    </row>
    <row r="86">
      <c r="A86" s="5" t="inlineStr">
        <is>
          <t>THREMOLIA</t>
        </is>
      </c>
      <c r="B86" s="5" t="inlineStr">
        <is>
          <t>S2</t>
        </is>
      </c>
      <c r="C86" s="5" t="inlineStr">
        <is>
          <t>Information Disclosure</t>
        </is>
      </c>
      <c r="D86" s="5" t="n">
        <f>COUNTIFS('02_REFERENCE'!$B$2:$B$99,$B86,'02_REFERENCE'!$D$2:$D$99,$C86,'02_REFERENCE'!$S$2:$S$99,"YES")</f>
        <v>8.0</v>
      </c>
      <c r="E86" s="5" t="n">
        <f>COUNTIFS('04_MATCHING'!$B$2:$B$1026,$A86,'04_MATCHING'!$C$2:$C$1026,$B86,'04_MATCHING'!$H$2:$H$1026,"Primary TP",'04_MATCHING'!$D$2:$D$1026,$C86)</f>
        <v>3.0</v>
      </c>
      <c r="F86" s="5" t="n">
        <f>D86-E86</f>
        <v>5</v>
      </c>
      <c r="G86" s="25" t="n">
        <f>IFERROR(E86/D86,"")</f>
        <v>0.375</v>
      </c>
      <c r="H86" s="5" t="inlineStr">
        <is>
          <t>N/A</t>
        </is>
      </c>
      <c r="I86" s="5" t="inlineStr">
        <is>
          <t>N/A</t>
        </is>
      </c>
      <c r="J86" s="5" t="inlineStr">
        <is>
          <t>N/A</t>
        </is>
      </c>
      <c r="K86" s="5" t="inlineStr">
        <is>
          <t>N/A</t>
        </is>
      </c>
    </row>
    <row r="87">
      <c r="A87" s="5" t="inlineStr">
        <is>
          <t>THREMOLIA</t>
        </is>
      </c>
      <c r="B87" s="5" t="inlineStr">
        <is>
          <t>S2</t>
        </is>
      </c>
      <c r="C87" s="5" t="inlineStr">
        <is>
          <t>Denial of Service</t>
        </is>
      </c>
      <c r="D87" s="5" t="n">
        <f>COUNTIFS('02_REFERENCE'!$B$2:$B$99,$B87,'02_REFERENCE'!$D$2:$D$99,$C87,'02_REFERENCE'!$S$2:$S$99,"YES")</f>
        <v>3.0</v>
      </c>
      <c r="E87" s="5" t="n">
        <f>COUNTIFS('04_MATCHING'!$B$2:$B$1026,$A87,'04_MATCHING'!$C$2:$C$1026,$B87,'04_MATCHING'!$H$2:$H$1026,"Primary TP",'04_MATCHING'!$D$2:$D$1026,$C87)</f>
        <v>3.0</v>
      </c>
      <c r="F87" s="5" t="n">
        <f>D87-E87</f>
        <v>0</v>
      </c>
      <c r="G87" s="25" t="n">
        <f>IFERROR(E87/D87,"")</f>
        <v>1</v>
      </c>
      <c r="H87" s="5" t="inlineStr">
        <is>
          <t>N/A</t>
        </is>
      </c>
      <c r="I87" s="5" t="inlineStr">
        <is>
          <t>N/A</t>
        </is>
      </c>
      <c r="J87" s="5" t="inlineStr">
        <is>
          <t>N/A</t>
        </is>
      </c>
      <c r="K87" s="5" t="inlineStr">
        <is>
          <t>N/A</t>
        </is>
      </c>
    </row>
    <row r="88">
      <c r="A88" s="5" t="inlineStr">
        <is>
          <t>THREMOLIA</t>
        </is>
      </c>
      <c r="B88" s="5" t="inlineStr">
        <is>
          <t>S2</t>
        </is>
      </c>
      <c r="C88" s="5" t="inlineStr">
        <is>
          <t>Elevation of Privilege</t>
        </is>
      </c>
      <c r="D88" s="5" t="n">
        <f>COUNTIFS('02_REFERENCE'!$B$2:$B$99,$B88,'02_REFERENCE'!$D$2:$D$99,$C88,'02_REFERENCE'!$S$2:$S$99,"YES")</f>
        <v>6.0</v>
      </c>
      <c r="E88" s="5" t="n">
        <f>COUNTIFS('04_MATCHING'!$B$2:$B$1026,$A88,'04_MATCHING'!$C$2:$C$1026,$B88,'04_MATCHING'!$H$2:$H$1026,"Primary TP",'04_MATCHING'!$D$2:$D$1026,$C88)</f>
        <v>4.0</v>
      </c>
      <c r="F88" s="5" t="n">
        <f>D88-E88</f>
        <v>2</v>
      </c>
      <c r="G88" s="25" t="n">
        <f>IFERROR(E88/D88,"")</f>
        <v>0.6666666666666666</v>
      </c>
      <c r="H88" s="5" t="inlineStr">
        <is>
          <t>N/A</t>
        </is>
      </c>
      <c r="I88" s="5" t="inlineStr">
        <is>
          <t>N/A</t>
        </is>
      </c>
      <c r="J88" s="5" t="inlineStr">
        <is>
          <t>N/A</t>
        </is>
      </c>
      <c r="K88" s="5" t="inlineStr">
        <is>
          <t>N/A</t>
        </is>
      </c>
    </row>
    <row r="89">
      <c r="A89" s="5" t="inlineStr">
        <is>
          <t>THREMOLIA</t>
        </is>
      </c>
      <c r="B89" s="5" t="inlineStr">
        <is>
          <t>S3</t>
        </is>
      </c>
      <c r="C89" s="5" t="inlineStr">
        <is>
          <t>Spoofing</t>
        </is>
      </c>
      <c r="D89" s="5" t="n">
        <f>COUNTIFS('02_REFERENCE'!$B$2:$B$99,$B89,'02_REFERENCE'!$D$2:$D$99,$C89,'02_REFERENCE'!$S$2:$S$99,"YES")</f>
        <v>7.0</v>
      </c>
      <c r="E89" s="5" t="n">
        <f>COUNTIFS('04_MATCHING'!$B$2:$B$1026,$A89,'04_MATCHING'!$C$2:$C$1026,$B89,'04_MATCHING'!$H$2:$H$1026,"Primary TP",'04_MATCHING'!$D$2:$D$1026,$C89)</f>
        <v>5.0</v>
      </c>
      <c r="F89" s="5" t="n">
        <f>D89-E89</f>
        <v>2</v>
      </c>
      <c r="G89" s="25" t="n">
        <f>IFERROR(E89/D89,"")</f>
        <v>0.7142857142857143</v>
      </c>
      <c r="H89" s="5" t="inlineStr">
        <is>
          <t>N/A</t>
        </is>
      </c>
      <c r="I89" s="5" t="inlineStr">
        <is>
          <t>N/A</t>
        </is>
      </c>
      <c r="J89" s="5" t="inlineStr">
        <is>
          <t>N/A</t>
        </is>
      </c>
      <c r="K89" s="5" t="inlineStr">
        <is>
          <t>N/A</t>
        </is>
      </c>
    </row>
    <row r="90">
      <c r="A90" s="5" t="inlineStr">
        <is>
          <t>THREMOLIA</t>
        </is>
      </c>
      <c r="B90" s="5" t="inlineStr">
        <is>
          <t>S3</t>
        </is>
      </c>
      <c r="C90" s="5" t="inlineStr">
        <is>
          <t>Tampering</t>
        </is>
      </c>
      <c r="D90" s="5" t="n">
        <f>COUNTIFS('02_REFERENCE'!$B$2:$B$99,$B90,'02_REFERENCE'!$D$2:$D$99,$C90,'02_REFERENCE'!$S$2:$S$99,"YES")</f>
        <v>8.0</v>
      </c>
      <c r="E90" s="5" t="n">
        <f>COUNTIFS('04_MATCHING'!$B$2:$B$1026,$A90,'04_MATCHING'!$C$2:$C$1026,$B90,'04_MATCHING'!$H$2:$H$1026,"Primary TP",'04_MATCHING'!$D$2:$D$1026,$C90)</f>
        <v>4.0</v>
      </c>
      <c r="F90" s="5" t="n">
        <f>D90-E90</f>
        <v>4</v>
      </c>
      <c r="G90" s="25" t="n">
        <f>IFERROR(E90/D90,"")</f>
        <v>0.5</v>
      </c>
      <c r="H90" s="5" t="inlineStr">
        <is>
          <t>N/A</t>
        </is>
      </c>
      <c r="I90" s="5" t="inlineStr">
        <is>
          <t>N/A</t>
        </is>
      </c>
      <c r="J90" s="5" t="inlineStr">
        <is>
          <t>N/A</t>
        </is>
      </c>
      <c r="K90" s="5" t="inlineStr">
        <is>
          <t>N/A</t>
        </is>
      </c>
    </row>
    <row r="91">
      <c r="A91" s="5" t="inlineStr">
        <is>
          <t>THREMOLIA</t>
        </is>
      </c>
      <c r="B91" s="5" t="inlineStr">
        <is>
          <t>S3</t>
        </is>
      </c>
      <c r="C91" s="5" t="inlineStr">
        <is>
          <t>Repudiation</t>
        </is>
      </c>
      <c r="D91" s="5" t="n">
        <f>COUNTIFS('02_REFERENCE'!$B$2:$B$99,$B91,'02_REFERENCE'!$D$2:$D$99,$C91,'02_REFERENCE'!$S$2:$S$99,"YES")</f>
        <v>1.0</v>
      </c>
      <c r="E91" s="5" t="n">
        <f>COUNTIFS('04_MATCHING'!$B$2:$B$1026,$A91,'04_MATCHING'!$C$2:$C$1026,$B91,'04_MATCHING'!$H$2:$H$1026,"Primary TP",'04_MATCHING'!$D$2:$D$1026,$C91)</f>
        <v>1.0</v>
      </c>
      <c r="F91" s="5" t="n">
        <f>D91-E91</f>
        <v>0</v>
      </c>
      <c r="G91" s="25" t="n">
        <f>IFERROR(E91/D91,"")</f>
        <v>1</v>
      </c>
      <c r="H91" s="5" t="inlineStr">
        <is>
          <t>N/A</t>
        </is>
      </c>
      <c r="I91" s="5" t="inlineStr">
        <is>
          <t>N/A</t>
        </is>
      </c>
      <c r="J91" s="5" t="inlineStr">
        <is>
          <t>N/A</t>
        </is>
      </c>
      <c r="K91" s="5" t="inlineStr">
        <is>
          <t>N/A</t>
        </is>
      </c>
    </row>
    <row r="92">
      <c r="A92" s="5" t="inlineStr">
        <is>
          <t>THREMOLIA</t>
        </is>
      </c>
      <c r="B92" s="5" t="inlineStr">
        <is>
          <t>S3</t>
        </is>
      </c>
      <c r="C92" s="5" t="inlineStr">
        <is>
          <t>Information Disclosure</t>
        </is>
      </c>
      <c r="D92" s="5" t="n">
        <f>COUNTIFS('02_REFERENCE'!$B$2:$B$99,$B92,'02_REFERENCE'!$D$2:$D$99,$C92,'02_REFERENCE'!$S$2:$S$99,"YES")</f>
        <v>8.0</v>
      </c>
      <c r="E92" s="5" t="n">
        <f>COUNTIFS('04_MATCHING'!$B$2:$B$1026,$A92,'04_MATCHING'!$C$2:$C$1026,$B92,'04_MATCHING'!$H$2:$H$1026,"Primary TP",'04_MATCHING'!$D$2:$D$1026,$C92)</f>
        <v>5.0</v>
      </c>
      <c r="F92" s="5" t="n">
        <f>D92-E92</f>
        <v>3</v>
      </c>
      <c r="G92" s="25" t="n">
        <f>IFERROR(E92/D92,"")</f>
        <v>0.625</v>
      </c>
      <c r="H92" s="5" t="inlineStr">
        <is>
          <t>N/A</t>
        </is>
      </c>
      <c r="I92" s="5" t="inlineStr">
        <is>
          <t>N/A</t>
        </is>
      </c>
      <c r="J92" s="5" t="inlineStr">
        <is>
          <t>N/A</t>
        </is>
      </c>
      <c r="K92" s="5" t="inlineStr">
        <is>
          <t>N/A</t>
        </is>
      </c>
    </row>
    <row r="93">
      <c r="A93" s="5" t="inlineStr">
        <is>
          <t>THREMOLIA</t>
        </is>
      </c>
      <c r="B93" s="5" t="inlineStr">
        <is>
          <t>S3</t>
        </is>
      </c>
      <c r="C93" s="5" t="inlineStr">
        <is>
          <t>Denial of Service</t>
        </is>
      </c>
      <c r="D93" s="5" t="n">
        <f>COUNTIFS('02_REFERENCE'!$B$2:$B$99,$B93,'02_REFERENCE'!$D$2:$D$99,$C93,'02_REFERENCE'!$S$2:$S$99,"YES")</f>
        <v>4.0</v>
      </c>
      <c r="E93" s="5" t="n">
        <f>COUNTIFS('04_MATCHING'!$B$2:$B$1026,$A93,'04_MATCHING'!$C$2:$C$1026,$B93,'04_MATCHING'!$H$2:$H$1026,"Primary TP",'04_MATCHING'!$D$2:$D$1026,$C93)</f>
        <v>4.0</v>
      </c>
      <c r="F93" s="5" t="n">
        <f>D93-E93</f>
        <v>0</v>
      </c>
      <c r="G93" s="25" t="n">
        <f>IFERROR(E93/D93,"")</f>
        <v>1</v>
      </c>
      <c r="H93" s="5" t="inlineStr">
        <is>
          <t>N/A</t>
        </is>
      </c>
      <c r="I93" s="5" t="inlineStr">
        <is>
          <t>N/A</t>
        </is>
      </c>
      <c r="J93" s="5" t="inlineStr">
        <is>
          <t>N/A</t>
        </is>
      </c>
      <c r="K93" s="5" t="inlineStr">
        <is>
          <t>N/A</t>
        </is>
      </c>
    </row>
    <row r="94">
      <c r="A94" s="5" t="inlineStr">
        <is>
          <t>THREMOLIA</t>
        </is>
      </c>
      <c r="B94" s="5" t="inlineStr">
        <is>
          <t>S3</t>
        </is>
      </c>
      <c r="C94" s="5" t="inlineStr">
        <is>
          <t>Elevation of Privilege</t>
        </is>
      </c>
      <c r="D94" s="5" t="n">
        <f>COUNTIFS('02_REFERENCE'!$B$2:$B$99,$B94,'02_REFERENCE'!$D$2:$D$99,$C94,'02_REFERENCE'!$S$2:$S$99,"YES")</f>
        <v>5.0</v>
      </c>
      <c r="E94" s="5" t="n">
        <f>COUNTIFS('04_MATCHING'!$B$2:$B$1026,$A94,'04_MATCHING'!$C$2:$C$1026,$B94,'04_MATCHING'!$H$2:$H$1026,"Primary TP",'04_MATCHING'!$D$2:$D$1026,$C94)</f>
        <v>1.0</v>
      </c>
      <c r="F94" s="5" t="n">
        <f>D94-E94</f>
        <v>4</v>
      </c>
      <c r="G94" s="25" t="n">
        <f>IFERROR(E94/D94,"")</f>
        <v>0.2</v>
      </c>
      <c r="H94" s="5" t="inlineStr">
        <is>
          <t>N/A</t>
        </is>
      </c>
      <c r="I94" s="5" t="inlineStr">
        <is>
          <t>N/A</t>
        </is>
      </c>
      <c r="J94" s="5" t="inlineStr">
        <is>
          <t>N/A</t>
        </is>
      </c>
      <c r="K94" s="5" t="inlineStr">
        <is>
          <t>N/A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outlineLevelCol="0"/>
  <cols>
    <col width="22" customWidth="1" min="1" max="1"/>
    <col width="12" customWidth="1" min="2" max="2"/>
    <col width="10" customWidth="1" min="3" max="3"/>
    <col width="16" customWidth="1" min="4" max="4"/>
    <col width="16" customWidth="1" min="5" max="5"/>
    <col width="16" customWidth="1" min="6" max="6"/>
    <col width="16" customWidth="1" min="7" max="7"/>
    <col width="28" customWidth="1" min="8" max="8"/>
    <col width="28" customWidth="1" min="9" max="9"/>
    <col width="28" customWidth="1" min="10" max="10"/>
    <col width="28" customWidth="1" min="11" max="11"/>
  </cols>
  <sheetData>
    <row r="1">
      <c r="A1" s="1" t="inlineStr">
        <is>
          <t>Grounding Analysis</t>
        </is>
      </c>
    </row>
    <row r="2">
      <c r="A2" s="2" t="inlineStr">
        <is>
          <t>Grounding is kept logically separate from correctness (grounded != correct). NO per-finding grounding annotation was provided in the authoritative source data. The grounding rate and grounded/ungrounded x TP/FP breakdown therefore CANNOT be computed reliably and are reported as N/A - DATA NOT AVAILABLE.</t>
        </is>
      </c>
    </row>
    <row r="4">
      <c r="A4" s="4" t="inlineStr">
        <is>
          <t>Grounding Metric</t>
        </is>
      </c>
      <c r="B4" s="4" t="inlineStr">
        <is>
          <t>Status</t>
        </is>
      </c>
      <c r="C4" s="4" t="inlineStr">
        <is>
          <t>Value</t>
        </is>
      </c>
      <c r="D4" s="4" t="inlineStr">
        <is>
          <t>Definition / Required Source</t>
        </is>
      </c>
      <c r="E4" s="4" t="inlineStr">
        <is>
          <t>Component</t>
        </is>
      </c>
      <c r="F4" s="4" t="inlineStr">
        <is>
          <t>Data Flow</t>
        </is>
      </c>
      <c r="G4" s="4" t="inlineStr">
        <is>
          <t>Trust Boundary</t>
        </is>
      </c>
      <c r="H4" s="4" t="inlineStr">
        <is>
          <t>Asset</t>
        </is>
      </c>
      <c r="I4" s="4" t="inlineStr">
        <is>
          <t>Architectural Evidence</t>
        </is>
      </c>
    </row>
    <row r="5" ht="40" customHeight="1">
      <c r="A5" s="5" t="inlineStr">
        <is>
          <t>Grounding Rate</t>
        </is>
      </c>
      <c r="B5" s="30" t="inlineStr">
        <is>
          <t>N/A - DATA NOT AVAILABLE</t>
        </is>
      </c>
      <c r="C5" s="5" t="inlineStr">
        <is>
          <t>=</t>
        </is>
      </c>
      <c r="D5" s="7" t="inlineStr">
        <is>
          <t>Grounded Findings / Total Findings. Requires an explicit per-finding grounded/ungrounded verdict.</t>
        </is>
      </c>
    </row>
    <row r="6" ht="40" customHeight="1">
      <c r="A6" s="5" t="inlineStr">
        <is>
          <t>Grounded TP</t>
        </is>
      </c>
      <c r="B6" s="30" t="inlineStr">
        <is>
          <t>N/A</t>
        </is>
      </c>
      <c r="C6" s="5" t="inlineStr">
        <is>
          <t>=</t>
        </is>
      </c>
      <c r="D6" s="7" t="inlineStr">
        <is>
          <t>TP findings whose attack path is supported by drawn architecture (component/data-flow/trust-boundary/asset evidence).</t>
        </is>
      </c>
    </row>
    <row r="7" ht="40" customHeight="1">
      <c r="A7" s="5" t="inlineStr">
        <is>
          <t>Ungrounded TP</t>
        </is>
      </c>
      <c r="B7" s="30" t="inlineStr">
        <is>
          <t>N/A</t>
        </is>
      </c>
      <c r="C7" s="5" t="inlineStr">
        <is>
          <t>=</t>
        </is>
      </c>
      <c r="D7" s="7" t="inlineStr">
        <is>
          <t>TP findings lacking architectural support in the model.</t>
        </is>
      </c>
    </row>
    <row r="8" ht="40" customHeight="1">
      <c r="A8" s="5" t="inlineStr">
        <is>
          <t>Grounded FP</t>
        </is>
      </c>
      <c r="B8" s="30" t="inlineStr">
        <is>
          <t>N/A</t>
        </is>
      </c>
      <c r="C8" s="5" t="inlineStr">
        <is>
          <t>=</t>
        </is>
      </c>
      <c r="D8" s="7" t="inlineStr">
        <is>
          <t>FP findings nevertheless supported by the architecture (false positive in the reference-correspondence sense).</t>
        </is>
      </c>
    </row>
    <row r="9" ht="40" customHeight="1">
      <c r="A9" s="5" t="inlineStr">
        <is>
          <t>Ungrounded FP</t>
        </is>
      </c>
      <c r="B9" s="30" t="inlineStr">
        <is>
          <t>N/A</t>
        </is>
      </c>
      <c r="C9" s="5" t="inlineStr">
        <is>
          <t>=</t>
        </is>
      </c>
      <c r="D9" s="7" t="inlineStr">
        <is>
          <t>FP findings with no architectural support.</t>
        </is>
      </c>
    </row>
    <row r="11">
      <c r="A11" s="2" t="inlineStr">
        <is>
          <t>Available per-finding metadata (for reference only; NOT a grounding verdict):</t>
        </is>
      </c>
    </row>
    <row r="12">
      <c r="A12" s="4" t="inlineStr">
        <is>
          <t>Finding ID</t>
        </is>
      </c>
      <c r="B12" s="4" t="inlineStr">
        <is>
          <t>Approach</t>
        </is>
      </c>
      <c r="C12" s="4" t="inlineStr">
        <is>
          <t>Scenario</t>
        </is>
      </c>
      <c r="D12" s="4" t="inlineStr">
        <is>
          <t>Threat Category</t>
        </is>
      </c>
      <c r="E12" s="4" t="inlineStr">
        <is>
          <t>Component</t>
        </is>
      </c>
      <c r="F12" s="4" t="inlineStr">
        <is>
          <t>Data Flow</t>
        </is>
      </c>
      <c r="G12" s="4" t="inlineStr">
        <is>
          <t>(Trust Boundary / Asset / Arch Evidence not present)</t>
        </is>
      </c>
    </row>
    <row r="13">
      <c r="A13" s="5" t="inlineStr">
        <is>
          <t>OWASP-S1-F001</t>
        </is>
      </c>
      <c r="B13" s="5" t="inlineStr">
        <is>
          <t>OWASP</t>
        </is>
      </c>
      <c r="C13" s="5" t="inlineStr">
        <is>
          <t>S1</t>
        </is>
      </c>
      <c r="D13" s="5" t="inlineStr">
        <is>
          <t>captcha</t>
        </is>
      </c>
      <c r="E13" s="5" t="inlineStr">
        <is>
          <t>EE1 End User</t>
        </is>
      </c>
      <c r="F13" s="5" t="inlineStr"/>
      <c r="G13" s="5" t="inlineStr">
        <is>
          <t>N/A</t>
        </is>
      </c>
    </row>
    <row r="14">
      <c r="A14" s="5" t="inlineStr">
        <is>
          <t>OWASP-S1-F002</t>
        </is>
      </c>
      <c r="B14" s="5" t="inlineStr">
        <is>
          <t>OWASP</t>
        </is>
      </c>
      <c r="C14" s="5" t="inlineStr">
        <is>
          <t>S1</t>
        </is>
      </c>
      <c r="D14" s="5" t="inlineStr">
        <is>
          <t>credential_stuffing</t>
        </is>
      </c>
      <c r="E14" s="5" t="inlineStr">
        <is>
          <t>EE1 End User</t>
        </is>
      </c>
      <c r="F14" s="5" t="inlineStr"/>
      <c r="G14" s="5" t="inlineStr">
        <is>
          <t>N/A</t>
        </is>
      </c>
    </row>
    <row r="15">
      <c r="A15" s="5" t="inlineStr">
        <is>
          <t>OWASP-S1-F003</t>
        </is>
      </c>
      <c r="B15" s="5" t="inlineStr">
        <is>
          <t>OWASP</t>
        </is>
      </c>
      <c r="C15" s="5" t="inlineStr">
        <is>
          <t>S1</t>
        </is>
      </c>
      <c r="D15" s="5" t="inlineStr">
        <is>
          <t>excessive_db_scope</t>
        </is>
      </c>
      <c r="E15" s="5" t="inlineStr">
        <is>
          <t>P1 Web Frontend Interface</t>
        </is>
      </c>
      <c r="F15" s="5" t="inlineStr"/>
      <c r="G15" s="5" t="inlineStr">
        <is>
          <t>N/A</t>
        </is>
      </c>
    </row>
    <row r="16">
      <c r="A16" s="5" t="inlineStr">
        <is>
          <t>OWASP-S1-F004</t>
        </is>
      </c>
      <c r="B16" s="5" t="inlineStr">
        <is>
          <t>OWASP</t>
        </is>
      </c>
      <c r="C16" s="5" t="inlineStr">
        <is>
          <t>S1</t>
        </is>
      </c>
      <c r="D16" s="5" t="inlineStr">
        <is>
          <t>expedition</t>
        </is>
      </c>
      <c r="E16" s="5" t="inlineStr">
        <is>
          <t>P1 Web Frontend Interface</t>
        </is>
      </c>
      <c r="F16" s="5" t="inlineStr"/>
      <c r="G16" s="5" t="inlineStr">
        <is>
          <t>N/A</t>
        </is>
      </c>
    </row>
    <row r="17">
      <c r="A17" s="5" t="inlineStr">
        <is>
          <t>OWASP-S1-F005</t>
        </is>
      </c>
      <c r="B17" s="5" t="inlineStr">
        <is>
          <t>OWASP</t>
        </is>
      </c>
      <c r="C17" s="5" t="inlineStr">
        <is>
          <t>S1</t>
        </is>
      </c>
      <c r="D17" s="5" t="inlineStr">
        <is>
          <t>recon</t>
        </is>
      </c>
      <c r="E17" s="5" t="inlineStr">
        <is>
          <t>P1 Web Frontend Interface</t>
        </is>
      </c>
      <c r="F17" s="5" t="inlineStr"/>
      <c r="G17" s="5" t="inlineStr">
        <is>
          <t>N/A</t>
        </is>
      </c>
    </row>
    <row r="18">
      <c r="A18" s="5" t="inlineStr">
        <is>
          <t>OWASP-S1-F006</t>
        </is>
      </c>
      <c r="B18" s="5" t="inlineStr">
        <is>
          <t>OWASP</t>
        </is>
      </c>
      <c r="C18" s="5" t="inlineStr">
        <is>
          <t>S1</t>
        </is>
      </c>
      <c r="D18" s="5" t="inlineStr">
        <is>
          <t>dos_service</t>
        </is>
      </c>
      <c r="E18" s="5" t="inlineStr">
        <is>
          <t>P1 Web Frontend Interface</t>
        </is>
      </c>
      <c r="F18" s="5" t="inlineStr"/>
      <c r="G18" s="5" t="inlineStr">
        <is>
          <t>N/A</t>
        </is>
      </c>
    </row>
    <row r="19">
      <c r="A19" s="5" t="inlineStr">
        <is>
          <t>OWASP-S1-F007</t>
        </is>
      </c>
      <c r="B19" s="5" t="inlineStr">
        <is>
          <t>OWASP</t>
        </is>
      </c>
      <c r="C19" s="5" t="inlineStr">
        <is>
          <t>S1</t>
        </is>
      </c>
      <c r="D19" s="5" t="inlineStr">
        <is>
          <t>recon</t>
        </is>
      </c>
      <c r="E19" s="5" t="inlineStr">
        <is>
          <t>P1 Web Frontend Interface</t>
        </is>
      </c>
      <c r="F19" s="5" t="inlineStr"/>
      <c r="G19" s="5" t="inlineStr">
        <is>
          <t>N/A</t>
        </is>
      </c>
    </row>
    <row r="20">
      <c r="A20" s="5" t="inlineStr">
        <is>
          <t>OWASP-S1-F008</t>
        </is>
      </c>
      <c r="B20" s="5" t="inlineStr">
        <is>
          <t>OWASP</t>
        </is>
      </c>
      <c r="C20" s="5" t="inlineStr">
        <is>
          <t>S1</t>
        </is>
      </c>
      <c r="D20" s="5" t="inlineStr">
        <is>
          <t>excessive_db_scope</t>
        </is>
      </c>
      <c r="E20" s="5" t="inlineStr">
        <is>
          <t>P2 Authentication Service</t>
        </is>
      </c>
      <c r="F20" s="5" t="inlineStr"/>
      <c r="G20" s="5" t="inlineStr">
        <is>
          <t>N/A</t>
        </is>
      </c>
    </row>
    <row r="21">
      <c r="A21" s="5" t="inlineStr">
        <is>
          <t>OWASP-S1-F009</t>
        </is>
      </c>
      <c r="B21" s="5" t="inlineStr">
        <is>
          <t>OWASP</t>
        </is>
      </c>
      <c r="C21" s="5" t="inlineStr">
        <is>
          <t>S1</t>
        </is>
      </c>
      <c r="D21" s="5" t="inlineStr">
        <is>
          <t>expedition</t>
        </is>
      </c>
      <c r="E21" s="5" t="inlineStr">
        <is>
          <t>P2 Authentication Service</t>
        </is>
      </c>
      <c r="F21" s="5" t="inlineStr"/>
      <c r="G21" s="5" t="inlineStr">
        <is>
          <t>N/A</t>
        </is>
      </c>
    </row>
    <row r="22">
      <c r="A22" s="5" t="inlineStr">
        <is>
          <t>OWASP-S1-F010</t>
        </is>
      </c>
      <c r="B22" s="5" t="inlineStr">
        <is>
          <t>OWASP</t>
        </is>
      </c>
      <c r="C22" s="5" t="inlineStr">
        <is>
          <t>S1</t>
        </is>
      </c>
      <c r="D22" s="5" t="inlineStr">
        <is>
          <t>recon</t>
        </is>
      </c>
      <c r="E22" s="5" t="inlineStr">
        <is>
          <t>P2 Authentication Service</t>
        </is>
      </c>
      <c r="F22" s="5" t="inlineStr"/>
      <c r="G22" s="5" t="inlineStr">
        <is>
          <t>N/A</t>
        </is>
      </c>
    </row>
    <row r="23">
      <c r="A23" s="5" t="inlineStr">
        <is>
          <t>OWASP-S1-F011</t>
        </is>
      </c>
      <c r="B23" s="5" t="inlineStr">
        <is>
          <t>OWASP</t>
        </is>
      </c>
      <c r="C23" s="5" t="inlineStr">
        <is>
          <t>S1</t>
        </is>
      </c>
      <c r="D23" s="5" t="inlineStr">
        <is>
          <t>dos_service</t>
        </is>
      </c>
      <c r="E23" s="5" t="inlineStr">
        <is>
          <t>P2 Authentication Service</t>
        </is>
      </c>
      <c r="F23" s="5" t="inlineStr"/>
      <c r="G23" s="5" t="inlineStr">
        <is>
          <t>N/A</t>
        </is>
      </c>
    </row>
    <row r="24">
      <c r="A24" s="5" t="inlineStr">
        <is>
          <t>OWASP-S1-F012</t>
        </is>
      </c>
      <c r="B24" s="5" t="inlineStr">
        <is>
          <t>OWASP</t>
        </is>
      </c>
      <c r="C24" s="5" t="inlineStr">
        <is>
          <t>S1</t>
        </is>
      </c>
      <c r="D24" s="5" t="inlineStr">
        <is>
          <t>recon</t>
        </is>
      </c>
      <c r="E24" s="5" t="inlineStr">
        <is>
          <t>P2 Authentication Service</t>
        </is>
      </c>
      <c r="F24" s="5" t="inlineStr"/>
      <c r="G24" s="5" t="inlineStr">
        <is>
          <t>N/A</t>
        </is>
      </c>
    </row>
    <row r="25">
      <c r="A25" s="5" t="inlineStr">
        <is>
          <t>OWASP-S1-F013</t>
        </is>
      </c>
      <c r="B25" s="5" t="inlineStr">
        <is>
          <t>OWASP</t>
        </is>
      </c>
      <c r="C25" s="5" t="inlineStr">
        <is>
          <t>S1</t>
        </is>
      </c>
      <c r="D25" s="5" t="inlineStr">
        <is>
          <t>excessive_db_scope</t>
        </is>
      </c>
      <c r="E25" s="5" t="inlineStr">
        <is>
          <t>P3 Session Management Module</t>
        </is>
      </c>
      <c r="F25" s="5" t="inlineStr"/>
      <c r="G25" s="5" t="inlineStr">
        <is>
          <t>N/A</t>
        </is>
      </c>
    </row>
    <row r="26">
      <c r="A26" s="5" t="inlineStr">
        <is>
          <t>OWASP-S1-F014</t>
        </is>
      </c>
      <c r="B26" s="5" t="inlineStr">
        <is>
          <t>OWASP</t>
        </is>
      </c>
      <c r="C26" s="5" t="inlineStr">
        <is>
          <t>S1</t>
        </is>
      </c>
      <c r="D26" s="5" t="inlineStr">
        <is>
          <t>expedition</t>
        </is>
      </c>
      <c r="E26" s="5" t="inlineStr">
        <is>
          <t>P3 Session Management Module</t>
        </is>
      </c>
      <c r="F26" s="5" t="inlineStr"/>
      <c r="G26" s="5" t="inlineStr">
        <is>
          <t>N/A</t>
        </is>
      </c>
    </row>
    <row r="27">
      <c r="A27" s="5" t="inlineStr">
        <is>
          <t>OWASP-S1-F015</t>
        </is>
      </c>
      <c r="B27" s="5" t="inlineStr">
        <is>
          <t>OWASP</t>
        </is>
      </c>
      <c r="C27" s="5" t="inlineStr">
        <is>
          <t>S1</t>
        </is>
      </c>
      <c r="D27" s="5" t="inlineStr">
        <is>
          <t>recon</t>
        </is>
      </c>
      <c r="E27" s="5" t="inlineStr">
        <is>
          <t>P3 Session Management Module</t>
        </is>
      </c>
      <c r="F27" s="5" t="inlineStr"/>
      <c r="G27" s="5" t="inlineStr">
        <is>
          <t>N/A</t>
        </is>
      </c>
    </row>
    <row r="28">
      <c r="A28" s="5" t="inlineStr">
        <is>
          <t>OWASP-S1-F016</t>
        </is>
      </c>
      <c r="B28" s="5" t="inlineStr">
        <is>
          <t>OWASP</t>
        </is>
      </c>
      <c r="C28" s="5" t="inlineStr">
        <is>
          <t>S1</t>
        </is>
      </c>
      <c r="D28" s="5" t="inlineStr">
        <is>
          <t>dos_service</t>
        </is>
      </c>
      <c r="E28" s="5" t="inlineStr">
        <is>
          <t>P3 Session Management Module</t>
        </is>
      </c>
      <c r="F28" s="5" t="inlineStr"/>
      <c r="G28" s="5" t="inlineStr">
        <is>
          <t>N/A</t>
        </is>
      </c>
    </row>
    <row r="29">
      <c r="A29" s="5" t="inlineStr">
        <is>
          <t>OWASP-S1-F017</t>
        </is>
      </c>
      <c r="B29" s="5" t="inlineStr">
        <is>
          <t>OWASP</t>
        </is>
      </c>
      <c r="C29" s="5" t="inlineStr">
        <is>
          <t>S1</t>
        </is>
      </c>
      <c r="D29" s="5" t="inlineStr">
        <is>
          <t>recon</t>
        </is>
      </c>
      <c r="E29" s="5" t="inlineStr">
        <is>
          <t>P3 Session Management Module</t>
        </is>
      </c>
      <c r="F29" s="5" t="inlineStr"/>
      <c r="G29" s="5" t="inlineStr">
        <is>
          <t>N/A</t>
        </is>
      </c>
    </row>
    <row r="30">
      <c r="A30" s="5" t="inlineStr">
        <is>
          <t>OWASP-S1-F018</t>
        </is>
      </c>
      <c r="B30" s="5" t="inlineStr">
        <is>
          <t>OWASP</t>
        </is>
      </c>
      <c r="C30" s="5" t="inlineStr">
        <is>
          <t>S1</t>
        </is>
      </c>
      <c r="D30" s="5" t="inlineStr">
        <is>
          <t>transit_token</t>
        </is>
      </c>
      <c r="E30" s="5" t="inlineStr">
        <is>
          <t>P3 Session Management Module</t>
        </is>
      </c>
      <c r="F30" s="5" t="inlineStr"/>
      <c r="G30" s="5" t="inlineStr">
        <is>
          <t>N/A</t>
        </is>
      </c>
    </row>
    <row r="31">
      <c r="A31" s="5" t="inlineStr">
        <is>
          <t>OWASP-S1-F019</t>
        </is>
      </c>
      <c r="B31" s="5" t="inlineStr">
        <is>
          <t>OWASP</t>
        </is>
      </c>
      <c r="C31" s="5" t="inlineStr">
        <is>
          <t>S1</t>
        </is>
      </c>
      <c r="D31" s="5" t="inlineStr">
        <is>
          <t>recon</t>
        </is>
      </c>
      <c r="E31" s="5" t="inlineStr">
        <is>
          <t>P3 Session Management Module</t>
        </is>
      </c>
      <c r="F31" s="5" t="inlineStr"/>
      <c r="G31" s="5" t="inlineStr">
        <is>
          <t>N/A</t>
        </is>
      </c>
    </row>
    <row r="32">
      <c r="A32" s="5" t="inlineStr">
        <is>
          <t>OWASP-S1-F020</t>
        </is>
      </c>
      <c r="B32" s="5" t="inlineStr">
        <is>
          <t>OWASP</t>
        </is>
      </c>
      <c r="C32" s="5" t="inlineStr">
        <is>
          <t>S1</t>
        </is>
      </c>
      <c r="D32" s="5" t="inlineStr">
        <is>
          <t>transit_token</t>
        </is>
      </c>
      <c r="E32" s="5" t="inlineStr">
        <is>
          <t>P3 Session Management Module</t>
        </is>
      </c>
      <c r="F32" s="5" t="inlineStr"/>
      <c r="G32" s="5" t="inlineStr">
        <is>
          <t>N/A</t>
        </is>
      </c>
    </row>
    <row r="33">
      <c r="A33" s="5" t="inlineStr">
        <is>
          <t>OWASP-S1-F021</t>
        </is>
      </c>
      <c r="B33" s="5" t="inlineStr">
        <is>
          <t>OWASP</t>
        </is>
      </c>
      <c r="C33" s="5" t="inlineStr">
        <is>
          <t>S1</t>
        </is>
      </c>
      <c r="D33" s="5" t="inlineStr">
        <is>
          <t>transit_token</t>
        </is>
      </c>
      <c r="E33" s="5" t="inlineStr">
        <is>
          <t>P3 Session Management Module</t>
        </is>
      </c>
      <c r="F33" s="5" t="inlineStr"/>
      <c r="G33" s="5" t="inlineStr">
        <is>
          <t>N/A</t>
        </is>
      </c>
    </row>
    <row r="34">
      <c r="A34" s="5" t="inlineStr">
        <is>
          <t>OWASP-S1-F022</t>
        </is>
      </c>
      <c r="B34" s="5" t="inlineStr">
        <is>
          <t>OWASP</t>
        </is>
      </c>
      <c r="C34" s="5" t="inlineStr">
        <is>
          <t>S1</t>
        </is>
      </c>
      <c r="D34" s="5" t="inlineStr">
        <is>
          <t>transit_token</t>
        </is>
      </c>
      <c r="E34" s="5" t="inlineStr">
        <is>
          <t>P3 Session Management Module</t>
        </is>
      </c>
      <c r="F34" s="5" t="inlineStr"/>
      <c r="G34" s="5" t="inlineStr">
        <is>
          <t>N/A</t>
        </is>
      </c>
    </row>
    <row r="35">
      <c r="A35" s="5" t="inlineStr">
        <is>
          <t>OWASP-S1-F023</t>
        </is>
      </c>
      <c r="B35" s="5" t="inlineStr">
        <is>
          <t>OWASP</t>
        </is>
      </c>
      <c r="C35" s="5" t="inlineStr">
        <is>
          <t>S1</t>
        </is>
      </c>
      <c r="D35" s="5" t="inlineStr">
        <is>
          <t>recon</t>
        </is>
      </c>
      <c r="E35" s="5" t="inlineStr">
        <is>
          <t>P3 Session Management Module</t>
        </is>
      </c>
      <c r="F35" s="5" t="inlineStr"/>
      <c r="G35" s="5" t="inlineStr">
        <is>
          <t>N/A</t>
        </is>
      </c>
    </row>
    <row r="36">
      <c r="A36" s="5" t="inlineStr">
        <is>
          <t>OWASP-S1-F024</t>
        </is>
      </c>
      <c r="B36" s="5" t="inlineStr">
        <is>
          <t>OWASP</t>
        </is>
      </c>
      <c r="C36" s="5" t="inlineStr">
        <is>
          <t>S1</t>
        </is>
      </c>
      <c r="D36" s="5" t="inlineStr">
        <is>
          <t>expedition</t>
        </is>
      </c>
      <c r="E36" s="5" t="inlineStr">
        <is>
          <t>P4 AI chatbot Component</t>
        </is>
      </c>
      <c r="F36" s="5" t="inlineStr"/>
      <c r="G36" s="5" t="inlineStr">
        <is>
          <t>N/A</t>
        </is>
      </c>
    </row>
    <row r="37">
      <c r="A37" s="5" t="inlineStr">
        <is>
          <t>OWASP-S1-F025</t>
        </is>
      </c>
      <c r="B37" s="5" t="inlineStr">
        <is>
          <t>OWASP</t>
        </is>
      </c>
      <c r="C37" s="5" t="inlineStr">
        <is>
          <t>S1</t>
        </is>
      </c>
      <c r="D37" s="5" t="inlineStr">
        <is>
          <t>recon</t>
        </is>
      </c>
      <c r="E37" s="5" t="inlineStr">
        <is>
          <t>P4 AI chatbot Component</t>
        </is>
      </c>
      <c r="F37" s="5" t="inlineStr"/>
      <c r="G37" s="5" t="inlineStr">
        <is>
          <t>N/A</t>
        </is>
      </c>
    </row>
    <row r="38">
      <c r="A38" s="5" t="inlineStr">
        <is>
          <t>... (n=1025 rows total; see 03/04)</t>
        </is>
      </c>
    </row>
    <row r="40">
      <c r="A40" s="6" t="inlineStr">
        <is>
          <t>CONCLUSION</t>
        </is>
      </c>
    </row>
    <row r="41" ht="45" customHeight="1">
      <c r="A41" s="7" t="inlineStr">
        <is>
          <t>Grounding cannot be reported without a grounded/ungrounded annotation per finding. The "component" and "data_flow" fields present in the raw records are evidence candidates, not grounding verdicts. Add a grounding column to 04_MATCHING and this sheet will compute automatically.</t>
        </is>
      </c>
      <c r="B41" s="8" t="n"/>
      <c r="C41" s="8" t="n"/>
      <c r="D41" s="8" t="n"/>
      <c r="E41" s="8" t="n"/>
      <c r="F41" s="8" t="n"/>
      <c r="G41" s="8" t="n"/>
      <c r="H41" s="9" t="n"/>
    </row>
  </sheetData>
  <mergeCells count="1">
    <mergeCell ref="A41:H4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outlineLevelCol="0"/>
  <cols>
    <col width="14" customWidth="1" min="1" max="1"/>
    <col width="10" customWidth="1" min="2" max="2"/>
    <col width="11" customWidth="1" min="3" max="3"/>
    <col width="11" customWidth="1" min="4" max="4"/>
    <col width="11" customWidth="1" min="5" max="5"/>
    <col width="11" customWidth="1" min="6" max="6"/>
    <col width="18" customWidth="1" min="7" max="7"/>
    <col width="15" customWidth="1" min="8" max="8"/>
    <col width="15" customWidth="1" min="9" max="9"/>
    <col width="18" customWidth="1" min="10" max="10"/>
  </cols>
  <sheetData>
    <row r="1">
      <c r="A1" s="1" t="inlineStr">
        <is>
          <t>Redundancy / Uniqueness</t>
        </is>
      </c>
    </row>
    <row r="2">
      <c r="A2" s="2" t="inlineStr">
        <is>
          <t>Duplicate = multiple findings describing the same underlying threat mechanism within the same approach &amp; scenario (per one-to-one rule). Unique Findings = Primary TP + FP (i.e., findings that are not duplicates). Redundancy Rate = Duplicates / Generated. Unique-Find Rate = Unique / Generated. Redundancy among correct = Duplicates / (PrimaryTP + Duplicates).</t>
        </is>
      </c>
    </row>
    <row r="4">
      <c r="A4" s="4" t="inlineStr">
        <is>
          <t>Approach</t>
        </is>
      </c>
      <c r="B4" s="4" t="inlineStr">
        <is>
          <t>Scenario</t>
        </is>
      </c>
      <c r="C4" s="4" t="inlineStr">
        <is>
          <t>Generated</t>
        </is>
      </c>
      <c r="D4" s="4" t="inlineStr">
        <is>
          <t>Primary TP</t>
        </is>
      </c>
      <c r="E4" s="4" t="inlineStr">
        <is>
          <t>Duplicates</t>
        </is>
      </c>
      <c r="F4" s="4" t="inlineStr">
        <is>
          <t>FP</t>
        </is>
      </c>
      <c r="G4" s="4" t="inlineStr">
        <is>
          <t>Unique Findings (non-dup)</t>
        </is>
      </c>
      <c r="H4" s="4" t="inlineStr">
        <is>
          <t>Redundancy Rate</t>
        </is>
      </c>
      <c r="I4" s="4" t="inlineStr">
        <is>
          <t>Unique-Find Rate</t>
        </is>
      </c>
      <c r="J4" s="4" t="inlineStr">
        <is>
          <t>Redundancy among correct</t>
        </is>
      </c>
    </row>
    <row r="5">
      <c r="A5" s="5" t="inlineStr">
        <is>
          <t>OWASP</t>
        </is>
      </c>
      <c r="B5" s="5" t="inlineStr">
        <is>
          <t>S1</t>
        </is>
      </c>
      <c r="C5" s="5" t="n">
        <f>COUNTIFS('04_MATCHING'!$B$2:$B$1026,$A5,'04_MATCHING'!$C$2:$C$1026,$B5)</f>
        <v>38.0</v>
      </c>
      <c r="D5" s="5" t="n">
        <f>COUNTIFS('04_MATCHING'!$B$2:$B$1026,$A5,'04_MATCHING'!$C$2:$C$1026,$B5,'04_MATCHING'!$H$2:$H$1026,"Primary TP")</f>
        <v>6.0</v>
      </c>
      <c r="E5" s="5" t="n">
        <f>COUNTIFS('04_MATCHING'!$B$2:$B$1026,$A5,'04_MATCHING'!$C$2:$C$1026,$B5,'04_MATCHING'!$H$2:$H$1026,"Duplicate")</f>
        <v>6.0</v>
      </c>
      <c r="F5" s="5" t="n">
        <f>COUNTIFS('04_MATCHING'!$B$2:$B$1026,$A5,'04_MATCHING'!$C$2:$C$1026,$B5,'04_MATCHING'!$H$2:$H$1026,"False Positive")</f>
        <v>26.0</v>
      </c>
      <c r="G5" s="5" t="n">
        <f>D5+F5</f>
        <v>32</v>
      </c>
      <c r="H5" s="25" t="n">
        <f>IFERROR(E5/C5,"")</f>
        <v>0.15789473684210525</v>
      </c>
      <c r="I5" s="25" t="n">
        <f>IFERROR(G5/C5,"")</f>
        <v>0.8421052631578947</v>
      </c>
      <c r="J5" s="25" t="n">
        <f>IFERROR(E5/(D5+E5),"")</f>
        <v>0.5</v>
      </c>
    </row>
    <row r="6">
      <c r="A6" s="5" t="inlineStr">
        <is>
          <t>OWASP</t>
        </is>
      </c>
      <c r="B6" s="5" t="inlineStr">
        <is>
          <t>S2</t>
        </is>
      </c>
      <c r="C6" s="5" t="n">
        <f>COUNTIFS('04_MATCHING'!$B$2:$B$1026,$A6,'04_MATCHING'!$C$2:$C$1026,$B6)</f>
        <v>39.0</v>
      </c>
      <c r="D6" s="5" t="n">
        <f>COUNTIFS('04_MATCHING'!$B$2:$B$1026,$A6,'04_MATCHING'!$C$2:$C$1026,$B6,'04_MATCHING'!$H$2:$H$1026,"Primary TP")</f>
        <v>6.0</v>
      </c>
      <c r="E6" s="5" t="n">
        <f>COUNTIFS('04_MATCHING'!$B$2:$B$1026,$A6,'04_MATCHING'!$C$2:$C$1026,$B6,'04_MATCHING'!$H$2:$H$1026,"Duplicate")</f>
        <v>6.0</v>
      </c>
      <c r="F6" s="5" t="n">
        <f>COUNTIFS('04_MATCHING'!$B$2:$B$1026,$A6,'04_MATCHING'!$C$2:$C$1026,$B6,'04_MATCHING'!$H$2:$H$1026,"False Positive")</f>
        <v>27.0</v>
      </c>
      <c r="G6" s="5" t="n">
        <f>D6+F6</f>
        <v>33</v>
      </c>
      <c r="H6" s="25" t="n">
        <f>IFERROR(E6/C6,"")</f>
        <v>0.15384615384615385</v>
      </c>
      <c r="I6" s="25" t="n">
        <f>IFERROR(G6/C6,"")</f>
        <v>0.8461538461538461</v>
      </c>
      <c r="J6" s="25" t="n">
        <f>IFERROR(E6/(D6+E6),"")</f>
        <v>0.5</v>
      </c>
    </row>
    <row r="7">
      <c r="A7" s="5" t="inlineStr">
        <is>
          <t>OWASP</t>
        </is>
      </c>
      <c r="B7" s="5" t="inlineStr">
        <is>
          <t>S3</t>
        </is>
      </c>
      <c r="C7" s="5" t="n">
        <f>COUNTIFS('04_MATCHING'!$B$2:$B$1026,$A7,'04_MATCHING'!$C$2:$C$1026,$B7)</f>
        <v>46.0</v>
      </c>
      <c r="D7" s="5" t="n">
        <f>COUNTIFS('04_MATCHING'!$B$2:$B$1026,$A7,'04_MATCHING'!$C$2:$C$1026,$B7,'04_MATCHING'!$H$2:$H$1026,"Primary TP")</f>
        <v>7.0</v>
      </c>
      <c r="E7" s="5" t="n">
        <f>COUNTIFS('04_MATCHING'!$B$2:$B$1026,$A7,'04_MATCHING'!$C$2:$C$1026,$B7,'04_MATCHING'!$H$2:$H$1026,"Duplicate")</f>
        <v>13.0</v>
      </c>
      <c r="F7" s="5" t="n">
        <f>COUNTIFS('04_MATCHING'!$B$2:$B$1026,$A7,'04_MATCHING'!$C$2:$C$1026,$B7,'04_MATCHING'!$H$2:$H$1026,"False Positive")</f>
        <v>26.0</v>
      </c>
      <c r="G7" s="5" t="n">
        <f>D7+F7</f>
        <v>33</v>
      </c>
      <c r="H7" s="25" t="n">
        <f>IFERROR(E7/C7,"")</f>
        <v>0.2826086956521739</v>
      </c>
      <c r="I7" s="25" t="n">
        <f>IFERROR(G7/C7,"")</f>
        <v>0.717391304347826</v>
      </c>
      <c r="J7" s="25" t="n">
        <f>IFERROR(E7/(D7+E7),"")</f>
        <v>0.65</v>
      </c>
    </row>
    <row r="8">
      <c r="A8" s="5" t="inlineStr">
        <is>
          <t>TMT</t>
        </is>
      </c>
      <c r="B8" s="5" t="inlineStr">
        <is>
          <t>S1</t>
        </is>
      </c>
      <c r="C8" s="5" t="n">
        <f>COUNTIFS('04_MATCHING'!$B$2:$B$1026,$A8,'04_MATCHING'!$C$2:$C$1026,$B8)</f>
        <v>95.0</v>
      </c>
      <c r="D8" s="5" t="n">
        <f>COUNTIFS('04_MATCHING'!$B$2:$B$1026,$A8,'04_MATCHING'!$C$2:$C$1026,$B8,'04_MATCHING'!$H$2:$H$1026,"Primary TP")</f>
        <v>9.0</v>
      </c>
      <c r="E8" s="5" t="n">
        <f>COUNTIFS('04_MATCHING'!$B$2:$B$1026,$A8,'04_MATCHING'!$C$2:$C$1026,$B8,'04_MATCHING'!$H$2:$H$1026,"Duplicate")</f>
        <v>13.0</v>
      </c>
      <c r="F8" s="5" t="n">
        <f>COUNTIFS('04_MATCHING'!$B$2:$B$1026,$A8,'04_MATCHING'!$C$2:$C$1026,$B8,'04_MATCHING'!$H$2:$H$1026,"False Positive")</f>
        <v>73.0</v>
      </c>
      <c r="G8" s="5" t="n">
        <f>D8+F8</f>
        <v>82</v>
      </c>
      <c r="H8" s="25" t="n">
        <f>IFERROR(E8/C8,"")</f>
        <v>0.1368421052631579</v>
      </c>
      <c r="I8" s="25" t="n">
        <f>IFERROR(G8/C8,"")</f>
        <v>0.8631578947368421</v>
      </c>
      <c r="J8" s="25" t="n">
        <f>IFERROR(E8/(D8+E8),"")</f>
        <v>0.5909090909090909</v>
      </c>
    </row>
    <row r="9">
      <c r="A9" s="5" t="inlineStr">
        <is>
          <t>TMT</t>
        </is>
      </c>
      <c r="B9" s="5" t="inlineStr">
        <is>
          <t>S2</t>
        </is>
      </c>
      <c r="C9" s="5" t="n">
        <f>COUNTIFS('04_MATCHING'!$B$2:$B$1026,$A9,'04_MATCHING'!$C$2:$C$1026,$B9)</f>
        <v>89.0</v>
      </c>
      <c r="D9" s="5" t="n">
        <f>COUNTIFS('04_MATCHING'!$B$2:$B$1026,$A9,'04_MATCHING'!$C$2:$C$1026,$B9,'04_MATCHING'!$H$2:$H$1026,"Primary TP")</f>
        <v>10.0</v>
      </c>
      <c r="E9" s="5" t="n">
        <f>COUNTIFS('04_MATCHING'!$B$2:$B$1026,$A9,'04_MATCHING'!$C$2:$C$1026,$B9,'04_MATCHING'!$H$2:$H$1026,"Duplicate")</f>
        <v>14.0</v>
      </c>
      <c r="F9" s="5" t="n">
        <f>COUNTIFS('04_MATCHING'!$B$2:$B$1026,$A9,'04_MATCHING'!$C$2:$C$1026,$B9,'04_MATCHING'!$H$2:$H$1026,"False Positive")</f>
        <v>65.0</v>
      </c>
      <c r="G9" s="5" t="n">
        <f>D9+F9</f>
        <v>75</v>
      </c>
      <c r="H9" s="25" t="n">
        <f>IFERROR(E9/C9,"")</f>
        <v>0.15730337078651685</v>
      </c>
      <c r="I9" s="25" t="n">
        <f>IFERROR(G9/C9,"")</f>
        <v>0.8426966292134831</v>
      </c>
      <c r="J9" s="25" t="n">
        <f>IFERROR(E9/(D9+E9),"")</f>
        <v>0.5833333333333334</v>
      </c>
    </row>
    <row r="10">
      <c r="A10" s="5" t="inlineStr">
        <is>
          <t>TMT</t>
        </is>
      </c>
      <c r="B10" s="5" t="inlineStr">
        <is>
          <t>S3</t>
        </is>
      </c>
      <c r="C10" s="5" t="n">
        <f>COUNTIFS('04_MATCHING'!$B$2:$B$1026,$A10,'04_MATCHING'!$C$2:$C$1026,$B10)</f>
        <v>117.0</v>
      </c>
      <c r="D10" s="5" t="n">
        <f>COUNTIFS('04_MATCHING'!$B$2:$B$1026,$A10,'04_MATCHING'!$C$2:$C$1026,$B10,'04_MATCHING'!$H$2:$H$1026,"Primary TP")</f>
        <v>9.0</v>
      </c>
      <c r="E10" s="5" t="n">
        <f>COUNTIFS('04_MATCHING'!$B$2:$B$1026,$A10,'04_MATCHING'!$C$2:$C$1026,$B10,'04_MATCHING'!$H$2:$H$1026,"Duplicate")</f>
        <v>25.0</v>
      </c>
      <c r="F10" s="5" t="n">
        <f>COUNTIFS('04_MATCHING'!$B$2:$B$1026,$A10,'04_MATCHING'!$C$2:$C$1026,$B10,'04_MATCHING'!$H$2:$H$1026,"False Positive")</f>
        <v>83.0</v>
      </c>
      <c r="G10" s="5" t="n">
        <f>D10+F10</f>
        <v>92</v>
      </c>
      <c r="H10" s="25" t="n">
        <f>IFERROR(E10/C10,"")</f>
        <v>0.21367521367521367</v>
      </c>
      <c r="I10" s="25" t="n">
        <f>IFERROR(G10/C10,"")</f>
        <v>0.7863247863247863</v>
      </c>
      <c r="J10" s="25" t="n">
        <f>IFERROR(E10/(D10+E10),"")</f>
        <v>0.7352941176470589</v>
      </c>
    </row>
    <row r="11">
      <c r="A11" s="5" t="inlineStr">
        <is>
          <t>CHATGPT</t>
        </is>
      </c>
      <c r="B11" s="5" t="inlineStr">
        <is>
          <t>S1</t>
        </is>
      </c>
      <c r="C11" s="5" t="n">
        <f>COUNTIFS('04_MATCHING'!$B$2:$B$1026,$A11,'04_MATCHING'!$C$2:$C$1026,$B11)</f>
        <v>72.0</v>
      </c>
      <c r="D11" s="5" t="n">
        <f>COUNTIFS('04_MATCHING'!$B$2:$B$1026,$A11,'04_MATCHING'!$C$2:$C$1026,$B11,'04_MATCHING'!$H$2:$H$1026,"Primary TP")</f>
        <v>18.0</v>
      </c>
      <c r="E11" s="5" t="n">
        <f>COUNTIFS('04_MATCHING'!$B$2:$B$1026,$A11,'04_MATCHING'!$C$2:$C$1026,$B11,'04_MATCHING'!$H$2:$H$1026,"Duplicate")</f>
        <v>37.0</v>
      </c>
      <c r="F11" s="5" t="n">
        <f>COUNTIFS('04_MATCHING'!$B$2:$B$1026,$A11,'04_MATCHING'!$C$2:$C$1026,$B11,'04_MATCHING'!$H$2:$H$1026,"False Positive")</f>
        <v>17.0</v>
      </c>
      <c r="G11" s="5" t="n">
        <f>D11+F11</f>
        <v>35</v>
      </c>
      <c r="H11" s="25" t="n">
        <f>IFERROR(E11/C11,"")</f>
        <v>0.5138888888888888</v>
      </c>
      <c r="I11" s="25" t="n">
        <f>IFERROR(G11/C11,"")</f>
        <v>0.4861111111111111</v>
      </c>
      <c r="J11" s="25" t="n">
        <f>IFERROR(E11/(D11+E11),"")</f>
        <v>0.6727272727272727</v>
      </c>
    </row>
    <row r="12">
      <c r="A12" s="5" t="inlineStr">
        <is>
          <t>CHATGPT</t>
        </is>
      </c>
      <c r="B12" s="5" t="inlineStr">
        <is>
          <t>S2</t>
        </is>
      </c>
      <c r="C12" s="5" t="n">
        <f>COUNTIFS('04_MATCHING'!$B$2:$B$1026,$A12,'04_MATCHING'!$C$2:$C$1026,$B12)</f>
        <v>60.0</v>
      </c>
      <c r="D12" s="5" t="n">
        <f>COUNTIFS('04_MATCHING'!$B$2:$B$1026,$A12,'04_MATCHING'!$C$2:$C$1026,$B12,'04_MATCHING'!$H$2:$H$1026,"Primary TP")</f>
        <v>18.0</v>
      </c>
      <c r="E12" s="5" t="n">
        <f>COUNTIFS('04_MATCHING'!$B$2:$B$1026,$A12,'04_MATCHING'!$C$2:$C$1026,$B12,'04_MATCHING'!$H$2:$H$1026,"Duplicate")</f>
        <v>24.0</v>
      </c>
      <c r="F12" s="5" t="n">
        <f>COUNTIFS('04_MATCHING'!$B$2:$B$1026,$A12,'04_MATCHING'!$C$2:$C$1026,$B12,'04_MATCHING'!$H$2:$H$1026,"False Positive")</f>
        <v>18.0</v>
      </c>
      <c r="G12" s="5" t="n">
        <f>D12+F12</f>
        <v>36</v>
      </c>
      <c r="H12" s="25" t="n">
        <f>IFERROR(E12/C12,"")</f>
        <v>0.4</v>
      </c>
      <c r="I12" s="25" t="n">
        <f>IFERROR(G12/C12,"")</f>
        <v>0.6</v>
      </c>
      <c r="J12" s="25" t="n">
        <f>IFERROR(E12/(D12+E12),"")</f>
        <v>0.5714285714285714</v>
      </c>
    </row>
    <row r="13">
      <c r="A13" s="5" t="inlineStr">
        <is>
          <t>CHATGPT</t>
        </is>
      </c>
      <c r="B13" s="5" t="inlineStr">
        <is>
          <t>S3</t>
        </is>
      </c>
      <c r="C13" s="5" t="n">
        <f>COUNTIFS('04_MATCHING'!$B$2:$B$1026,$A13,'04_MATCHING'!$C$2:$C$1026,$B13)</f>
        <v>49.0</v>
      </c>
      <c r="D13" s="5" t="n">
        <f>COUNTIFS('04_MATCHING'!$B$2:$B$1026,$A13,'04_MATCHING'!$C$2:$C$1026,$B13,'04_MATCHING'!$H$2:$H$1026,"Primary TP")</f>
        <v>16.0</v>
      </c>
      <c r="E13" s="5" t="n">
        <f>COUNTIFS('04_MATCHING'!$B$2:$B$1026,$A13,'04_MATCHING'!$C$2:$C$1026,$B13,'04_MATCHING'!$H$2:$H$1026,"Duplicate")</f>
        <v>11.0</v>
      </c>
      <c r="F13" s="5" t="n">
        <f>COUNTIFS('04_MATCHING'!$B$2:$B$1026,$A13,'04_MATCHING'!$C$2:$C$1026,$B13,'04_MATCHING'!$H$2:$H$1026,"False Positive")</f>
        <v>22.0</v>
      </c>
      <c r="G13" s="5" t="n">
        <f>D13+F13</f>
        <v>38</v>
      </c>
      <c r="H13" s="25" t="n">
        <f>IFERROR(E13/C13,"")</f>
        <v>0.22448979591836735</v>
      </c>
      <c r="I13" s="25" t="n">
        <f>IFERROR(G13/C13,"")</f>
        <v>0.7755102040816326</v>
      </c>
      <c r="J13" s="25" t="n">
        <f>IFERROR(E13/(D13+E13),"")</f>
        <v>0.4074074074074074</v>
      </c>
    </row>
    <row r="14">
      <c r="A14" s="5" t="inlineStr">
        <is>
          <t>OLLAMA</t>
        </is>
      </c>
      <c r="B14" s="5" t="inlineStr">
        <is>
          <t>S1</t>
        </is>
      </c>
      <c r="C14" s="5" t="n">
        <f>COUNTIFS('04_MATCHING'!$B$2:$B$1026,$A14,'04_MATCHING'!$C$2:$C$1026,$B14)</f>
        <v>40.0</v>
      </c>
      <c r="D14" s="5" t="n">
        <f>COUNTIFS('04_MATCHING'!$B$2:$B$1026,$A14,'04_MATCHING'!$C$2:$C$1026,$B14,'04_MATCHING'!$H$2:$H$1026,"Primary TP")</f>
        <v>6.0</v>
      </c>
      <c r="E14" s="5" t="n">
        <f>COUNTIFS('04_MATCHING'!$B$2:$B$1026,$A14,'04_MATCHING'!$C$2:$C$1026,$B14,'04_MATCHING'!$H$2:$H$1026,"Duplicate")</f>
        <v>15.0</v>
      </c>
      <c r="F14" s="5" t="n">
        <f>COUNTIFS('04_MATCHING'!$B$2:$B$1026,$A14,'04_MATCHING'!$C$2:$C$1026,$B14,'04_MATCHING'!$H$2:$H$1026,"False Positive")</f>
        <v>19.0</v>
      </c>
      <c r="G14" s="5" t="n">
        <f>D14+F14</f>
        <v>25</v>
      </c>
      <c r="H14" s="25" t="n">
        <f>IFERROR(E14/C14,"")</f>
        <v>0.375</v>
      </c>
      <c r="I14" s="25" t="n">
        <f>IFERROR(G14/C14,"")</f>
        <v>0.625</v>
      </c>
      <c r="J14" s="25" t="n">
        <f>IFERROR(E14/(D14+E14),"")</f>
        <v>0.7142857142857143</v>
      </c>
    </row>
    <row r="15">
      <c r="A15" s="5" t="inlineStr">
        <is>
          <t>OLLAMA</t>
        </is>
      </c>
      <c r="B15" s="5" t="inlineStr">
        <is>
          <t>S2</t>
        </is>
      </c>
      <c r="C15" s="5" t="n">
        <f>COUNTIFS('04_MATCHING'!$B$2:$B$1026,$A15,'04_MATCHING'!$C$2:$C$1026,$B15)</f>
        <v>28.0</v>
      </c>
      <c r="D15" s="5" t="n">
        <f>COUNTIFS('04_MATCHING'!$B$2:$B$1026,$A15,'04_MATCHING'!$C$2:$C$1026,$B15,'04_MATCHING'!$H$2:$H$1026,"Primary TP")</f>
        <v>7.0</v>
      </c>
      <c r="E15" s="5" t="n">
        <f>COUNTIFS('04_MATCHING'!$B$2:$B$1026,$A15,'04_MATCHING'!$C$2:$C$1026,$B15,'04_MATCHING'!$H$2:$H$1026,"Duplicate")</f>
        <v>6.0</v>
      </c>
      <c r="F15" s="5" t="n">
        <f>COUNTIFS('04_MATCHING'!$B$2:$B$1026,$A15,'04_MATCHING'!$C$2:$C$1026,$B15,'04_MATCHING'!$H$2:$H$1026,"False Positive")</f>
        <v>15.0</v>
      </c>
      <c r="G15" s="5" t="n">
        <f>D15+F15</f>
        <v>22</v>
      </c>
      <c r="H15" s="25" t="n">
        <f>IFERROR(E15/C15,"")</f>
        <v>0.21428571428571427</v>
      </c>
      <c r="I15" s="25" t="n">
        <f>IFERROR(G15/C15,"")</f>
        <v>0.7857142857142857</v>
      </c>
      <c r="J15" s="25" t="n">
        <f>IFERROR(E15/(D15+E15),"")</f>
        <v>0.46153846153846156</v>
      </c>
    </row>
    <row r="16">
      <c r="A16" s="5" t="inlineStr">
        <is>
          <t>OLLAMA</t>
        </is>
      </c>
      <c r="B16" s="5" t="inlineStr">
        <is>
          <t>S3</t>
        </is>
      </c>
      <c r="C16" s="5" t="n">
        <f>COUNTIFS('04_MATCHING'!$B$2:$B$1026,$A16,'04_MATCHING'!$C$2:$C$1026,$B16)</f>
        <v>24.0</v>
      </c>
      <c r="D16" s="5" t="n">
        <f>COUNTIFS('04_MATCHING'!$B$2:$B$1026,$A16,'04_MATCHING'!$C$2:$C$1026,$B16,'04_MATCHING'!$H$2:$H$1026,"Primary TP")</f>
        <v>7.0</v>
      </c>
      <c r="E16" s="5" t="n">
        <f>COUNTIFS('04_MATCHING'!$B$2:$B$1026,$A16,'04_MATCHING'!$C$2:$C$1026,$B16,'04_MATCHING'!$H$2:$H$1026,"Duplicate")</f>
        <v>5.0</v>
      </c>
      <c r="F16" s="5" t="n">
        <f>COUNTIFS('04_MATCHING'!$B$2:$B$1026,$A16,'04_MATCHING'!$C$2:$C$1026,$B16,'04_MATCHING'!$H$2:$H$1026,"False Positive")</f>
        <v>12.0</v>
      </c>
      <c r="G16" s="5" t="n">
        <f>D16+F16</f>
        <v>19</v>
      </c>
      <c r="H16" s="25" t="n">
        <f>IFERROR(E16/C16,"")</f>
        <v>0.20833333333333334</v>
      </c>
      <c r="I16" s="25" t="n">
        <f>IFERROR(G16/C16,"")</f>
        <v>0.7916666666666666</v>
      </c>
      <c r="J16" s="25" t="n">
        <f>IFERROR(E16/(D16+E16),"")</f>
        <v>0.4166666666666667</v>
      </c>
    </row>
    <row r="17">
      <c r="A17" s="5" t="inlineStr">
        <is>
          <t>THREMOLIA</t>
        </is>
      </c>
      <c r="B17" s="5" t="inlineStr">
        <is>
          <t>S1</t>
        </is>
      </c>
      <c r="C17" s="5" t="n">
        <f>COUNTIFS('04_MATCHING'!$B$2:$B$1026,$A17,'04_MATCHING'!$C$2:$C$1026,$B17)</f>
        <v>106.0</v>
      </c>
      <c r="D17" s="5" t="n">
        <f>COUNTIFS('04_MATCHING'!$B$2:$B$1026,$A17,'04_MATCHING'!$C$2:$C$1026,$B17,'04_MATCHING'!$H$2:$H$1026,"Primary TP")</f>
        <v>26.0</v>
      </c>
      <c r="E17" s="5" t="n">
        <f>COUNTIFS('04_MATCHING'!$B$2:$B$1026,$A17,'04_MATCHING'!$C$2:$C$1026,$B17,'04_MATCHING'!$H$2:$H$1026,"Duplicate")</f>
        <v>51.0</v>
      </c>
      <c r="F17" s="5" t="n">
        <f>COUNTIFS('04_MATCHING'!$B$2:$B$1026,$A17,'04_MATCHING'!$C$2:$C$1026,$B17,'04_MATCHING'!$H$2:$H$1026,"False Positive")</f>
        <v>29.0</v>
      </c>
      <c r="G17" s="5" t="n">
        <f>D17+F17</f>
        <v>55</v>
      </c>
      <c r="H17" s="25" t="n">
        <f>IFERROR(E17/C17,"")</f>
        <v>0.4811320754716981</v>
      </c>
      <c r="I17" s="25" t="n">
        <f>IFERROR(G17/C17,"")</f>
        <v>0.5188679245283019</v>
      </c>
      <c r="J17" s="25" t="n">
        <f>IFERROR(E17/(D17+E17),"")</f>
        <v>0.6623376623376623</v>
      </c>
    </row>
    <row r="18">
      <c r="A18" s="5" t="inlineStr">
        <is>
          <t>THREMOLIA</t>
        </is>
      </c>
      <c r="B18" s="5" t="inlineStr">
        <is>
          <t>S2</t>
        </is>
      </c>
      <c r="C18" s="5" t="n">
        <f>COUNTIFS('04_MATCHING'!$B$2:$B$1026,$A18,'04_MATCHING'!$C$2:$C$1026,$B18)</f>
        <v>105.0</v>
      </c>
      <c r="D18" s="5" t="n">
        <f>COUNTIFS('04_MATCHING'!$B$2:$B$1026,$A18,'04_MATCHING'!$C$2:$C$1026,$B18,'04_MATCHING'!$H$2:$H$1026,"Primary TP")</f>
        <v>23.0</v>
      </c>
      <c r="E18" s="5" t="n">
        <f>COUNTIFS('04_MATCHING'!$B$2:$B$1026,$A18,'04_MATCHING'!$C$2:$C$1026,$B18,'04_MATCHING'!$H$2:$H$1026,"Duplicate")</f>
        <v>59.0</v>
      </c>
      <c r="F18" s="5" t="n">
        <f>COUNTIFS('04_MATCHING'!$B$2:$B$1026,$A18,'04_MATCHING'!$C$2:$C$1026,$B18,'04_MATCHING'!$H$2:$H$1026,"False Positive")</f>
        <v>23.0</v>
      </c>
      <c r="G18" s="5" t="n">
        <f>D18+F18</f>
        <v>46</v>
      </c>
      <c r="H18" s="25" t="n">
        <f>IFERROR(E18/C18,"")</f>
        <v>0.5619047619047619</v>
      </c>
      <c r="I18" s="25" t="n">
        <f>IFERROR(G18/C18,"")</f>
        <v>0.4380952380952381</v>
      </c>
      <c r="J18" s="25" t="n">
        <f>IFERROR(E18/(D18+E18),"")</f>
        <v>0.7195121951219512</v>
      </c>
    </row>
    <row r="19">
      <c r="A19" s="5" t="inlineStr">
        <is>
          <t>THREMOLIA</t>
        </is>
      </c>
      <c r="B19" s="5" t="inlineStr">
        <is>
          <t>S3</t>
        </is>
      </c>
      <c r="C19" s="5" t="n">
        <f>COUNTIFS('04_MATCHING'!$B$2:$B$1026,$A19,'04_MATCHING'!$C$2:$C$1026,$B19)</f>
        <v>117.0</v>
      </c>
      <c r="D19" s="5" t="n">
        <f>COUNTIFS('04_MATCHING'!$B$2:$B$1026,$A19,'04_MATCHING'!$C$2:$C$1026,$B19,'04_MATCHING'!$H$2:$H$1026,"Primary TP")</f>
        <v>20.0</v>
      </c>
      <c r="E19" s="5" t="n">
        <f>COUNTIFS('04_MATCHING'!$B$2:$B$1026,$A19,'04_MATCHING'!$C$2:$C$1026,$B19,'04_MATCHING'!$H$2:$H$1026,"Duplicate")</f>
        <v>54.0</v>
      </c>
      <c r="F19" s="5" t="n">
        <f>COUNTIFS('04_MATCHING'!$B$2:$B$1026,$A19,'04_MATCHING'!$C$2:$C$1026,$B19,'04_MATCHING'!$H$2:$H$1026,"False Positive")</f>
        <v>43.0</v>
      </c>
      <c r="G19" s="5" t="n">
        <f>D19+F19</f>
        <v>63</v>
      </c>
      <c r="H19" s="25" t="n">
        <f>IFERROR(E19/C19,"")</f>
        <v>0.46153846153846156</v>
      </c>
      <c r="I19" s="25" t="n">
        <f>IFERROR(G19/C19,"")</f>
        <v>0.5384615384615384</v>
      </c>
      <c r="J19" s="25" t="n">
        <f>IFERROR(E19/(D19+E19),"")</f>
        <v>0.7297297297297297</v>
      </c>
    </row>
    <row r="20">
      <c r="A20" s="6" t="inlineStr">
        <is>
          <t>TOTAL</t>
        </is>
      </c>
      <c r="B20" s="6" t="inlineStr">
        <is>
          <t>All</t>
        </is>
      </c>
      <c r="C20" s="6" t="n">
        <f>SUM(C5:C19)</f>
        <v>1025</v>
      </c>
      <c r="D20" s="6" t="n">
        <f>SUM(D5:D19)</f>
        <v>188</v>
      </c>
      <c r="E20" s="6" t="n">
        <f>SUM(E5:E19)</f>
        <v>339</v>
      </c>
      <c r="F20" s="6" t="n">
        <f>SUM(F5:F19)</f>
        <v>498</v>
      </c>
      <c r="G20" s="6" t="n">
        <f>SUM(G5:G19)</f>
        <v>686</v>
      </c>
      <c r="H20" s="27" t="n">
        <f>IFERROR(E20/C20,"")</f>
        <v>0.3307317073170732</v>
      </c>
      <c r="I20" s="27" t="n">
        <f>IFERROR(G20/C20,"")</f>
        <v>0.6692682926829269</v>
      </c>
      <c r="J20" s="27" t="n">
        <f>IFERROR(E20/(D20+E20),"")</f>
        <v>0.6432637571157496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outlineLevelCol="0"/>
  <cols>
    <col width="14" customWidth="1" min="1" max="1"/>
    <col width="10" customWidth="1" min="2" max="2"/>
    <col width="11" customWidth="1" min="3" max="3"/>
    <col width="11" customWidth="1" min="4" max="4"/>
    <col width="9" customWidth="1" min="5" max="5"/>
    <col width="9" customWidth="1" min="6" max="6"/>
    <col width="11" customWidth="1" min="7" max="7"/>
    <col width="9" customWidth="1" min="8" max="8"/>
  </cols>
  <sheetData>
    <row r="1">
      <c r="A1" s="1" t="inlineStr">
        <is>
          <t>Severity Analysis</t>
        </is>
      </c>
    </row>
    <row r="4">
      <c r="A4" s="2" t="inlineStr">
        <is>
          <t>Severity only from the expert baseline. Weights fixed a priori: Critical=3, High=2, Medium=1 (never changed after seeing results).</t>
        </is>
      </c>
    </row>
    <row r="5">
      <c r="A5" s="4" t="inlineStr">
        <is>
          <t>Approach</t>
        </is>
      </c>
      <c r="B5" s="4" t="inlineStr">
        <is>
          <t>Scenario</t>
        </is>
      </c>
      <c r="C5" s="4" t="inlineStr">
        <is>
          <t>Severity</t>
        </is>
      </c>
      <c r="D5" s="4" t="inlineStr">
        <is>
          <t>Reference</t>
        </is>
      </c>
      <c r="E5" s="4" t="inlineStr">
        <is>
          <t>TP</t>
        </is>
      </c>
      <c r="F5" s="4" t="inlineStr">
        <is>
          <t>FN</t>
        </is>
      </c>
      <c r="G5" s="4" t="inlineStr">
        <is>
          <t>Recall</t>
        </is>
      </c>
      <c r="H5" s="4" t="inlineStr">
        <is>
          <t>Weight</t>
        </is>
      </c>
    </row>
    <row r="6">
      <c r="A6" s="5" t="inlineStr">
        <is>
          <t>OWASP</t>
        </is>
      </c>
      <c r="B6" s="5" t="inlineStr">
        <is>
          <t>S1</t>
        </is>
      </c>
      <c r="C6" s="5" t="inlineStr">
        <is>
          <t>Critical</t>
        </is>
      </c>
      <c r="D6" s="5" t="n">
        <f>COUNTIFS('02_REFERENCE'!$B$2:$B$99,$B6,'02_REFERENCE'!$O$2:$O$99,$C6,'02_REFERENCE'!$S$2:$S$99,"YES")</f>
        <v>5.0</v>
      </c>
      <c r="E6" s="5" t="n">
        <f>COUNTIFS('04_MATCHING'!$B$2:$B$1026,$A6,'04_MATCHING'!$C$2:$C$1026,$B6,'04_MATCHING'!$H$2:$H$1026,"Primary TP",'04_MATCHING'!$E$2:$E$1026,$C6)</f>
        <v>2.0</v>
      </c>
      <c r="F6" s="5" t="n">
        <f>D6-E6</f>
        <v>3</v>
      </c>
      <c r="G6" s="25" t="n">
        <f>IFERROR(E6/D6,"")</f>
        <v>0.4</v>
      </c>
      <c r="H6" s="31" t="n">
        <v>3</v>
      </c>
    </row>
    <row r="7">
      <c r="A7" s="5" t="inlineStr">
        <is>
          <t>OWASP</t>
        </is>
      </c>
      <c r="B7" s="5" t="inlineStr">
        <is>
          <t>S1</t>
        </is>
      </c>
      <c r="C7" s="5" t="inlineStr">
        <is>
          <t>High</t>
        </is>
      </c>
      <c r="D7" s="5" t="n">
        <f>COUNTIFS('02_REFERENCE'!$B$2:$B$99,$B7,'02_REFERENCE'!$O$2:$O$99,$C7,'02_REFERENCE'!$S$2:$S$99,"YES")</f>
        <v>17.0</v>
      </c>
      <c r="E7" s="5" t="n">
        <f>COUNTIFS('04_MATCHING'!$B$2:$B$1026,$A7,'04_MATCHING'!$C$2:$C$1026,$B7,'04_MATCHING'!$H$2:$H$1026,"Primary TP",'04_MATCHING'!$E$2:$E$1026,$C7)</f>
        <v>2.0</v>
      </c>
      <c r="F7" s="5" t="n">
        <f>D7-E7</f>
        <v>15</v>
      </c>
      <c r="G7" s="25" t="n">
        <f>IFERROR(E7/D7,"")</f>
        <v>0.11764705882352941</v>
      </c>
      <c r="H7" s="31" t="n">
        <v>2</v>
      </c>
    </row>
    <row r="8">
      <c r="A8" s="5" t="inlineStr">
        <is>
          <t>OWASP</t>
        </is>
      </c>
      <c r="B8" s="5" t="inlineStr">
        <is>
          <t>S1</t>
        </is>
      </c>
      <c r="C8" s="5" t="inlineStr">
        <is>
          <t>Medium</t>
        </is>
      </c>
      <c r="D8" s="5" t="n">
        <f>COUNTIFS('02_REFERENCE'!$B$2:$B$99,$B8,'02_REFERENCE'!$O$2:$O$99,$C8,'02_REFERENCE'!$S$2:$S$99,"YES")</f>
        <v>10.0</v>
      </c>
      <c r="E8" s="5" t="n">
        <f>COUNTIFS('04_MATCHING'!$B$2:$B$1026,$A8,'04_MATCHING'!$C$2:$C$1026,$B8,'04_MATCHING'!$H$2:$H$1026,"Primary TP",'04_MATCHING'!$E$2:$E$1026,$C8)</f>
        <v>2.0</v>
      </c>
      <c r="F8" s="5" t="n">
        <f>D8-E8</f>
        <v>8</v>
      </c>
      <c r="G8" s="25" t="n">
        <f>IFERROR(E8/D8,"")</f>
        <v>0.2</v>
      </c>
      <c r="H8" s="31" t="n">
        <v>1</v>
      </c>
    </row>
    <row r="9">
      <c r="A9" s="5" t="inlineStr">
        <is>
          <t>OWASP</t>
        </is>
      </c>
      <c r="B9" s="5" t="inlineStr">
        <is>
          <t>S2</t>
        </is>
      </c>
      <c r="C9" s="5" t="inlineStr">
        <is>
          <t>Critical</t>
        </is>
      </c>
      <c r="D9" s="5" t="n">
        <f>COUNTIFS('02_REFERENCE'!$B$2:$B$99,$B9,'02_REFERENCE'!$O$2:$O$99,$C9,'02_REFERENCE'!$S$2:$S$99,"YES")</f>
        <v>9.0</v>
      </c>
      <c r="E9" s="5" t="n">
        <f>COUNTIFS('04_MATCHING'!$B$2:$B$1026,$A9,'04_MATCHING'!$C$2:$C$1026,$B9,'04_MATCHING'!$H$2:$H$1026,"Primary TP",'04_MATCHING'!$E$2:$E$1026,$C9)</f>
        <v>2.0</v>
      </c>
      <c r="F9" s="5" t="n">
        <f>D9-E9</f>
        <v>7</v>
      </c>
      <c r="G9" s="25" t="n">
        <f>IFERROR(E9/D9,"")</f>
        <v>0.2222222222222222</v>
      </c>
      <c r="H9" s="31" t="n">
        <v>3</v>
      </c>
    </row>
    <row r="10">
      <c r="A10" s="5" t="inlineStr">
        <is>
          <t>OWASP</t>
        </is>
      </c>
      <c r="B10" s="5" t="inlineStr">
        <is>
          <t>S2</t>
        </is>
      </c>
      <c r="C10" s="5" t="inlineStr">
        <is>
          <t>High</t>
        </is>
      </c>
      <c r="D10" s="5" t="n">
        <f>COUNTIFS('02_REFERENCE'!$B$2:$B$99,$B10,'02_REFERENCE'!$O$2:$O$99,$C10,'02_REFERENCE'!$S$2:$S$99,"YES")</f>
        <v>16.0</v>
      </c>
      <c r="E10" s="5" t="n">
        <f>COUNTIFS('04_MATCHING'!$B$2:$B$1026,$A10,'04_MATCHING'!$C$2:$C$1026,$B10,'04_MATCHING'!$H$2:$H$1026,"Primary TP",'04_MATCHING'!$E$2:$E$1026,$C10)</f>
        <v>3.0</v>
      </c>
      <c r="F10" s="5" t="n">
        <f>D10-E10</f>
        <v>13</v>
      </c>
      <c r="G10" s="25" t="n">
        <f>IFERROR(E10/D10,"")</f>
        <v>0.1875</v>
      </c>
      <c r="H10" s="31" t="n">
        <v>2</v>
      </c>
    </row>
    <row r="11">
      <c r="A11" s="5" t="inlineStr">
        <is>
          <t>OWASP</t>
        </is>
      </c>
      <c r="B11" s="5" t="inlineStr">
        <is>
          <t>S2</t>
        </is>
      </c>
      <c r="C11" s="5" t="inlineStr">
        <is>
          <t>Medium</t>
        </is>
      </c>
      <c r="D11" s="5" t="n">
        <f>COUNTIFS('02_REFERENCE'!$B$2:$B$99,$B11,'02_REFERENCE'!$O$2:$O$99,$C11,'02_REFERENCE'!$S$2:$S$99,"YES")</f>
        <v>8.0</v>
      </c>
      <c r="E11" s="5" t="n">
        <f>COUNTIFS('04_MATCHING'!$B$2:$B$1026,$A11,'04_MATCHING'!$C$2:$C$1026,$B11,'04_MATCHING'!$H$2:$H$1026,"Primary TP",'04_MATCHING'!$E$2:$E$1026,$C11)</f>
        <v>1.0</v>
      </c>
      <c r="F11" s="5" t="n">
        <f>D11-E11</f>
        <v>7</v>
      </c>
      <c r="G11" s="25" t="n">
        <f>IFERROR(E11/D11,"")</f>
        <v>0.125</v>
      </c>
      <c r="H11" s="31" t="n">
        <v>1</v>
      </c>
    </row>
    <row r="12">
      <c r="A12" s="5" t="inlineStr">
        <is>
          <t>OWASP</t>
        </is>
      </c>
      <c r="B12" s="5" t="inlineStr">
        <is>
          <t>S3</t>
        </is>
      </c>
      <c r="C12" s="5" t="inlineStr">
        <is>
          <t>Critical</t>
        </is>
      </c>
      <c r="D12" s="5" t="n">
        <f>COUNTIFS('02_REFERENCE'!$B$2:$B$99,$B12,'02_REFERENCE'!$O$2:$O$99,$C12,'02_REFERENCE'!$S$2:$S$99,"YES")</f>
        <v>8.0</v>
      </c>
      <c r="E12" s="5" t="n">
        <f>COUNTIFS('04_MATCHING'!$B$2:$B$1026,$A12,'04_MATCHING'!$C$2:$C$1026,$B12,'04_MATCHING'!$H$2:$H$1026,"Primary TP",'04_MATCHING'!$E$2:$E$1026,$C12)</f>
        <v>2.0</v>
      </c>
      <c r="F12" s="5" t="n">
        <f>D12-E12</f>
        <v>6</v>
      </c>
      <c r="G12" s="25" t="n">
        <f>IFERROR(E12/D12,"")</f>
        <v>0.25</v>
      </c>
      <c r="H12" s="31" t="n">
        <v>3</v>
      </c>
    </row>
    <row r="13">
      <c r="A13" s="5" t="inlineStr">
        <is>
          <t>OWASP</t>
        </is>
      </c>
      <c r="B13" s="5" t="inlineStr">
        <is>
          <t>S3</t>
        </is>
      </c>
      <c r="C13" s="5" t="inlineStr">
        <is>
          <t>High</t>
        </is>
      </c>
      <c r="D13" s="5" t="n">
        <f>COUNTIFS('02_REFERENCE'!$B$2:$B$99,$B13,'02_REFERENCE'!$O$2:$O$99,$C13,'02_REFERENCE'!$S$2:$S$99,"YES")</f>
        <v>17.0</v>
      </c>
      <c r="E13" s="5" t="n">
        <f>COUNTIFS('04_MATCHING'!$B$2:$B$1026,$A13,'04_MATCHING'!$C$2:$C$1026,$B13,'04_MATCHING'!$H$2:$H$1026,"Primary TP",'04_MATCHING'!$E$2:$E$1026,$C13)</f>
        <v>3.0</v>
      </c>
      <c r="F13" s="5" t="n">
        <f>D13-E13</f>
        <v>14</v>
      </c>
      <c r="G13" s="25" t="n">
        <f>IFERROR(E13/D13,"")</f>
        <v>0.17647058823529413</v>
      </c>
      <c r="H13" s="31" t="n">
        <v>2</v>
      </c>
    </row>
    <row r="14">
      <c r="A14" s="5" t="inlineStr">
        <is>
          <t>OWASP</t>
        </is>
      </c>
      <c r="B14" s="5" t="inlineStr">
        <is>
          <t>S3</t>
        </is>
      </c>
      <c r="C14" s="5" t="inlineStr">
        <is>
          <t>Medium</t>
        </is>
      </c>
      <c r="D14" s="5" t="n">
        <f>COUNTIFS('02_REFERENCE'!$B$2:$B$99,$B14,'02_REFERENCE'!$O$2:$O$99,$C14,'02_REFERENCE'!$S$2:$S$99,"YES")</f>
        <v>8.0</v>
      </c>
      <c r="E14" s="5" t="n">
        <f>COUNTIFS('04_MATCHING'!$B$2:$B$1026,$A14,'04_MATCHING'!$C$2:$C$1026,$B14,'04_MATCHING'!$H$2:$H$1026,"Primary TP",'04_MATCHING'!$E$2:$E$1026,$C14)</f>
        <v>2.0</v>
      </c>
      <c r="F14" s="5" t="n">
        <f>D14-E14</f>
        <v>6</v>
      </c>
      <c r="G14" s="25" t="n">
        <f>IFERROR(E14/D14,"")</f>
        <v>0.25</v>
      </c>
      <c r="H14" s="31" t="n">
        <v>1</v>
      </c>
    </row>
    <row r="15">
      <c r="A15" s="5" t="inlineStr">
        <is>
          <t>TMT</t>
        </is>
      </c>
      <c r="B15" s="5" t="inlineStr">
        <is>
          <t>S1</t>
        </is>
      </c>
      <c r="C15" s="5" t="inlineStr">
        <is>
          <t>Critical</t>
        </is>
      </c>
      <c r="D15" s="5" t="n">
        <f>COUNTIFS('02_REFERENCE'!$B$2:$B$99,$B15,'02_REFERENCE'!$O$2:$O$99,$C15,'02_REFERENCE'!$S$2:$S$99,"YES")</f>
        <v>5.0</v>
      </c>
      <c r="E15" s="5" t="n">
        <f>COUNTIFS('04_MATCHING'!$B$2:$B$1026,$A15,'04_MATCHING'!$C$2:$C$1026,$B15,'04_MATCHING'!$H$2:$H$1026,"Primary TP",'04_MATCHING'!$E$2:$E$1026,$C15)</f>
        <v>4.0</v>
      </c>
      <c r="F15" s="5" t="n">
        <f>D15-E15</f>
        <v>1</v>
      </c>
      <c r="G15" s="25" t="n">
        <f>IFERROR(E15/D15,"")</f>
        <v>0.8</v>
      </c>
      <c r="H15" s="31" t="n">
        <v>3</v>
      </c>
    </row>
    <row r="16">
      <c r="A16" s="5" t="inlineStr">
        <is>
          <t>TMT</t>
        </is>
      </c>
      <c r="B16" s="5" t="inlineStr">
        <is>
          <t>S1</t>
        </is>
      </c>
      <c r="C16" s="5" t="inlineStr">
        <is>
          <t>High</t>
        </is>
      </c>
      <c r="D16" s="5" t="n">
        <f>COUNTIFS('02_REFERENCE'!$B$2:$B$99,$B16,'02_REFERENCE'!$O$2:$O$99,$C16,'02_REFERENCE'!$S$2:$S$99,"YES")</f>
        <v>17.0</v>
      </c>
      <c r="E16" s="5" t="n">
        <f>COUNTIFS('04_MATCHING'!$B$2:$B$1026,$A16,'04_MATCHING'!$C$2:$C$1026,$B16,'04_MATCHING'!$H$2:$H$1026,"Primary TP",'04_MATCHING'!$E$2:$E$1026,$C16)</f>
        <v>2.0</v>
      </c>
      <c r="F16" s="5" t="n">
        <f>D16-E16</f>
        <v>15</v>
      </c>
      <c r="G16" s="25" t="n">
        <f>IFERROR(E16/D16,"")</f>
        <v>0.11764705882352941</v>
      </c>
      <c r="H16" s="31" t="n">
        <v>2</v>
      </c>
    </row>
    <row r="17">
      <c r="A17" s="5" t="inlineStr">
        <is>
          <t>TMT</t>
        </is>
      </c>
      <c r="B17" s="5" t="inlineStr">
        <is>
          <t>S1</t>
        </is>
      </c>
      <c r="C17" s="5" t="inlineStr">
        <is>
          <t>Medium</t>
        </is>
      </c>
      <c r="D17" s="5" t="n">
        <f>COUNTIFS('02_REFERENCE'!$B$2:$B$99,$B17,'02_REFERENCE'!$O$2:$O$99,$C17,'02_REFERENCE'!$S$2:$S$99,"YES")</f>
        <v>10.0</v>
      </c>
      <c r="E17" s="5" t="n">
        <f>COUNTIFS('04_MATCHING'!$B$2:$B$1026,$A17,'04_MATCHING'!$C$2:$C$1026,$B17,'04_MATCHING'!$H$2:$H$1026,"Primary TP",'04_MATCHING'!$E$2:$E$1026,$C17)</f>
        <v>3.0</v>
      </c>
      <c r="F17" s="5" t="n">
        <f>D17-E17</f>
        <v>7</v>
      </c>
      <c r="G17" s="25" t="n">
        <f>IFERROR(E17/D17,"")</f>
        <v>0.3</v>
      </c>
      <c r="H17" s="31" t="n">
        <v>1</v>
      </c>
    </row>
    <row r="18">
      <c r="A18" s="5" t="inlineStr">
        <is>
          <t>TMT</t>
        </is>
      </c>
      <c r="B18" s="5" t="inlineStr">
        <is>
          <t>S2</t>
        </is>
      </c>
      <c r="C18" s="5" t="inlineStr">
        <is>
          <t>Critical</t>
        </is>
      </c>
      <c r="D18" s="5" t="n">
        <f>COUNTIFS('02_REFERENCE'!$B$2:$B$99,$B18,'02_REFERENCE'!$O$2:$O$99,$C18,'02_REFERENCE'!$S$2:$S$99,"YES")</f>
        <v>9.0</v>
      </c>
      <c r="E18" s="5" t="n">
        <f>COUNTIFS('04_MATCHING'!$B$2:$B$1026,$A18,'04_MATCHING'!$C$2:$C$1026,$B18,'04_MATCHING'!$H$2:$H$1026,"Primary TP",'04_MATCHING'!$E$2:$E$1026,$C18)</f>
        <v>2.0</v>
      </c>
      <c r="F18" s="5" t="n">
        <f>D18-E18</f>
        <v>7</v>
      </c>
      <c r="G18" s="25" t="n">
        <f>IFERROR(E18/D18,"")</f>
        <v>0.2222222222222222</v>
      </c>
      <c r="H18" s="31" t="n">
        <v>3</v>
      </c>
    </row>
    <row r="19">
      <c r="A19" s="5" t="inlineStr">
        <is>
          <t>TMT</t>
        </is>
      </c>
      <c r="B19" s="5" t="inlineStr">
        <is>
          <t>S2</t>
        </is>
      </c>
      <c r="C19" s="5" t="inlineStr">
        <is>
          <t>High</t>
        </is>
      </c>
      <c r="D19" s="5" t="n">
        <f>COUNTIFS('02_REFERENCE'!$B$2:$B$99,$B19,'02_REFERENCE'!$O$2:$O$99,$C19,'02_REFERENCE'!$S$2:$S$99,"YES")</f>
        <v>16.0</v>
      </c>
      <c r="E19" s="5" t="n">
        <f>COUNTIFS('04_MATCHING'!$B$2:$B$1026,$A19,'04_MATCHING'!$C$2:$C$1026,$B19,'04_MATCHING'!$H$2:$H$1026,"Primary TP",'04_MATCHING'!$E$2:$E$1026,$C19)</f>
        <v>6.0</v>
      </c>
      <c r="F19" s="5" t="n">
        <f>D19-E19</f>
        <v>10</v>
      </c>
      <c r="G19" s="25" t="n">
        <f>IFERROR(E19/D19,"")</f>
        <v>0.375</v>
      </c>
      <c r="H19" s="31" t="n">
        <v>2</v>
      </c>
    </row>
    <row r="20">
      <c r="A20" s="5" t="inlineStr">
        <is>
          <t>TMT</t>
        </is>
      </c>
      <c r="B20" s="5" t="inlineStr">
        <is>
          <t>S2</t>
        </is>
      </c>
      <c r="C20" s="5" t="inlineStr">
        <is>
          <t>Medium</t>
        </is>
      </c>
      <c r="D20" s="5" t="n">
        <f>COUNTIFS('02_REFERENCE'!$B$2:$B$99,$B20,'02_REFERENCE'!$O$2:$O$99,$C20,'02_REFERENCE'!$S$2:$S$99,"YES")</f>
        <v>8.0</v>
      </c>
      <c r="E20" s="5" t="n">
        <f>COUNTIFS('04_MATCHING'!$B$2:$B$1026,$A20,'04_MATCHING'!$C$2:$C$1026,$B20,'04_MATCHING'!$H$2:$H$1026,"Primary TP",'04_MATCHING'!$E$2:$E$1026,$C20)</f>
        <v>2.0</v>
      </c>
      <c r="F20" s="5" t="n">
        <f>D20-E20</f>
        <v>6</v>
      </c>
      <c r="G20" s="25" t="n">
        <f>IFERROR(E20/D20,"")</f>
        <v>0.25</v>
      </c>
      <c r="H20" s="31" t="n">
        <v>1</v>
      </c>
    </row>
    <row r="21">
      <c r="A21" s="5" t="inlineStr">
        <is>
          <t>TMT</t>
        </is>
      </c>
      <c r="B21" s="5" t="inlineStr">
        <is>
          <t>S3</t>
        </is>
      </c>
      <c r="C21" s="5" t="inlineStr">
        <is>
          <t>Critical</t>
        </is>
      </c>
      <c r="D21" s="5" t="n">
        <f>COUNTIFS('02_REFERENCE'!$B$2:$B$99,$B21,'02_REFERENCE'!$O$2:$O$99,$C21,'02_REFERENCE'!$S$2:$S$99,"YES")</f>
        <v>8.0</v>
      </c>
      <c r="E21" s="5" t="n">
        <f>COUNTIFS('04_MATCHING'!$B$2:$B$1026,$A21,'04_MATCHING'!$C$2:$C$1026,$B21,'04_MATCHING'!$H$2:$H$1026,"Primary TP",'04_MATCHING'!$E$2:$E$1026,$C21)</f>
        <v>2.0</v>
      </c>
      <c r="F21" s="5" t="n">
        <f>D21-E21</f>
        <v>6</v>
      </c>
      <c r="G21" s="25" t="n">
        <f>IFERROR(E21/D21,"")</f>
        <v>0.25</v>
      </c>
      <c r="H21" s="31" t="n">
        <v>3</v>
      </c>
    </row>
    <row r="22">
      <c r="A22" s="5" t="inlineStr">
        <is>
          <t>TMT</t>
        </is>
      </c>
      <c r="B22" s="5" t="inlineStr">
        <is>
          <t>S3</t>
        </is>
      </c>
      <c r="C22" s="5" t="inlineStr">
        <is>
          <t>High</t>
        </is>
      </c>
      <c r="D22" s="5" t="n">
        <f>COUNTIFS('02_REFERENCE'!$B$2:$B$99,$B22,'02_REFERENCE'!$O$2:$O$99,$C22,'02_REFERENCE'!$S$2:$S$99,"YES")</f>
        <v>17.0</v>
      </c>
      <c r="E22" s="5" t="n">
        <f>COUNTIFS('04_MATCHING'!$B$2:$B$1026,$A22,'04_MATCHING'!$C$2:$C$1026,$B22,'04_MATCHING'!$H$2:$H$1026,"Primary TP",'04_MATCHING'!$E$2:$E$1026,$C22)</f>
        <v>5.0</v>
      </c>
      <c r="F22" s="5" t="n">
        <f>D22-E22</f>
        <v>12</v>
      </c>
      <c r="G22" s="25" t="n">
        <f>IFERROR(E22/D22,"")</f>
        <v>0.29411764705882354</v>
      </c>
      <c r="H22" s="31" t="n">
        <v>2</v>
      </c>
    </row>
    <row r="23">
      <c r="A23" s="5" t="inlineStr">
        <is>
          <t>TMT</t>
        </is>
      </c>
      <c r="B23" s="5" t="inlineStr">
        <is>
          <t>S3</t>
        </is>
      </c>
      <c r="C23" s="5" t="inlineStr">
        <is>
          <t>Medium</t>
        </is>
      </c>
      <c r="D23" s="5" t="n">
        <f>COUNTIFS('02_REFERENCE'!$B$2:$B$99,$B23,'02_REFERENCE'!$O$2:$O$99,$C23,'02_REFERENCE'!$S$2:$S$99,"YES")</f>
        <v>8.0</v>
      </c>
      <c r="E23" s="5" t="n">
        <f>COUNTIFS('04_MATCHING'!$B$2:$B$1026,$A23,'04_MATCHING'!$C$2:$C$1026,$B23,'04_MATCHING'!$H$2:$H$1026,"Primary TP",'04_MATCHING'!$E$2:$E$1026,$C23)</f>
        <v>2.0</v>
      </c>
      <c r="F23" s="5" t="n">
        <f>D23-E23</f>
        <v>6</v>
      </c>
      <c r="G23" s="25" t="n">
        <f>IFERROR(E23/D23,"")</f>
        <v>0.25</v>
      </c>
      <c r="H23" s="31" t="n">
        <v>1</v>
      </c>
    </row>
    <row r="24">
      <c r="A24" s="5" t="inlineStr">
        <is>
          <t>CHATGPT</t>
        </is>
      </c>
      <c r="B24" s="5" t="inlineStr">
        <is>
          <t>S1</t>
        </is>
      </c>
      <c r="C24" s="5" t="inlineStr">
        <is>
          <t>Critical</t>
        </is>
      </c>
      <c r="D24" s="5" t="n">
        <f>COUNTIFS('02_REFERENCE'!$B$2:$B$99,$B24,'02_REFERENCE'!$O$2:$O$99,$C24,'02_REFERENCE'!$S$2:$S$99,"YES")</f>
        <v>5.0</v>
      </c>
      <c r="E24" s="5" t="n">
        <f>COUNTIFS('04_MATCHING'!$B$2:$B$1026,$A24,'04_MATCHING'!$C$2:$C$1026,$B24,'04_MATCHING'!$H$2:$H$1026,"Primary TP",'04_MATCHING'!$E$2:$E$1026,$C24)</f>
        <v>4.0</v>
      </c>
      <c r="F24" s="5" t="n">
        <f>D24-E24</f>
        <v>1</v>
      </c>
      <c r="G24" s="25" t="n">
        <f>IFERROR(E24/D24,"")</f>
        <v>0.8</v>
      </c>
      <c r="H24" s="31" t="n">
        <v>3</v>
      </c>
    </row>
    <row r="25">
      <c r="A25" s="5" t="inlineStr">
        <is>
          <t>CHATGPT</t>
        </is>
      </c>
      <c r="B25" s="5" t="inlineStr">
        <is>
          <t>S1</t>
        </is>
      </c>
      <c r="C25" s="5" t="inlineStr">
        <is>
          <t>High</t>
        </is>
      </c>
      <c r="D25" s="5" t="n">
        <f>COUNTIFS('02_REFERENCE'!$B$2:$B$99,$B25,'02_REFERENCE'!$O$2:$O$99,$C25,'02_REFERENCE'!$S$2:$S$99,"YES")</f>
        <v>17.0</v>
      </c>
      <c r="E25" s="5" t="n">
        <f>COUNTIFS('04_MATCHING'!$B$2:$B$1026,$A25,'04_MATCHING'!$C$2:$C$1026,$B25,'04_MATCHING'!$H$2:$H$1026,"Primary TP",'04_MATCHING'!$E$2:$E$1026,$C25)</f>
        <v>6.0</v>
      </c>
      <c r="F25" s="5" t="n">
        <f>D25-E25</f>
        <v>11</v>
      </c>
      <c r="G25" s="25" t="n">
        <f>IFERROR(E25/D25,"")</f>
        <v>0.35294117647058826</v>
      </c>
      <c r="H25" s="31" t="n">
        <v>2</v>
      </c>
    </row>
    <row r="26">
      <c r="A26" s="5" t="inlineStr">
        <is>
          <t>CHATGPT</t>
        </is>
      </c>
      <c r="B26" s="5" t="inlineStr">
        <is>
          <t>S1</t>
        </is>
      </c>
      <c r="C26" s="5" t="inlineStr">
        <is>
          <t>Medium</t>
        </is>
      </c>
      <c r="D26" s="5" t="n">
        <f>COUNTIFS('02_REFERENCE'!$B$2:$B$99,$B26,'02_REFERENCE'!$O$2:$O$99,$C26,'02_REFERENCE'!$S$2:$S$99,"YES")</f>
        <v>10.0</v>
      </c>
      <c r="E26" s="5" t="n">
        <f>COUNTIFS('04_MATCHING'!$B$2:$B$1026,$A26,'04_MATCHING'!$C$2:$C$1026,$B26,'04_MATCHING'!$H$2:$H$1026,"Primary TP",'04_MATCHING'!$E$2:$E$1026,$C26)</f>
        <v>8.0</v>
      </c>
      <c r="F26" s="5" t="n">
        <f>D26-E26</f>
        <v>2</v>
      </c>
      <c r="G26" s="25" t="n">
        <f>IFERROR(E26/D26,"")</f>
        <v>0.8</v>
      </c>
      <c r="H26" s="31" t="n">
        <v>1</v>
      </c>
    </row>
    <row r="27">
      <c r="A27" s="5" t="inlineStr">
        <is>
          <t>CHATGPT</t>
        </is>
      </c>
      <c r="B27" s="5" t="inlineStr">
        <is>
          <t>S2</t>
        </is>
      </c>
      <c r="C27" s="5" t="inlineStr">
        <is>
          <t>Critical</t>
        </is>
      </c>
      <c r="D27" s="5" t="n">
        <f>COUNTIFS('02_REFERENCE'!$B$2:$B$99,$B27,'02_REFERENCE'!$O$2:$O$99,$C27,'02_REFERENCE'!$S$2:$S$99,"YES")</f>
        <v>9.0</v>
      </c>
      <c r="E27" s="5" t="n">
        <f>COUNTIFS('04_MATCHING'!$B$2:$B$1026,$A27,'04_MATCHING'!$C$2:$C$1026,$B27,'04_MATCHING'!$H$2:$H$1026,"Primary TP",'04_MATCHING'!$E$2:$E$1026,$C27)</f>
        <v>5.0</v>
      </c>
      <c r="F27" s="5" t="n">
        <f>D27-E27</f>
        <v>4</v>
      </c>
      <c r="G27" s="25" t="n">
        <f>IFERROR(E27/D27,"")</f>
        <v>0.5555555555555556</v>
      </c>
      <c r="H27" s="31" t="n">
        <v>3</v>
      </c>
    </row>
    <row r="28">
      <c r="A28" s="5" t="inlineStr">
        <is>
          <t>CHATGPT</t>
        </is>
      </c>
      <c r="B28" s="5" t="inlineStr">
        <is>
          <t>S2</t>
        </is>
      </c>
      <c r="C28" s="5" t="inlineStr">
        <is>
          <t>High</t>
        </is>
      </c>
      <c r="D28" s="5" t="n">
        <f>COUNTIFS('02_REFERENCE'!$B$2:$B$99,$B28,'02_REFERENCE'!$O$2:$O$99,$C28,'02_REFERENCE'!$S$2:$S$99,"YES")</f>
        <v>16.0</v>
      </c>
      <c r="E28" s="5" t="n">
        <f>COUNTIFS('04_MATCHING'!$B$2:$B$1026,$A28,'04_MATCHING'!$C$2:$C$1026,$B28,'04_MATCHING'!$H$2:$H$1026,"Primary TP",'04_MATCHING'!$E$2:$E$1026,$C28)</f>
        <v>6.0</v>
      </c>
      <c r="F28" s="5" t="n">
        <f>D28-E28</f>
        <v>10</v>
      </c>
      <c r="G28" s="25" t="n">
        <f>IFERROR(E28/D28,"")</f>
        <v>0.375</v>
      </c>
      <c r="H28" s="31" t="n">
        <v>2</v>
      </c>
    </row>
    <row r="29">
      <c r="A29" s="5" t="inlineStr">
        <is>
          <t>CHATGPT</t>
        </is>
      </c>
      <c r="B29" s="5" t="inlineStr">
        <is>
          <t>S2</t>
        </is>
      </c>
      <c r="C29" s="5" t="inlineStr">
        <is>
          <t>Medium</t>
        </is>
      </c>
      <c r="D29" s="5" t="n">
        <f>COUNTIFS('02_REFERENCE'!$B$2:$B$99,$B29,'02_REFERENCE'!$O$2:$O$99,$C29,'02_REFERENCE'!$S$2:$S$99,"YES")</f>
        <v>8.0</v>
      </c>
      <c r="E29" s="5" t="n">
        <f>COUNTIFS('04_MATCHING'!$B$2:$B$1026,$A29,'04_MATCHING'!$C$2:$C$1026,$B29,'04_MATCHING'!$H$2:$H$1026,"Primary TP",'04_MATCHING'!$E$2:$E$1026,$C29)</f>
        <v>7.0</v>
      </c>
      <c r="F29" s="5" t="n">
        <f>D29-E29</f>
        <v>1</v>
      </c>
      <c r="G29" s="25" t="n">
        <f>IFERROR(E29/D29,"")</f>
        <v>0.875</v>
      </c>
      <c r="H29" s="31" t="n">
        <v>1</v>
      </c>
    </row>
    <row r="30">
      <c r="A30" s="5" t="inlineStr">
        <is>
          <t>CHATGPT</t>
        </is>
      </c>
      <c r="B30" s="5" t="inlineStr">
        <is>
          <t>S3</t>
        </is>
      </c>
      <c r="C30" s="5" t="inlineStr">
        <is>
          <t>Critical</t>
        </is>
      </c>
      <c r="D30" s="5" t="n">
        <f>COUNTIFS('02_REFERENCE'!$B$2:$B$99,$B30,'02_REFERENCE'!$O$2:$O$99,$C30,'02_REFERENCE'!$S$2:$S$99,"YES")</f>
        <v>8.0</v>
      </c>
      <c r="E30" s="5" t="n">
        <f>COUNTIFS('04_MATCHING'!$B$2:$B$1026,$A30,'04_MATCHING'!$C$2:$C$1026,$B30,'04_MATCHING'!$H$2:$H$1026,"Primary TP",'04_MATCHING'!$E$2:$E$1026,$C30)</f>
        <v>2.0</v>
      </c>
      <c r="F30" s="5" t="n">
        <f>D30-E30</f>
        <v>6</v>
      </c>
      <c r="G30" s="25" t="n">
        <f>IFERROR(E30/D30,"")</f>
        <v>0.25</v>
      </c>
      <c r="H30" s="31" t="n">
        <v>3</v>
      </c>
    </row>
    <row r="31">
      <c r="A31" s="5" t="inlineStr">
        <is>
          <t>CHATGPT</t>
        </is>
      </c>
      <c r="B31" s="5" t="inlineStr">
        <is>
          <t>S3</t>
        </is>
      </c>
      <c r="C31" s="5" t="inlineStr">
        <is>
          <t>High</t>
        </is>
      </c>
      <c r="D31" s="5" t="n">
        <f>COUNTIFS('02_REFERENCE'!$B$2:$B$99,$B31,'02_REFERENCE'!$O$2:$O$99,$C31,'02_REFERENCE'!$S$2:$S$99,"YES")</f>
        <v>17.0</v>
      </c>
      <c r="E31" s="5" t="n">
        <f>COUNTIFS('04_MATCHING'!$B$2:$B$1026,$A31,'04_MATCHING'!$C$2:$C$1026,$B31,'04_MATCHING'!$H$2:$H$1026,"Primary TP",'04_MATCHING'!$E$2:$E$1026,$C31)</f>
        <v>8.0</v>
      </c>
      <c r="F31" s="5" t="n">
        <f>D31-E31</f>
        <v>9</v>
      </c>
      <c r="G31" s="25" t="n">
        <f>IFERROR(E31/D31,"")</f>
        <v>0.47058823529411764</v>
      </c>
      <c r="H31" s="31" t="n">
        <v>2</v>
      </c>
    </row>
    <row r="32">
      <c r="A32" s="5" t="inlineStr">
        <is>
          <t>CHATGPT</t>
        </is>
      </c>
      <c r="B32" s="5" t="inlineStr">
        <is>
          <t>S3</t>
        </is>
      </c>
      <c r="C32" s="5" t="inlineStr">
        <is>
          <t>Medium</t>
        </is>
      </c>
      <c r="D32" s="5" t="n">
        <f>COUNTIFS('02_REFERENCE'!$B$2:$B$99,$B32,'02_REFERENCE'!$O$2:$O$99,$C32,'02_REFERENCE'!$S$2:$S$99,"YES")</f>
        <v>8.0</v>
      </c>
      <c r="E32" s="5" t="n">
        <f>COUNTIFS('04_MATCHING'!$B$2:$B$1026,$A32,'04_MATCHING'!$C$2:$C$1026,$B32,'04_MATCHING'!$H$2:$H$1026,"Primary TP",'04_MATCHING'!$E$2:$E$1026,$C32)</f>
        <v>6.0</v>
      </c>
      <c r="F32" s="5" t="n">
        <f>D32-E32</f>
        <v>2</v>
      </c>
      <c r="G32" s="25" t="n">
        <f>IFERROR(E32/D32,"")</f>
        <v>0.75</v>
      </c>
      <c r="H32" s="31" t="n">
        <v>1</v>
      </c>
    </row>
    <row r="33">
      <c r="A33" s="5" t="inlineStr">
        <is>
          <t>OLLAMA</t>
        </is>
      </c>
      <c r="B33" s="5" t="inlineStr">
        <is>
          <t>S1</t>
        </is>
      </c>
      <c r="C33" s="5" t="inlineStr">
        <is>
          <t>Critical</t>
        </is>
      </c>
      <c r="D33" s="5" t="n">
        <f>COUNTIFS('02_REFERENCE'!$B$2:$B$99,$B33,'02_REFERENCE'!$O$2:$O$99,$C33,'02_REFERENCE'!$S$2:$S$99,"YES")</f>
        <v>5.0</v>
      </c>
      <c r="E33" s="5" t="n">
        <f>COUNTIFS('04_MATCHING'!$B$2:$B$1026,$A33,'04_MATCHING'!$C$2:$C$1026,$B33,'04_MATCHING'!$H$2:$H$1026,"Primary TP",'04_MATCHING'!$E$2:$E$1026,$C33)</f>
        <v>3.0</v>
      </c>
      <c r="F33" s="5" t="n">
        <f>D33-E33</f>
        <v>2</v>
      </c>
      <c r="G33" s="25" t="n">
        <f>IFERROR(E33/D33,"")</f>
        <v>0.6</v>
      </c>
      <c r="H33" s="31" t="n">
        <v>3</v>
      </c>
    </row>
    <row r="34">
      <c r="A34" s="5" t="inlineStr">
        <is>
          <t>OLLAMA</t>
        </is>
      </c>
      <c r="B34" s="5" t="inlineStr">
        <is>
          <t>S1</t>
        </is>
      </c>
      <c r="C34" s="5" t="inlineStr">
        <is>
          <t>High</t>
        </is>
      </c>
      <c r="D34" s="5" t="n">
        <f>COUNTIFS('02_REFERENCE'!$B$2:$B$99,$B34,'02_REFERENCE'!$O$2:$O$99,$C34,'02_REFERENCE'!$S$2:$S$99,"YES")</f>
        <v>17.0</v>
      </c>
      <c r="E34" s="5" t="n">
        <f>COUNTIFS('04_MATCHING'!$B$2:$B$1026,$A34,'04_MATCHING'!$C$2:$C$1026,$B34,'04_MATCHING'!$H$2:$H$1026,"Primary TP",'04_MATCHING'!$E$2:$E$1026,$C34)</f>
        <v>3.0</v>
      </c>
      <c r="F34" s="5" t="n">
        <f>D34-E34</f>
        <v>14</v>
      </c>
      <c r="G34" s="25" t="n">
        <f>IFERROR(E34/D34,"")</f>
        <v>0.17647058823529413</v>
      </c>
      <c r="H34" s="31" t="n">
        <v>2</v>
      </c>
    </row>
    <row r="35">
      <c r="A35" s="5" t="inlineStr">
        <is>
          <t>OLLAMA</t>
        </is>
      </c>
      <c r="B35" s="5" t="inlineStr">
        <is>
          <t>S1</t>
        </is>
      </c>
      <c r="C35" s="5" t="inlineStr">
        <is>
          <t>Medium</t>
        </is>
      </c>
      <c r="D35" s="5" t="n">
        <f>COUNTIFS('02_REFERENCE'!$B$2:$B$99,$B35,'02_REFERENCE'!$O$2:$O$99,$C35,'02_REFERENCE'!$S$2:$S$99,"YES")</f>
        <v>10.0</v>
      </c>
      <c r="E35" s="5" t="n">
        <f>COUNTIFS('04_MATCHING'!$B$2:$B$1026,$A35,'04_MATCHING'!$C$2:$C$1026,$B35,'04_MATCHING'!$H$2:$H$1026,"Primary TP",'04_MATCHING'!$E$2:$E$1026,$C35)</f>
        <v>0.0</v>
      </c>
      <c r="F35" s="5" t="n">
        <f>D35-E35</f>
        <v>10</v>
      </c>
      <c r="G35" s="25" t="n">
        <f>IFERROR(E35/D35,"")</f>
        <v>0</v>
      </c>
      <c r="H35" s="31" t="n">
        <v>1</v>
      </c>
    </row>
    <row r="36">
      <c r="A36" s="5" t="inlineStr">
        <is>
          <t>OLLAMA</t>
        </is>
      </c>
      <c r="B36" s="5" t="inlineStr">
        <is>
          <t>S2</t>
        </is>
      </c>
      <c r="C36" s="5" t="inlineStr">
        <is>
          <t>Critical</t>
        </is>
      </c>
      <c r="D36" s="5" t="n">
        <f>COUNTIFS('02_REFERENCE'!$B$2:$B$99,$B36,'02_REFERENCE'!$O$2:$O$99,$C36,'02_REFERENCE'!$S$2:$S$99,"YES")</f>
        <v>9.0</v>
      </c>
      <c r="E36" s="5" t="n">
        <f>COUNTIFS('04_MATCHING'!$B$2:$B$1026,$A36,'04_MATCHING'!$C$2:$C$1026,$B36,'04_MATCHING'!$H$2:$H$1026,"Primary TP",'04_MATCHING'!$E$2:$E$1026,$C36)</f>
        <v>3.0</v>
      </c>
      <c r="F36" s="5" t="n">
        <f>D36-E36</f>
        <v>6</v>
      </c>
      <c r="G36" s="25" t="n">
        <f>IFERROR(E36/D36,"")</f>
        <v>0.3333333333333333</v>
      </c>
      <c r="H36" s="31" t="n">
        <v>3</v>
      </c>
    </row>
    <row r="37">
      <c r="A37" s="5" t="inlineStr">
        <is>
          <t>OLLAMA</t>
        </is>
      </c>
      <c r="B37" s="5" t="inlineStr">
        <is>
          <t>S2</t>
        </is>
      </c>
      <c r="C37" s="5" t="inlineStr">
        <is>
          <t>High</t>
        </is>
      </c>
      <c r="D37" s="5" t="n">
        <f>COUNTIFS('02_REFERENCE'!$B$2:$B$99,$B37,'02_REFERENCE'!$O$2:$O$99,$C37,'02_REFERENCE'!$S$2:$S$99,"YES")</f>
        <v>16.0</v>
      </c>
      <c r="E37" s="5" t="n">
        <f>COUNTIFS('04_MATCHING'!$B$2:$B$1026,$A37,'04_MATCHING'!$C$2:$C$1026,$B37,'04_MATCHING'!$H$2:$H$1026,"Primary TP",'04_MATCHING'!$E$2:$E$1026,$C37)</f>
        <v>4.0</v>
      </c>
      <c r="F37" s="5" t="n">
        <f>D37-E37</f>
        <v>12</v>
      </c>
      <c r="G37" s="25" t="n">
        <f>IFERROR(E37/D37,"")</f>
        <v>0.25</v>
      </c>
      <c r="H37" s="31" t="n">
        <v>2</v>
      </c>
    </row>
    <row r="38">
      <c r="A38" s="5" t="inlineStr">
        <is>
          <t>OLLAMA</t>
        </is>
      </c>
      <c r="B38" s="5" t="inlineStr">
        <is>
          <t>S2</t>
        </is>
      </c>
      <c r="C38" s="5" t="inlineStr">
        <is>
          <t>Medium</t>
        </is>
      </c>
      <c r="D38" s="5" t="n">
        <f>COUNTIFS('02_REFERENCE'!$B$2:$B$99,$B38,'02_REFERENCE'!$O$2:$O$99,$C38,'02_REFERENCE'!$S$2:$S$99,"YES")</f>
        <v>8.0</v>
      </c>
      <c r="E38" s="5" t="n">
        <f>COUNTIFS('04_MATCHING'!$B$2:$B$1026,$A38,'04_MATCHING'!$C$2:$C$1026,$B38,'04_MATCHING'!$H$2:$H$1026,"Primary TP",'04_MATCHING'!$E$2:$E$1026,$C38)</f>
        <v>0.0</v>
      </c>
      <c r="F38" s="5" t="n">
        <f>D38-E38</f>
        <v>8</v>
      </c>
      <c r="G38" s="25" t="n">
        <f>IFERROR(E38/D38,"")</f>
        <v>0</v>
      </c>
      <c r="H38" s="31" t="n">
        <v>1</v>
      </c>
    </row>
    <row r="39">
      <c r="A39" s="5" t="inlineStr">
        <is>
          <t>OLLAMA</t>
        </is>
      </c>
      <c r="B39" s="5" t="inlineStr">
        <is>
          <t>S3</t>
        </is>
      </c>
      <c r="C39" s="5" t="inlineStr">
        <is>
          <t>Critical</t>
        </is>
      </c>
      <c r="D39" s="5" t="n">
        <f>COUNTIFS('02_REFERENCE'!$B$2:$B$99,$B39,'02_REFERENCE'!$O$2:$O$99,$C39,'02_REFERENCE'!$S$2:$S$99,"YES")</f>
        <v>8.0</v>
      </c>
      <c r="E39" s="5" t="n">
        <f>COUNTIFS('04_MATCHING'!$B$2:$B$1026,$A39,'04_MATCHING'!$C$2:$C$1026,$B39,'04_MATCHING'!$H$2:$H$1026,"Primary TP",'04_MATCHING'!$E$2:$E$1026,$C39)</f>
        <v>2.0</v>
      </c>
      <c r="F39" s="5" t="n">
        <f>D39-E39</f>
        <v>6</v>
      </c>
      <c r="G39" s="25" t="n">
        <f>IFERROR(E39/D39,"")</f>
        <v>0.25</v>
      </c>
      <c r="H39" s="31" t="n">
        <v>3</v>
      </c>
    </row>
    <row r="40">
      <c r="A40" s="5" t="inlineStr">
        <is>
          <t>OLLAMA</t>
        </is>
      </c>
      <c r="B40" s="5" t="inlineStr">
        <is>
          <t>S3</t>
        </is>
      </c>
      <c r="C40" s="5" t="inlineStr">
        <is>
          <t>High</t>
        </is>
      </c>
      <c r="D40" s="5" t="n">
        <f>COUNTIFS('02_REFERENCE'!$B$2:$B$99,$B40,'02_REFERENCE'!$O$2:$O$99,$C40,'02_REFERENCE'!$S$2:$S$99,"YES")</f>
        <v>17.0</v>
      </c>
      <c r="E40" s="5" t="n">
        <f>COUNTIFS('04_MATCHING'!$B$2:$B$1026,$A40,'04_MATCHING'!$C$2:$C$1026,$B40,'04_MATCHING'!$H$2:$H$1026,"Primary TP",'04_MATCHING'!$E$2:$E$1026,$C40)</f>
        <v>4.0</v>
      </c>
      <c r="F40" s="5" t="n">
        <f>D40-E40</f>
        <v>13</v>
      </c>
      <c r="G40" s="25" t="n">
        <f>IFERROR(E40/D40,"")</f>
        <v>0.23529411764705882</v>
      </c>
      <c r="H40" s="31" t="n">
        <v>2</v>
      </c>
    </row>
    <row r="41">
      <c r="A41" s="5" t="inlineStr">
        <is>
          <t>OLLAMA</t>
        </is>
      </c>
      <c r="B41" s="5" t="inlineStr">
        <is>
          <t>S3</t>
        </is>
      </c>
      <c r="C41" s="5" t="inlineStr">
        <is>
          <t>Medium</t>
        </is>
      </c>
      <c r="D41" s="5" t="n">
        <f>COUNTIFS('02_REFERENCE'!$B$2:$B$99,$B41,'02_REFERENCE'!$O$2:$O$99,$C41,'02_REFERENCE'!$S$2:$S$99,"YES")</f>
        <v>8.0</v>
      </c>
      <c r="E41" s="5" t="n">
        <f>COUNTIFS('04_MATCHING'!$B$2:$B$1026,$A41,'04_MATCHING'!$C$2:$C$1026,$B41,'04_MATCHING'!$H$2:$H$1026,"Primary TP",'04_MATCHING'!$E$2:$E$1026,$C41)</f>
        <v>1.0</v>
      </c>
      <c r="F41" s="5" t="n">
        <f>D41-E41</f>
        <v>7</v>
      </c>
      <c r="G41" s="25" t="n">
        <f>IFERROR(E41/D41,"")</f>
        <v>0.125</v>
      </c>
      <c r="H41" s="31" t="n">
        <v>1</v>
      </c>
    </row>
    <row r="42">
      <c r="A42" s="5" t="inlineStr">
        <is>
          <t>THREMOLIA</t>
        </is>
      </c>
      <c r="B42" s="5" t="inlineStr">
        <is>
          <t>S1</t>
        </is>
      </c>
      <c r="C42" s="5" t="inlineStr">
        <is>
          <t>Critical</t>
        </is>
      </c>
      <c r="D42" s="5" t="n">
        <f>COUNTIFS('02_REFERENCE'!$B$2:$B$99,$B42,'02_REFERENCE'!$O$2:$O$99,$C42,'02_REFERENCE'!$S$2:$S$99,"YES")</f>
        <v>5.0</v>
      </c>
      <c r="E42" s="5" t="n">
        <f>COUNTIFS('04_MATCHING'!$B$2:$B$1026,$A42,'04_MATCHING'!$C$2:$C$1026,$B42,'04_MATCHING'!$H$2:$H$1026,"Primary TP",'04_MATCHING'!$E$2:$E$1026,$C42)</f>
        <v>5.0</v>
      </c>
      <c r="F42" s="5" t="n">
        <f>D42-E42</f>
        <v>0</v>
      </c>
      <c r="G42" s="25" t="n">
        <f>IFERROR(E42/D42,"")</f>
        <v>1</v>
      </c>
      <c r="H42" s="31" t="n">
        <v>3</v>
      </c>
    </row>
    <row r="43">
      <c r="A43" s="5" t="inlineStr">
        <is>
          <t>THREMOLIA</t>
        </is>
      </c>
      <c r="B43" s="5" t="inlineStr">
        <is>
          <t>S1</t>
        </is>
      </c>
      <c r="C43" s="5" t="inlineStr">
        <is>
          <t>High</t>
        </is>
      </c>
      <c r="D43" s="5" t="n">
        <f>COUNTIFS('02_REFERENCE'!$B$2:$B$99,$B43,'02_REFERENCE'!$O$2:$O$99,$C43,'02_REFERENCE'!$S$2:$S$99,"YES")</f>
        <v>17.0</v>
      </c>
      <c r="E43" s="5" t="n">
        <f>COUNTIFS('04_MATCHING'!$B$2:$B$1026,$A43,'04_MATCHING'!$C$2:$C$1026,$B43,'04_MATCHING'!$H$2:$H$1026,"Primary TP",'04_MATCHING'!$E$2:$E$1026,$C43)</f>
        <v>13.0</v>
      </c>
      <c r="F43" s="5" t="n">
        <f>D43-E43</f>
        <v>4</v>
      </c>
      <c r="G43" s="25" t="n">
        <f>IFERROR(E43/D43,"")</f>
        <v>0.7647058823529411</v>
      </c>
      <c r="H43" s="31" t="n">
        <v>2</v>
      </c>
    </row>
    <row r="44">
      <c r="A44" s="5" t="inlineStr">
        <is>
          <t>THREMOLIA</t>
        </is>
      </c>
      <c r="B44" s="5" t="inlineStr">
        <is>
          <t>S1</t>
        </is>
      </c>
      <c r="C44" s="5" t="inlineStr">
        <is>
          <t>Medium</t>
        </is>
      </c>
      <c r="D44" s="5" t="n">
        <f>COUNTIFS('02_REFERENCE'!$B$2:$B$99,$B44,'02_REFERENCE'!$O$2:$O$99,$C44,'02_REFERENCE'!$S$2:$S$99,"YES")</f>
        <v>10.0</v>
      </c>
      <c r="E44" s="5" t="n">
        <f>COUNTIFS('04_MATCHING'!$B$2:$B$1026,$A44,'04_MATCHING'!$C$2:$C$1026,$B44,'04_MATCHING'!$H$2:$H$1026,"Primary TP",'04_MATCHING'!$E$2:$E$1026,$C44)</f>
        <v>8.0</v>
      </c>
      <c r="F44" s="5" t="n">
        <f>D44-E44</f>
        <v>2</v>
      </c>
      <c r="G44" s="25" t="n">
        <f>IFERROR(E44/D44,"")</f>
        <v>0.8</v>
      </c>
      <c r="H44" s="31" t="n">
        <v>1</v>
      </c>
    </row>
    <row r="45">
      <c r="A45" s="5" t="inlineStr">
        <is>
          <t>THREMOLIA</t>
        </is>
      </c>
      <c r="B45" s="5" t="inlineStr">
        <is>
          <t>S2</t>
        </is>
      </c>
      <c r="C45" s="5" t="inlineStr">
        <is>
          <t>Critical</t>
        </is>
      </c>
      <c r="D45" s="5" t="n">
        <f>COUNTIFS('02_REFERENCE'!$B$2:$B$99,$B45,'02_REFERENCE'!$O$2:$O$99,$C45,'02_REFERENCE'!$S$2:$S$99,"YES")</f>
        <v>9.0</v>
      </c>
      <c r="E45" s="5" t="n">
        <f>COUNTIFS('04_MATCHING'!$B$2:$B$1026,$A45,'04_MATCHING'!$C$2:$C$1026,$B45,'04_MATCHING'!$H$2:$H$1026,"Primary TP",'04_MATCHING'!$E$2:$E$1026,$C45)</f>
        <v>9.0</v>
      </c>
      <c r="F45" s="5" t="n">
        <f>D45-E45</f>
        <v>0</v>
      </c>
      <c r="G45" s="25" t="n">
        <f>IFERROR(E45/D45,"")</f>
        <v>1</v>
      </c>
      <c r="H45" s="31" t="n">
        <v>3</v>
      </c>
    </row>
    <row r="46">
      <c r="A46" s="5" t="inlineStr">
        <is>
          <t>THREMOLIA</t>
        </is>
      </c>
      <c r="B46" s="5" t="inlineStr">
        <is>
          <t>S2</t>
        </is>
      </c>
      <c r="C46" s="5" t="inlineStr">
        <is>
          <t>High</t>
        </is>
      </c>
      <c r="D46" s="5" t="n">
        <f>COUNTIFS('02_REFERENCE'!$B$2:$B$99,$B46,'02_REFERENCE'!$O$2:$O$99,$C46,'02_REFERENCE'!$S$2:$S$99,"YES")</f>
        <v>16.0</v>
      </c>
      <c r="E46" s="5" t="n">
        <f>COUNTIFS('04_MATCHING'!$B$2:$B$1026,$A46,'04_MATCHING'!$C$2:$C$1026,$B46,'04_MATCHING'!$H$2:$H$1026,"Primary TP",'04_MATCHING'!$E$2:$E$1026,$C46)</f>
        <v>11.0</v>
      </c>
      <c r="F46" s="5" t="n">
        <f>D46-E46</f>
        <v>5</v>
      </c>
      <c r="G46" s="25" t="n">
        <f>IFERROR(E46/D46,"")</f>
        <v>0.6875</v>
      </c>
      <c r="H46" s="31" t="n">
        <v>2</v>
      </c>
    </row>
    <row r="47">
      <c r="A47" s="5" t="inlineStr">
        <is>
          <t>THREMOLIA</t>
        </is>
      </c>
      <c r="B47" s="5" t="inlineStr">
        <is>
          <t>S2</t>
        </is>
      </c>
      <c r="C47" s="5" t="inlineStr">
        <is>
          <t>Medium</t>
        </is>
      </c>
      <c r="D47" s="5" t="n">
        <f>COUNTIFS('02_REFERENCE'!$B$2:$B$99,$B47,'02_REFERENCE'!$O$2:$O$99,$C47,'02_REFERENCE'!$S$2:$S$99,"YES")</f>
        <v>8.0</v>
      </c>
      <c r="E47" s="5" t="n">
        <f>COUNTIFS('04_MATCHING'!$B$2:$B$1026,$A47,'04_MATCHING'!$C$2:$C$1026,$B47,'04_MATCHING'!$H$2:$H$1026,"Primary TP",'04_MATCHING'!$E$2:$E$1026,$C47)</f>
        <v>3.0</v>
      </c>
      <c r="F47" s="5" t="n">
        <f>D47-E47</f>
        <v>5</v>
      </c>
      <c r="G47" s="25" t="n">
        <f>IFERROR(E47/D47,"")</f>
        <v>0.375</v>
      </c>
      <c r="H47" s="31" t="n">
        <v>1</v>
      </c>
    </row>
    <row r="48">
      <c r="A48" s="5" t="inlineStr">
        <is>
          <t>THREMOLIA</t>
        </is>
      </c>
      <c r="B48" s="5" t="inlineStr">
        <is>
          <t>S3</t>
        </is>
      </c>
      <c r="C48" s="5" t="inlineStr">
        <is>
          <t>Critical</t>
        </is>
      </c>
      <c r="D48" s="5" t="n">
        <f>COUNTIFS('02_REFERENCE'!$B$2:$B$99,$B48,'02_REFERENCE'!$O$2:$O$99,$C48,'02_REFERENCE'!$S$2:$S$99,"YES")</f>
        <v>8.0</v>
      </c>
      <c r="E48" s="5" t="n">
        <f>COUNTIFS('04_MATCHING'!$B$2:$B$1026,$A48,'04_MATCHING'!$C$2:$C$1026,$B48,'04_MATCHING'!$H$2:$H$1026,"Primary TP",'04_MATCHING'!$E$2:$E$1026,$C48)</f>
        <v>5.0</v>
      </c>
      <c r="F48" s="5" t="n">
        <f>D48-E48</f>
        <v>3</v>
      </c>
      <c r="G48" s="25" t="n">
        <f>IFERROR(E48/D48,"")</f>
        <v>0.625</v>
      </c>
      <c r="H48" s="31" t="n">
        <v>3</v>
      </c>
    </row>
    <row r="49">
      <c r="A49" s="5" t="inlineStr">
        <is>
          <t>THREMOLIA</t>
        </is>
      </c>
      <c r="B49" s="5" t="inlineStr">
        <is>
          <t>S3</t>
        </is>
      </c>
      <c r="C49" s="5" t="inlineStr">
        <is>
          <t>High</t>
        </is>
      </c>
      <c r="D49" s="5" t="n">
        <f>COUNTIFS('02_REFERENCE'!$B$2:$B$99,$B49,'02_REFERENCE'!$O$2:$O$99,$C49,'02_REFERENCE'!$S$2:$S$99,"YES")</f>
        <v>17.0</v>
      </c>
      <c r="E49" s="5" t="n">
        <f>COUNTIFS('04_MATCHING'!$B$2:$B$1026,$A49,'04_MATCHING'!$C$2:$C$1026,$B49,'04_MATCHING'!$H$2:$H$1026,"Primary TP",'04_MATCHING'!$E$2:$E$1026,$C49)</f>
        <v>10.0</v>
      </c>
      <c r="F49" s="5" t="n">
        <f>D49-E49</f>
        <v>7</v>
      </c>
      <c r="G49" s="25" t="n">
        <f>IFERROR(E49/D49,"")</f>
        <v>0.5882352941176471</v>
      </c>
      <c r="H49" s="31" t="n">
        <v>2</v>
      </c>
    </row>
    <row r="50">
      <c r="A50" s="5" t="inlineStr">
        <is>
          <t>THREMOLIA</t>
        </is>
      </c>
      <c r="B50" s="5" t="inlineStr">
        <is>
          <t>S3</t>
        </is>
      </c>
      <c r="C50" s="5" t="inlineStr">
        <is>
          <t>Medium</t>
        </is>
      </c>
      <c r="D50" s="5" t="n">
        <f>COUNTIFS('02_REFERENCE'!$B$2:$B$99,$B50,'02_REFERENCE'!$O$2:$O$99,$C50,'02_REFERENCE'!$S$2:$S$99,"YES")</f>
        <v>8.0</v>
      </c>
      <c r="E50" s="5" t="n">
        <f>COUNTIFS('04_MATCHING'!$B$2:$B$1026,$A50,'04_MATCHING'!$C$2:$C$1026,$B50,'04_MATCHING'!$H$2:$H$1026,"Primary TP",'04_MATCHING'!$E$2:$E$1026,$C50)</f>
        <v>5.0</v>
      </c>
      <c r="F50" s="5" t="n">
        <f>D50-E50</f>
        <v>3</v>
      </c>
      <c r="G50" s="25" t="n">
        <f>IFERROR(E50/D50,"")</f>
        <v>0.625</v>
      </c>
      <c r="H50" s="31" t="n">
        <v>1</v>
      </c>
    </row>
    <row r="52">
      <c r="A52" s="6" t="inlineStr">
        <is>
          <t>Severity-weighted recall (Critical=3, High=2, Medium=1)</t>
        </is>
      </c>
      <c r="B52" s="8" t="n"/>
      <c r="C52" s="8" t="n"/>
      <c r="D52" s="8" t="n"/>
      <c r="E52" s="8" t="n"/>
      <c r="F52" s="8" t="n"/>
      <c r="G52" s="8" t="n"/>
      <c r="H52" s="9" t="n"/>
    </row>
    <row r="53">
      <c r="A53" s="32" t="inlineStr">
        <is>
          <t>Approach</t>
        </is>
      </c>
      <c r="B53" s="32" t="inlineStr">
        <is>
          <t>Scenario</t>
        </is>
      </c>
      <c r="C53" s="32" t="inlineStr">
        <is>
          <t>Weighted TP (sum w*TP)</t>
        </is>
      </c>
      <c r="D53" s="32" t="inlineStr">
        <is>
          <t>Weighted Reference (sum w*Ref)</t>
        </is>
      </c>
      <c r="E53" s="32" t="inlineStr">
        <is>
          <t>Severity-Weighted Recall</t>
        </is>
      </c>
    </row>
    <row r="54">
      <c r="A54" s="5" t="inlineStr">
        <is>
          <t>OWASP</t>
        </is>
      </c>
      <c r="B54" s="5" t="inlineStr">
        <is>
          <t>S1</t>
        </is>
      </c>
      <c r="C54" s="5" t="n">
        <f>SUMIFS(E$6:E$51,A$6:A$51,$A54,B$6:B$51,$B54,H$6:H$51,"3")*3 + SUMIFS(E$6:E$51,A$6:A$51,$A54,B$6:B$51,$B54,H$6:H$51,"2")*2 + SUMIFS(E$6:E$51,A$6:A$51,$A54,B$6:B$51,$B54,H$6:H$51,"1")*1</f>
        <v>12</v>
      </c>
      <c r="D54" s="5" t="n">
        <f>SUMIFS(D$6:D$51,A$6:A$51,$A54,B$6:B$51,$B54,H$6:H$51,"3")*3 + SUMIFS(D$6:D$51,A$6:A$51,$A54,B$6:B$51,$B54,H$6:H$51,"2")*2 + SUMIFS(D$6:D$51,A$6:A$51,$A54,B$6:B$51,$B54,H$6:H$51,"1")*1</f>
        <v>59</v>
      </c>
      <c r="E54" s="25" t="n">
        <f>IFERROR(C54/D54,"")</f>
        <v>0.2033898305084746</v>
      </c>
    </row>
    <row r="55">
      <c r="A55" s="5" t="inlineStr">
        <is>
          <t>OWASP</t>
        </is>
      </c>
      <c r="B55" s="5" t="inlineStr">
        <is>
          <t>S2</t>
        </is>
      </c>
      <c r="C55" s="5" t="n">
        <f>SUMIFS(E$6:E$51,A$6:A$51,$A55,B$6:B$51,$B55,H$6:H$51,"3")*3 + SUMIFS(E$6:E$51,A$6:A$51,$A55,B$6:B$51,$B55,H$6:H$51,"2")*2 + SUMIFS(E$6:E$51,A$6:A$51,$A55,B$6:B$51,$B55,H$6:H$51,"1")*1</f>
        <v>13</v>
      </c>
      <c r="D55" s="5" t="n">
        <f>SUMIFS(D$6:D$51,A$6:A$51,$A55,B$6:B$51,$B55,H$6:H$51,"3")*3 + SUMIFS(D$6:D$51,A$6:A$51,$A55,B$6:B$51,$B55,H$6:H$51,"2")*2 + SUMIFS(D$6:D$51,A$6:A$51,$A55,B$6:B$51,$B55,H$6:H$51,"1")*1</f>
        <v>67</v>
      </c>
      <c r="E55" s="25" t="n">
        <f>IFERROR(C55/D55,"")</f>
        <v>0.19402985074626866</v>
      </c>
    </row>
    <row r="56">
      <c r="A56" s="5" t="inlineStr">
        <is>
          <t>OWASP</t>
        </is>
      </c>
      <c r="B56" s="5" t="inlineStr">
        <is>
          <t>S3</t>
        </is>
      </c>
      <c r="C56" s="5" t="n">
        <f>SUMIFS(E$6:E$51,A$6:A$51,$A56,B$6:B$51,$B56,H$6:H$51,"3")*3 + SUMIFS(E$6:E$51,A$6:A$51,$A56,B$6:B$51,$B56,H$6:H$51,"2")*2 + SUMIFS(E$6:E$51,A$6:A$51,$A56,B$6:B$51,$B56,H$6:H$51,"1")*1</f>
        <v>14</v>
      </c>
      <c r="D56" s="5" t="n">
        <f>SUMIFS(D$6:D$51,A$6:A$51,$A56,B$6:B$51,$B56,H$6:H$51,"3")*3 + SUMIFS(D$6:D$51,A$6:A$51,$A56,B$6:B$51,$B56,H$6:H$51,"2")*2 + SUMIFS(D$6:D$51,A$6:A$51,$A56,B$6:B$51,$B56,H$6:H$51,"1")*1</f>
        <v>66</v>
      </c>
      <c r="E56" s="25" t="n">
        <f>IFERROR(C56/D56,"")</f>
        <v>0.21212121212121213</v>
      </c>
    </row>
    <row r="57">
      <c r="A57" s="5" t="inlineStr">
        <is>
          <t>TMT</t>
        </is>
      </c>
      <c r="B57" s="5" t="inlineStr">
        <is>
          <t>S1</t>
        </is>
      </c>
      <c r="C57" s="5" t="n">
        <f>SUMIFS(E$6:E$51,A$6:A$51,$A57,B$6:B$51,$B57,H$6:H$51,"3")*3 + SUMIFS(E$6:E$51,A$6:A$51,$A57,B$6:B$51,$B57,H$6:H$51,"2")*2 + SUMIFS(E$6:E$51,A$6:A$51,$A57,B$6:B$51,$B57,H$6:H$51,"1")*1</f>
        <v>19</v>
      </c>
      <c r="D57" s="5" t="n">
        <f>SUMIFS(D$6:D$51,A$6:A$51,$A57,B$6:B$51,$B57,H$6:H$51,"3")*3 + SUMIFS(D$6:D$51,A$6:A$51,$A57,B$6:B$51,$B57,H$6:H$51,"2")*2 + SUMIFS(D$6:D$51,A$6:A$51,$A57,B$6:B$51,$B57,H$6:H$51,"1")*1</f>
        <v>59</v>
      </c>
      <c r="E57" s="25" t="n">
        <f>IFERROR(C57/D57,"")</f>
        <v>0.3220338983050847</v>
      </c>
    </row>
    <row r="58">
      <c r="A58" s="5" t="inlineStr">
        <is>
          <t>TMT</t>
        </is>
      </c>
      <c r="B58" s="5" t="inlineStr">
        <is>
          <t>S2</t>
        </is>
      </c>
      <c r="C58" s="5" t="n">
        <f>SUMIFS(E$6:E$51,A$6:A$51,$A58,B$6:B$51,$B58,H$6:H$51,"3")*3 + SUMIFS(E$6:E$51,A$6:A$51,$A58,B$6:B$51,$B58,H$6:H$51,"2")*2 + SUMIFS(E$6:E$51,A$6:A$51,$A58,B$6:B$51,$B58,H$6:H$51,"1")*1</f>
        <v>20</v>
      </c>
      <c r="D58" s="5" t="n">
        <f>SUMIFS(D$6:D$51,A$6:A$51,$A58,B$6:B$51,$B58,H$6:H$51,"3")*3 + SUMIFS(D$6:D$51,A$6:A$51,$A58,B$6:B$51,$B58,H$6:H$51,"2")*2 + SUMIFS(D$6:D$51,A$6:A$51,$A58,B$6:B$51,$B58,H$6:H$51,"1")*1</f>
        <v>67</v>
      </c>
      <c r="E58" s="25" t="n">
        <f>IFERROR(C58/D58,"")</f>
        <v>0.29850746268656714</v>
      </c>
    </row>
    <row r="59">
      <c r="A59" s="5" t="inlineStr">
        <is>
          <t>TMT</t>
        </is>
      </c>
      <c r="B59" s="5" t="inlineStr">
        <is>
          <t>S3</t>
        </is>
      </c>
      <c r="C59" s="5" t="n">
        <f>SUMIFS(E$6:E$51,A$6:A$51,$A59,B$6:B$51,$B59,H$6:H$51,"3")*3 + SUMIFS(E$6:E$51,A$6:A$51,$A59,B$6:B$51,$B59,H$6:H$51,"2")*2 + SUMIFS(E$6:E$51,A$6:A$51,$A59,B$6:B$51,$B59,H$6:H$51,"1")*1</f>
        <v>18</v>
      </c>
      <c r="D59" s="5" t="n">
        <f>SUMIFS(D$6:D$51,A$6:A$51,$A59,B$6:B$51,$B59,H$6:H$51,"3")*3 + SUMIFS(D$6:D$51,A$6:A$51,$A59,B$6:B$51,$B59,H$6:H$51,"2")*2 + SUMIFS(D$6:D$51,A$6:A$51,$A59,B$6:B$51,$B59,H$6:H$51,"1")*1</f>
        <v>66</v>
      </c>
      <c r="E59" s="25" t="n">
        <f>IFERROR(C59/D59,"")</f>
        <v>0.2727272727272727</v>
      </c>
    </row>
    <row r="60">
      <c r="A60" s="5" t="inlineStr">
        <is>
          <t>CHATGPT</t>
        </is>
      </c>
      <c r="B60" s="5" t="inlineStr">
        <is>
          <t>S1</t>
        </is>
      </c>
      <c r="C60" s="5" t="n">
        <f>SUMIFS(E$6:E$51,A$6:A$51,$A60,B$6:B$51,$B60,H$6:H$51,"3")*3 + SUMIFS(E$6:E$51,A$6:A$51,$A60,B$6:B$51,$B60,H$6:H$51,"2")*2 + SUMIFS(E$6:E$51,A$6:A$51,$A60,B$6:B$51,$B60,H$6:H$51,"1")*1</f>
        <v>32</v>
      </c>
      <c r="D60" s="5" t="n">
        <f>SUMIFS(D$6:D$51,A$6:A$51,$A60,B$6:B$51,$B60,H$6:H$51,"3")*3 + SUMIFS(D$6:D$51,A$6:A$51,$A60,B$6:B$51,$B60,H$6:H$51,"2")*2 + SUMIFS(D$6:D$51,A$6:A$51,$A60,B$6:B$51,$B60,H$6:H$51,"1")*1</f>
        <v>59</v>
      </c>
      <c r="E60" s="25" t="n">
        <f>IFERROR(C60/D60,"")</f>
        <v>0.5423728813559322</v>
      </c>
    </row>
    <row r="61">
      <c r="A61" s="5" t="inlineStr">
        <is>
          <t>CHATGPT</t>
        </is>
      </c>
      <c r="B61" s="5" t="inlineStr">
        <is>
          <t>S2</t>
        </is>
      </c>
      <c r="C61" s="5" t="n">
        <f>SUMIFS(E$6:E$51,A$6:A$51,$A61,B$6:B$51,$B61,H$6:H$51,"3")*3 + SUMIFS(E$6:E$51,A$6:A$51,$A61,B$6:B$51,$B61,H$6:H$51,"2")*2 + SUMIFS(E$6:E$51,A$6:A$51,$A61,B$6:B$51,$B61,H$6:H$51,"1")*1</f>
        <v>34</v>
      </c>
      <c r="D61" s="5" t="n">
        <f>SUMIFS(D$6:D$51,A$6:A$51,$A61,B$6:B$51,$B61,H$6:H$51,"3")*3 + SUMIFS(D$6:D$51,A$6:A$51,$A61,B$6:B$51,$B61,H$6:H$51,"2")*2 + SUMIFS(D$6:D$51,A$6:A$51,$A61,B$6:B$51,$B61,H$6:H$51,"1")*1</f>
        <v>67</v>
      </c>
      <c r="E61" s="25" t="n">
        <f>IFERROR(C61/D61,"")</f>
        <v>0.5074626865671642</v>
      </c>
    </row>
    <row r="62">
      <c r="A62" s="5" t="inlineStr">
        <is>
          <t>CHATGPT</t>
        </is>
      </c>
      <c r="B62" s="5" t="inlineStr">
        <is>
          <t>S3</t>
        </is>
      </c>
      <c r="C62" s="5" t="n">
        <f>SUMIFS(E$6:E$51,A$6:A$51,$A62,B$6:B$51,$B62,H$6:H$51,"3")*3 + SUMIFS(E$6:E$51,A$6:A$51,$A62,B$6:B$51,$B62,H$6:H$51,"2")*2 + SUMIFS(E$6:E$51,A$6:A$51,$A62,B$6:B$51,$B62,H$6:H$51,"1")*1</f>
        <v>28</v>
      </c>
      <c r="D62" s="5" t="n">
        <f>SUMIFS(D$6:D$51,A$6:A$51,$A62,B$6:B$51,$B62,H$6:H$51,"3")*3 + SUMIFS(D$6:D$51,A$6:A$51,$A62,B$6:B$51,$B62,H$6:H$51,"2")*2 + SUMIFS(D$6:D$51,A$6:A$51,$A62,B$6:B$51,$B62,H$6:H$51,"1")*1</f>
        <v>66</v>
      </c>
      <c r="E62" s="25" t="n">
        <f>IFERROR(C62/D62,"")</f>
        <v>0.42424242424242425</v>
      </c>
    </row>
    <row r="63">
      <c r="A63" s="5" t="inlineStr">
        <is>
          <t>OLLAMA</t>
        </is>
      </c>
      <c r="B63" s="5" t="inlineStr">
        <is>
          <t>S1</t>
        </is>
      </c>
      <c r="C63" s="5" t="n">
        <f>SUMIFS(E$6:E$51,A$6:A$51,$A63,B$6:B$51,$B63,H$6:H$51,"3")*3 + SUMIFS(E$6:E$51,A$6:A$51,$A63,B$6:B$51,$B63,H$6:H$51,"2")*2 + SUMIFS(E$6:E$51,A$6:A$51,$A63,B$6:B$51,$B63,H$6:H$51,"1")*1</f>
        <v>15</v>
      </c>
      <c r="D63" s="5" t="n">
        <f>SUMIFS(D$6:D$51,A$6:A$51,$A63,B$6:B$51,$B63,H$6:H$51,"3")*3 + SUMIFS(D$6:D$51,A$6:A$51,$A63,B$6:B$51,$B63,H$6:H$51,"2")*2 + SUMIFS(D$6:D$51,A$6:A$51,$A63,B$6:B$51,$B63,H$6:H$51,"1")*1</f>
        <v>59</v>
      </c>
      <c r="E63" s="25" t="n">
        <f>IFERROR(C63/D63,"")</f>
        <v>0.2542372881355932</v>
      </c>
    </row>
    <row r="64">
      <c r="A64" s="5" t="inlineStr">
        <is>
          <t>OLLAMA</t>
        </is>
      </c>
      <c r="B64" s="5" t="inlineStr">
        <is>
          <t>S2</t>
        </is>
      </c>
      <c r="C64" s="5" t="n">
        <f>SUMIFS(E$6:E$51,A$6:A$51,$A64,B$6:B$51,$B64,H$6:H$51,"3")*3 + SUMIFS(E$6:E$51,A$6:A$51,$A64,B$6:B$51,$B64,H$6:H$51,"2")*2 + SUMIFS(E$6:E$51,A$6:A$51,$A64,B$6:B$51,$B64,H$6:H$51,"1")*1</f>
        <v>17</v>
      </c>
      <c r="D64" s="5" t="n">
        <f>SUMIFS(D$6:D$51,A$6:A$51,$A64,B$6:B$51,$B64,H$6:H$51,"3")*3 + SUMIFS(D$6:D$51,A$6:A$51,$A64,B$6:B$51,$B64,H$6:H$51,"2")*2 + SUMIFS(D$6:D$51,A$6:A$51,$A64,B$6:B$51,$B64,H$6:H$51,"1")*1</f>
        <v>67</v>
      </c>
      <c r="E64" s="25" t="n">
        <f>IFERROR(C64/D64,"")</f>
        <v>0.2537313432835821</v>
      </c>
    </row>
    <row r="65">
      <c r="A65" s="5" t="inlineStr">
        <is>
          <t>OLLAMA</t>
        </is>
      </c>
      <c r="B65" s="5" t="inlineStr">
        <is>
          <t>S3</t>
        </is>
      </c>
      <c r="C65" s="5" t="n">
        <f>SUMIFS(E$6:E$51,A$6:A$51,$A65,B$6:B$51,$B65,H$6:H$51,"3")*3 + SUMIFS(E$6:E$51,A$6:A$51,$A65,B$6:B$51,$B65,H$6:H$51,"2")*2 + SUMIFS(E$6:E$51,A$6:A$51,$A65,B$6:B$51,$B65,H$6:H$51,"1")*1</f>
        <v>15</v>
      </c>
      <c r="D65" s="5" t="n">
        <f>SUMIFS(D$6:D$51,A$6:A$51,$A65,B$6:B$51,$B65,H$6:H$51,"3")*3 + SUMIFS(D$6:D$51,A$6:A$51,$A65,B$6:B$51,$B65,H$6:H$51,"2")*2 + SUMIFS(D$6:D$51,A$6:A$51,$A65,B$6:B$51,$B65,H$6:H$51,"1")*1</f>
        <v>66</v>
      </c>
      <c r="E65" s="25" t="n">
        <f>IFERROR(C65/D65,"")</f>
        <v>0.22727272727272727</v>
      </c>
    </row>
    <row r="66">
      <c r="A66" s="5" t="inlineStr">
        <is>
          <t>THREMOLIA</t>
        </is>
      </c>
      <c r="B66" s="5" t="inlineStr">
        <is>
          <t>S1</t>
        </is>
      </c>
      <c r="C66" s="5" t="n">
        <f>SUMIFS(E$6:E$51,A$6:A$51,$A66,B$6:B$51,$B66,H$6:H$51,"3")*3 + SUMIFS(E$6:E$51,A$6:A$51,$A66,B$6:B$51,$B66,H$6:H$51,"2")*2 + SUMIFS(E$6:E$51,A$6:A$51,$A66,B$6:B$51,$B66,H$6:H$51,"1")*1</f>
        <v>49</v>
      </c>
      <c r="D66" s="5" t="n">
        <f>SUMIFS(D$6:D$51,A$6:A$51,$A66,B$6:B$51,$B66,H$6:H$51,"3")*3 + SUMIFS(D$6:D$51,A$6:A$51,$A66,B$6:B$51,$B66,H$6:H$51,"2")*2 + SUMIFS(D$6:D$51,A$6:A$51,$A66,B$6:B$51,$B66,H$6:H$51,"1")*1</f>
        <v>59</v>
      </c>
      <c r="E66" s="25" t="n">
        <f>IFERROR(C66/D66,"")</f>
        <v>0.8305084745762712</v>
      </c>
    </row>
    <row r="67">
      <c r="A67" s="5" t="inlineStr">
        <is>
          <t>THREMOLIA</t>
        </is>
      </c>
      <c r="B67" s="5" t="inlineStr">
        <is>
          <t>S2</t>
        </is>
      </c>
      <c r="C67" s="5" t="n">
        <f>SUMIFS(E$6:E$51,A$6:A$51,$A67,B$6:B$51,$B67,H$6:H$51,"3")*3 + SUMIFS(E$6:E$51,A$6:A$51,$A67,B$6:B$51,$B67,H$6:H$51,"2")*2 + SUMIFS(E$6:E$51,A$6:A$51,$A67,B$6:B$51,$B67,H$6:H$51,"1")*1</f>
        <v>52</v>
      </c>
      <c r="D67" s="5" t="n">
        <f>SUMIFS(D$6:D$51,A$6:A$51,$A67,B$6:B$51,$B67,H$6:H$51,"3")*3 + SUMIFS(D$6:D$51,A$6:A$51,$A67,B$6:B$51,$B67,H$6:H$51,"2")*2 + SUMIFS(D$6:D$51,A$6:A$51,$A67,B$6:B$51,$B67,H$6:H$51,"1")*1</f>
        <v>67</v>
      </c>
      <c r="E67" s="25" t="n">
        <f>IFERROR(C67/D67,"")</f>
        <v>0.7761194029850746</v>
      </c>
    </row>
    <row r="68">
      <c r="A68" s="5" t="inlineStr">
        <is>
          <t>THREMOLIA</t>
        </is>
      </c>
      <c r="B68" s="5" t="inlineStr">
        <is>
          <t>S3</t>
        </is>
      </c>
      <c r="C68" s="5" t="n">
        <f>SUMIFS(E$6:E$51,A$6:A$51,$A68,B$6:B$51,$B68,H$6:H$51,"3")*3 + SUMIFS(E$6:E$51,A$6:A$51,$A68,B$6:B$51,$B68,H$6:H$51,"2")*2 + SUMIFS(E$6:E$51,A$6:A$51,$A68,B$6:B$51,$B68,H$6:H$51,"1")*1</f>
        <v>40</v>
      </c>
      <c r="D68" s="5" t="n">
        <f>SUMIFS(D$6:D$51,A$6:A$51,$A68,B$6:B$51,$B68,H$6:H$51,"3")*3 + SUMIFS(D$6:D$51,A$6:A$51,$A68,B$6:B$51,$B68,H$6:H$51,"2")*2 + SUMIFS(D$6:D$51,A$6:A$51,$A68,B$6:B$51,$B68,H$6:H$51,"1")*1</f>
        <v>66</v>
      </c>
      <c r="E68" s="25" t="n">
        <f>IFERROR(C68/D68,"")</f>
        <v>0.6060606060606061</v>
      </c>
    </row>
    <row r="70" ht="30" customHeight="1">
      <c r="A70" s="33" t="inlineStr">
        <is>
          <t>Note: severity-weighted recall = (3*TP_Critical + 2*TP_High + 1*TP_Medium) / (3*Ref_Critical + 2*Ref_High + 1*Ref_Medium). Weights are fixed a priori.</t>
        </is>
      </c>
      <c r="B70" s="8" t="n"/>
      <c r="C70" s="8" t="n"/>
      <c r="D70" s="8" t="n"/>
      <c r="E70" s="8" t="n"/>
      <c r="F70" s="8" t="n"/>
      <c r="G70" s="8" t="n"/>
      <c r="H70" s="9" t="n"/>
    </row>
  </sheetData>
  <mergeCells count="2">
    <mergeCell ref="A70:H70"/>
    <mergeCell ref="A52:H5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outlineLevelCol="0"/>
  <cols>
    <col width="14" customWidth="1" min="1" max="1"/>
    <col width="10" customWidth="1" min="2" max="2"/>
    <col width="20" customWidth="1" min="3" max="3"/>
    <col width="14" customWidth="1" min="4" max="4"/>
    <col width="13" customWidth="1" min="5" max="5"/>
    <col width="16" customWidth="1" min="6" max="6"/>
    <col width="19" customWidth="1" min="7" max="7"/>
    <col width="12" customWidth="1" min="8" max="8"/>
    <col width="12" customWidth="1" min="9" max="9"/>
    <col width="14" customWidth="1" min="10" max="10"/>
  </cols>
  <sheetData>
    <row r="1">
      <c r="A1" s="1" t="inlineStr">
        <is>
          <t>LLM-specific vs Non-LLM reference coverage</t>
        </is>
      </c>
    </row>
    <row r="2">
      <c r="A2" s="2" t="inlineStr">
        <is>
          <t>LLM-specific classification taken from the expert reference baseline (column Q of 02_REFERENCE), never inferred from generated findings.</t>
        </is>
      </c>
    </row>
    <row r="4">
      <c r="A4" s="4" t="inlineStr">
        <is>
          <t>Approach</t>
        </is>
      </c>
      <c r="B4" s="4" t="inlineStr">
        <is>
          <t>Scenario</t>
        </is>
      </c>
      <c r="C4" s="4" t="inlineStr">
        <is>
          <t>LLM-specific reference threats</t>
        </is>
      </c>
      <c r="D4" s="4" t="inlineStr">
        <is>
          <t>LLM-specific TP</t>
        </is>
      </c>
      <c r="E4" s="4" t="inlineStr">
        <is>
          <t>LLM-specific FN</t>
        </is>
      </c>
      <c r="F4" s="4" t="inlineStr">
        <is>
          <t>LLM-specific Recall</t>
        </is>
      </c>
      <c r="G4" s="4" t="inlineStr">
        <is>
          <t>Non-LLM reference threats</t>
        </is>
      </c>
      <c r="H4" s="4" t="inlineStr">
        <is>
          <t>Non-LLM TP</t>
        </is>
      </c>
      <c r="I4" s="4" t="inlineStr">
        <is>
          <t>Non-LLM FN</t>
        </is>
      </c>
      <c r="J4" s="4" t="inlineStr">
        <is>
          <t>Non-LLM Recall</t>
        </is>
      </c>
    </row>
    <row r="5">
      <c r="A5" s="5" t="inlineStr">
        <is>
          <t>OWASP</t>
        </is>
      </c>
      <c r="B5" s="5" t="inlineStr">
        <is>
          <t>S1</t>
        </is>
      </c>
      <c r="C5" s="5" t="n">
        <f>COUNTIFS('02_REFERENCE'!$B$2:$B$99,$B5,'02_REFERENCE'!$Q$2:$Q$99,"Yes",'02_REFERENCE'!$S$2:$S$99,"YES")</f>
        <v>13.0</v>
      </c>
      <c r="D5" s="5" t="n">
        <f>COUNTIFS('04_MATCHING'!$B$2:$B$1026,$A5,'04_MATCHING'!$C$2:$C$1026,$B5,'04_MATCHING'!$H$2:$H$1026,"Primary TP",'04_MATCHING'!$F$2:$F$1026,"Yes")</f>
        <v>2.0</v>
      </c>
      <c r="E5" s="5" t="n">
        <f>C5-D5</f>
        <v>11</v>
      </c>
      <c r="F5" s="25" t="n">
        <f>IFERROR(D5/C5,"")</f>
        <v>0.15384615384615385</v>
      </c>
      <c r="G5" s="5" t="n">
        <f>COUNTIFS('02_REFERENCE'!$B$2:$B$99,$B5,'02_REFERENCE'!$Q$2:$Q$99,"No",'02_REFERENCE'!$S$2:$S$99,"YES")</f>
        <v>19.0</v>
      </c>
      <c r="H5" s="5" t="n">
        <f>COUNTIFS('04_MATCHING'!$B$2:$B$1026,$A5,'04_MATCHING'!$C$2:$C$1026,$B5,'04_MATCHING'!$H$2:$H$1026,"Primary TP",'04_MATCHING'!$F$2:$F$1026,"No")</f>
        <v>4.0</v>
      </c>
      <c r="I5" s="5" t="n">
        <f>G5-H5</f>
        <v>15</v>
      </c>
      <c r="J5" s="25" t="n">
        <f>IFERROR(H5/G5,"")</f>
        <v>0.21052631578947367</v>
      </c>
    </row>
    <row r="6">
      <c r="A6" s="5" t="inlineStr">
        <is>
          <t>OWASP</t>
        </is>
      </c>
      <c r="B6" s="5" t="inlineStr">
        <is>
          <t>S2</t>
        </is>
      </c>
      <c r="C6" s="5" t="n">
        <f>COUNTIFS('02_REFERENCE'!$B$2:$B$99,$B6,'02_REFERENCE'!$Q$2:$Q$99,"Yes",'02_REFERENCE'!$S$2:$S$99,"YES")</f>
        <v>13.0</v>
      </c>
      <c r="D6" s="5" t="n">
        <f>COUNTIFS('04_MATCHING'!$B$2:$B$1026,$A6,'04_MATCHING'!$C$2:$C$1026,$B6,'04_MATCHING'!$H$2:$H$1026,"Primary TP",'04_MATCHING'!$F$2:$F$1026,"Yes")</f>
        <v>1.0</v>
      </c>
      <c r="E6" s="5" t="n">
        <f>C6-D6</f>
        <v>12</v>
      </c>
      <c r="F6" s="25" t="n">
        <f>IFERROR(D6/C6,"")</f>
        <v>0.07692307692307693</v>
      </c>
      <c r="G6" s="5" t="n">
        <f>COUNTIFS('02_REFERENCE'!$B$2:$B$99,$B6,'02_REFERENCE'!$Q$2:$Q$99,"No",'02_REFERENCE'!$S$2:$S$99,"YES")</f>
        <v>20.0</v>
      </c>
      <c r="H6" s="5" t="n">
        <f>COUNTIFS('04_MATCHING'!$B$2:$B$1026,$A6,'04_MATCHING'!$C$2:$C$1026,$B6,'04_MATCHING'!$H$2:$H$1026,"Primary TP",'04_MATCHING'!$F$2:$F$1026,"No")</f>
        <v>5.0</v>
      </c>
      <c r="I6" s="5" t="n">
        <f>G6-H6</f>
        <v>15</v>
      </c>
      <c r="J6" s="25" t="n">
        <f>IFERROR(H6/G6,"")</f>
        <v>0.25</v>
      </c>
    </row>
    <row r="7">
      <c r="A7" s="5" t="inlineStr">
        <is>
          <t>OWASP</t>
        </is>
      </c>
      <c r="B7" s="5" t="inlineStr">
        <is>
          <t>S3</t>
        </is>
      </c>
      <c r="C7" s="5" t="n">
        <f>COUNTIFS('02_REFERENCE'!$B$2:$B$99,$B7,'02_REFERENCE'!$Q$2:$Q$99,"Yes",'02_REFERENCE'!$S$2:$S$99,"YES")</f>
        <v>12.0</v>
      </c>
      <c r="D7" s="5" t="n">
        <f>COUNTIFS('04_MATCHING'!$B$2:$B$1026,$A7,'04_MATCHING'!$C$2:$C$1026,$B7,'04_MATCHING'!$H$2:$H$1026,"Primary TP",'04_MATCHING'!$F$2:$F$1026,"Yes")</f>
        <v>1.0</v>
      </c>
      <c r="E7" s="5" t="n">
        <f>C7-D7</f>
        <v>11</v>
      </c>
      <c r="F7" s="25" t="n">
        <f>IFERROR(D7/C7,"")</f>
        <v>0.08333333333333333</v>
      </c>
      <c r="G7" s="5" t="n">
        <f>COUNTIFS('02_REFERENCE'!$B$2:$B$99,$B7,'02_REFERENCE'!$Q$2:$Q$99,"No",'02_REFERENCE'!$S$2:$S$99,"YES")</f>
        <v>21.0</v>
      </c>
      <c r="H7" s="5" t="n">
        <f>COUNTIFS('04_MATCHING'!$B$2:$B$1026,$A7,'04_MATCHING'!$C$2:$C$1026,$B7,'04_MATCHING'!$H$2:$H$1026,"Primary TP",'04_MATCHING'!$F$2:$F$1026,"No")</f>
        <v>6.0</v>
      </c>
      <c r="I7" s="5" t="n">
        <f>G7-H7</f>
        <v>15</v>
      </c>
      <c r="J7" s="25" t="n">
        <f>IFERROR(H7/G7,"")</f>
        <v>0.2857142857142857</v>
      </c>
    </row>
    <row r="8">
      <c r="A8" s="5" t="inlineStr">
        <is>
          <t>TMT</t>
        </is>
      </c>
      <c r="B8" s="5" t="inlineStr">
        <is>
          <t>S1</t>
        </is>
      </c>
      <c r="C8" s="5" t="n">
        <f>COUNTIFS('02_REFERENCE'!$B$2:$B$99,$B8,'02_REFERENCE'!$Q$2:$Q$99,"Yes",'02_REFERENCE'!$S$2:$S$99,"YES")</f>
        <v>13.0</v>
      </c>
      <c r="D8" s="5" t="n">
        <f>COUNTIFS('04_MATCHING'!$B$2:$B$1026,$A8,'04_MATCHING'!$C$2:$C$1026,$B8,'04_MATCHING'!$H$2:$H$1026,"Primary TP",'04_MATCHING'!$F$2:$F$1026,"Yes")</f>
        <v>4.0</v>
      </c>
      <c r="E8" s="5" t="n">
        <f>C8-D8</f>
        <v>9</v>
      </c>
      <c r="F8" s="25" t="n">
        <f>IFERROR(D8/C8,"")</f>
        <v>0.3076923076923077</v>
      </c>
      <c r="G8" s="5" t="n">
        <f>COUNTIFS('02_REFERENCE'!$B$2:$B$99,$B8,'02_REFERENCE'!$Q$2:$Q$99,"No",'02_REFERENCE'!$S$2:$S$99,"YES")</f>
        <v>19.0</v>
      </c>
      <c r="H8" s="5" t="n">
        <f>COUNTIFS('04_MATCHING'!$B$2:$B$1026,$A8,'04_MATCHING'!$C$2:$C$1026,$B8,'04_MATCHING'!$H$2:$H$1026,"Primary TP",'04_MATCHING'!$F$2:$F$1026,"No")</f>
        <v>5.0</v>
      </c>
      <c r="I8" s="5" t="n">
        <f>G8-H8</f>
        <v>14</v>
      </c>
      <c r="J8" s="25" t="n">
        <f>IFERROR(H8/G8,"")</f>
        <v>0.2631578947368421</v>
      </c>
    </row>
    <row r="9">
      <c r="A9" s="5" t="inlineStr">
        <is>
          <t>TMT</t>
        </is>
      </c>
      <c r="B9" s="5" t="inlineStr">
        <is>
          <t>S2</t>
        </is>
      </c>
      <c r="C9" s="5" t="n">
        <f>COUNTIFS('02_REFERENCE'!$B$2:$B$99,$B9,'02_REFERENCE'!$Q$2:$Q$99,"Yes",'02_REFERENCE'!$S$2:$S$99,"YES")</f>
        <v>13.0</v>
      </c>
      <c r="D9" s="5" t="n">
        <f>COUNTIFS('04_MATCHING'!$B$2:$B$1026,$A9,'04_MATCHING'!$C$2:$C$1026,$B9,'04_MATCHING'!$H$2:$H$1026,"Primary TP",'04_MATCHING'!$F$2:$F$1026,"Yes")</f>
        <v>4.0</v>
      </c>
      <c r="E9" s="5" t="n">
        <f>C9-D9</f>
        <v>9</v>
      </c>
      <c r="F9" s="25" t="n">
        <f>IFERROR(D9/C9,"")</f>
        <v>0.3076923076923077</v>
      </c>
      <c r="G9" s="5" t="n">
        <f>COUNTIFS('02_REFERENCE'!$B$2:$B$99,$B9,'02_REFERENCE'!$Q$2:$Q$99,"No",'02_REFERENCE'!$S$2:$S$99,"YES")</f>
        <v>20.0</v>
      </c>
      <c r="H9" s="5" t="n">
        <f>COUNTIFS('04_MATCHING'!$B$2:$B$1026,$A9,'04_MATCHING'!$C$2:$C$1026,$B9,'04_MATCHING'!$H$2:$H$1026,"Primary TP",'04_MATCHING'!$F$2:$F$1026,"No")</f>
        <v>6.0</v>
      </c>
      <c r="I9" s="5" t="n">
        <f>G9-H9</f>
        <v>14</v>
      </c>
      <c r="J9" s="25" t="n">
        <f>IFERROR(H9/G9,"")</f>
        <v>0.3</v>
      </c>
    </row>
    <row r="10">
      <c r="A10" s="5" t="inlineStr">
        <is>
          <t>TMT</t>
        </is>
      </c>
      <c r="B10" s="5" t="inlineStr">
        <is>
          <t>S3</t>
        </is>
      </c>
      <c r="C10" s="5" t="n">
        <f>COUNTIFS('02_REFERENCE'!$B$2:$B$99,$B10,'02_REFERENCE'!$Q$2:$Q$99,"Yes",'02_REFERENCE'!$S$2:$S$99,"YES")</f>
        <v>12.0</v>
      </c>
      <c r="D10" s="5" t="n">
        <f>COUNTIFS('04_MATCHING'!$B$2:$B$1026,$A10,'04_MATCHING'!$C$2:$C$1026,$B10,'04_MATCHING'!$H$2:$H$1026,"Primary TP",'04_MATCHING'!$F$2:$F$1026,"Yes")</f>
        <v>3.0</v>
      </c>
      <c r="E10" s="5" t="n">
        <f>C10-D10</f>
        <v>9</v>
      </c>
      <c r="F10" s="25" t="n">
        <f>IFERROR(D10/C10,"")</f>
        <v>0.25</v>
      </c>
      <c r="G10" s="5" t="n">
        <f>COUNTIFS('02_REFERENCE'!$B$2:$B$99,$B10,'02_REFERENCE'!$Q$2:$Q$99,"No",'02_REFERENCE'!$S$2:$S$99,"YES")</f>
        <v>21.0</v>
      </c>
      <c r="H10" s="5" t="n">
        <f>COUNTIFS('04_MATCHING'!$B$2:$B$1026,$A10,'04_MATCHING'!$C$2:$C$1026,$B10,'04_MATCHING'!$H$2:$H$1026,"Primary TP",'04_MATCHING'!$F$2:$F$1026,"No")</f>
        <v>6.0</v>
      </c>
      <c r="I10" s="5" t="n">
        <f>G10-H10</f>
        <v>15</v>
      </c>
      <c r="J10" s="25" t="n">
        <f>IFERROR(H10/G10,"")</f>
        <v>0.2857142857142857</v>
      </c>
    </row>
    <row r="11">
      <c r="A11" s="5" t="inlineStr">
        <is>
          <t>CHATGPT</t>
        </is>
      </c>
      <c r="B11" s="5" t="inlineStr">
        <is>
          <t>S1</t>
        </is>
      </c>
      <c r="C11" s="5" t="n">
        <f>COUNTIFS('02_REFERENCE'!$B$2:$B$99,$B11,'02_REFERENCE'!$Q$2:$Q$99,"Yes",'02_REFERENCE'!$S$2:$S$99,"YES")</f>
        <v>13.0</v>
      </c>
      <c r="D11" s="5" t="n">
        <f>COUNTIFS('04_MATCHING'!$B$2:$B$1026,$A11,'04_MATCHING'!$C$2:$C$1026,$B11,'04_MATCHING'!$H$2:$H$1026,"Primary TP",'04_MATCHING'!$F$2:$F$1026,"Yes")</f>
        <v>9.0</v>
      </c>
      <c r="E11" s="5" t="n">
        <f>C11-D11</f>
        <v>4</v>
      </c>
      <c r="F11" s="25" t="n">
        <f>IFERROR(D11/C11,"")</f>
        <v>0.6923076923076923</v>
      </c>
      <c r="G11" s="5" t="n">
        <f>COUNTIFS('02_REFERENCE'!$B$2:$B$99,$B11,'02_REFERENCE'!$Q$2:$Q$99,"No",'02_REFERENCE'!$S$2:$S$99,"YES")</f>
        <v>19.0</v>
      </c>
      <c r="H11" s="5" t="n">
        <f>COUNTIFS('04_MATCHING'!$B$2:$B$1026,$A11,'04_MATCHING'!$C$2:$C$1026,$B11,'04_MATCHING'!$H$2:$H$1026,"Primary TP",'04_MATCHING'!$F$2:$F$1026,"No")</f>
        <v>9.0</v>
      </c>
      <c r="I11" s="5" t="n">
        <f>G11-H11</f>
        <v>10</v>
      </c>
      <c r="J11" s="25" t="n">
        <f>IFERROR(H11/G11,"")</f>
        <v>0.47368421052631576</v>
      </c>
    </row>
    <row r="12">
      <c r="A12" s="5" t="inlineStr">
        <is>
          <t>CHATGPT</t>
        </is>
      </c>
      <c r="B12" s="5" t="inlineStr">
        <is>
          <t>S2</t>
        </is>
      </c>
      <c r="C12" s="5" t="n">
        <f>COUNTIFS('02_REFERENCE'!$B$2:$B$99,$B12,'02_REFERENCE'!$Q$2:$Q$99,"Yes",'02_REFERENCE'!$S$2:$S$99,"YES")</f>
        <v>13.0</v>
      </c>
      <c r="D12" s="5" t="n">
        <f>COUNTIFS('04_MATCHING'!$B$2:$B$1026,$A12,'04_MATCHING'!$C$2:$C$1026,$B12,'04_MATCHING'!$H$2:$H$1026,"Primary TP",'04_MATCHING'!$F$2:$F$1026,"Yes")</f>
        <v>9.0</v>
      </c>
      <c r="E12" s="5" t="n">
        <f>C12-D12</f>
        <v>4</v>
      </c>
      <c r="F12" s="25" t="n">
        <f>IFERROR(D12/C12,"")</f>
        <v>0.6923076923076923</v>
      </c>
      <c r="G12" s="5" t="n">
        <f>COUNTIFS('02_REFERENCE'!$B$2:$B$99,$B12,'02_REFERENCE'!$Q$2:$Q$99,"No",'02_REFERENCE'!$S$2:$S$99,"YES")</f>
        <v>20.0</v>
      </c>
      <c r="H12" s="5" t="n">
        <f>COUNTIFS('04_MATCHING'!$B$2:$B$1026,$A12,'04_MATCHING'!$C$2:$C$1026,$B12,'04_MATCHING'!$H$2:$H$1026,"Primary TP",'04_MATCHING'!$F$2:$F$1026,"No")</f>
        <v>9.0</v>
      </c>
      <c r="I12" s="5" t="n">
        <f>G12-H12</f>
        <v>11</v>
      </c>
      <c r="J12" s="25" t="n">
        <f>IFERROR(H12/G12,"")</f>
        <v>0.45</v>
      </c>
    </row>
    <row r="13">
      <c r="A13" s="5" t="inlineStr">
        <is>
          <t>CHATGPT</t>
        </is>
      </c>
      <c r="B13" s="5" t="inlineStr">
        <is>
          <t>S3</t>
        </is>
      </c>
      <c r="C13" s="5" t="n">
        <f>COUNTIFS('02_REFERENCE'!$B$2:$B$99,$B13,'02_REFERENCE'!$Q$2:$Q$99,"Yes",'02_REFERENCE'!$S$2:$S$99,"YES")</f>
        <v>12.0</v>
      </c>
      <c r="D13" s="5" t="n">
        <f>COUNTIFS('04_MATCHING'!$B$2:$B$1026,$A13,'04_MATCHING'!$C$2:$C$1026,$B13,'04_MATCHING'!$H$2:$H$1026,"Primary TP",'04_MATCHING'!$F$2:$F$1026,"Yes")</f>
        <v>7.0</v>
      </c>
      <c r="E13" s="5" t="n">
        <f>C13-D13</f>
        <v>5</v>
      </c>
      <c r="F13" s="25" t="n">
        <f>IFERROR(D13/C13,"")</f>
        <v>0.5833333333333334</v>
      </c>
      <c r="G13" s="5" t="n">
        <f>COUNTIFS('02_REFERENCE'!$B$2:$B$99,$B13,'02_REFERENCE'!$Q$2:$Q$99,"No",'02_REFERENCE'!$S$2:$S$99,"YES")</f>
        <v>21.0</v>
      </c>
      <c r="H13" s="5" t="n">
        <f>COUNTIFS('04_MATCHING'!$B$2:$B$1026,$A13,'04_MATCHING'!$C$2:$C$1026,$B13,'04_MATCHING'!$H$2:$H$1026,"Primary TP",'04_MATCHING'!$F$2:$F$1026,"No")</f>
        <v>9.0</v>
      </c>
      <c r="I13" s="5" t="n">
        <f>G13-H13</f>
        <v>12</v>
      </c>
      <c r="J13" s="25" t="n">
        <f>IFERROR(H13/G13,"")</f>
        <v>0.42857142857142855</v>
      </c>
    </row>
    <row r="14">
      <c r="A14" s="5" t="inlineStr">
        <is>
          <t>OLLAMA</t>
        </is>
      </c>
      <c r="B14" s="5" t="inlineStr">
        <is>
          <t>S1</t>
        </is>
      </c>
      <c r="C14" s="5" t="n">
        <f>COUNTIFS('02_REFERENCE'!$B$2:$B$99,$B14,'02_REFERENCE'!$Q$2:$Q$99,"Yes",'02_REFERENCE'!$S$2:$S$99,"YES")</f>
        <v>13.0</v>
      </c>
      <c r="D14" s="5" t="n">
        <f>COUNTIFS('04_MATCHING'!$B$2:$B$1026,$A14,'04_MATCHING'!$C$2:$C$1026,$B14,'04_MATCHING'!$H$2:$H$1026,"Primary TP",'04_MATCHING'!$F$2:$F$1026,"Yes")</f>
        <v>3.0</v>
      </c>
      <c r="E14" s="5" t="n">
        <f>C14-D14</f>
        <v>10</v>
      </c>
      <c r="F14" s="25" t="n">
        <f>IFERROR(D14/C14,"")</f>
        <v>0.23076923076923078</v>
      </c>
      <c r="G14" s="5" t="n">
        <f>COUNTIFS('02_REFERENCE'!$B$2:$B$99,$B14,'02_REFERENCE'!$Q$2:$Q$99,"No",'02_REFERENCE'!$S$2:$S$99,"YES")</f>
        <v>19.0</v>
      </c>
      <c r="H14" s="5" t="n">
        <f>COUNTIFS('04_MATCHING'!$B$2:$B$1026,$A14,'04_MATCHING'!$C$2:$C$1026,$B14,'04_MATCHING'!$H$2:$H$1026,"Primary TP",'04_MATCHING'!$F$2:$F$1026,"No")</f>
        <v>3.0</v>
      </c>
      <c r="I14" s="5" t="n">
        <f>G14-H14</f>
        <v>16</v>
      </c>
      <c r="J14" s="25" t="n">
        <f>IFERROR(H14/G14,"")</f>
        <v>0.15789473684210525</v>
      </c>
    </row>
    <row r="15">
      <c r="A15" s="5" t="inlineStr">
        <is>
          <t>OLLAMA</t>
        </is>
      </c>
      <c r="B15" s="5" t="inlineStr">
        <is>
          <t>S2</t>
        </is>
      </c>
      <c r="C15" s="5" t="n">
        <f>COUNTIFS('02_REFERENCE'!$B$2:$B$99,$B15,'02_REFERENCE'!$Q$2:$Q$99,"Yes",'02_REFERENCE'!$S$2:$S$99,"YES")</f>
        <v>13.0</v>
      </c>
      <c r="D15" s="5" t="n">
        <f>COUNTIFS('04_MATCHING'!$B$2:$B$1026,$A15,'04_MATCHING'!$C$2:$C$1026,$B15,'04_MATCHING'!$H$2:$H$1026,"Primary TP",'04_MATCHING'!$F$2:$F$1026,"Yes")</f>
        <v>3.0</v>
      </c>
      <c r="E15" s="5" t="n">
        <f>C15-D15</f>
        <v>10</v>
      </c>
      <c r="F15" s="25" t="n">
        <f>IFERROR(D15/C15,"")</f>
        <v>0.23076923076923078</v>
      </c>
      <c r="G15" s="5" t="n">
        <f>COUNTIFS('02_REFERENCE'!$B$2:$B$99,$B15,'02_REFERENCE'!$Q$2:$Q$99,"No",'02_REFERENCE'!$S$2:$S$99,"YES")</f>
        <v>20.0</v>
      </c>
      <c r="H15" s="5" t="n">
        <f>COUNTIFS('04_MATCHING'!$B$2:$B$1026,$A15,'04_MATCHING'!$C$2:$C$1026,$B15,'04_MATCHING'!$H$2:$H$1026,"Primary TP",'04_MATCHING'!$F$2:$F$1026,"No")</f>
        <v>4.0</v>
      </c>
      <c r="I15" s="5" t="n">
        <f>G15-H15</f>
        <v>16</v>
      </c>
      <c r="J15" s="25" t="n">
        <f>IFERROR(H15/G15,"")</f>
        <v>0.2</v>
      </c>
    </row>
    <row r="16">
      <c r="A16" s="5" t="inlineStr">
        <is>
          <t>OLLAMA</t>
        </is>
      </c>
      <c r="B16" s="5" t="inlineStr">
        <is>
          <t>S3</t>
        </is>
      </c>
      <c r="C16" s="5" t="n">
        <f>COUNTIFS('02_REFERENCE'!$B$2:$B$99,$B16,'02_REFERENCE'!$Q$2:$Q$99,"Yes",'02_REFERENCE'!$S$2:$S$99,"YES")</f>
        <v>12.0</v>
      </c>
      <c r="D16" s="5" t="n">
        <f>COUNTIFS('04_MATCHING'!$B$2:$B$1026,$A16,'04_MATCHING'!$C$2:$C$1026,$B16,'04_MATCHING'!$H$2:$H$1026,"Primary TP",'04_MATCHING'!$F$2:$F$1026,"Yes")</f>
        <v>2.0</v>
      </c>
      <c r="E16" s="5" t="n">
        <f>C16-D16</f>
        <v>10</v>
      </c>
      <c r="F16" s="25" t="n">
        <f>IFERROR(D16/C16,"")</f>
        <v>0.16666666666666666</v>
      </c>
      <c r="G16" s="5" t="n">
        <f>COUNTIFS('02_REFERENCE'!$B$2:$B$99,$B16,'02_REFERENCE'!$Q$2:$Q$99,"No",'02_REFERENCE'!$S$2:$S$99,"YES")</f>
        <v>21.0</v>
      </c>
      <c r="H16" s="5" t="n">
        <f>COUNTIFS('04_MATCHING'!$B$2:$B$1026,$A16,'04_MATCHING'!$C$2:$C$1026,$B16,'04_MATCHING'!$H$2:$H$1026,"Primary TP",'04_MATCHING'!$F$2:$F$1026,"No")</f>
        <v>5.0</v>
      </c>
      <c r="I16" s="5" t="n">
        <f>G16-H16</f>
        <v>16</v>
      </c>
      <c r="J16" s="25" t="n">
        <f>IFERROR(H16/G16,"")</f>
        <v>0.23809523809523808</v>
      </c>
    </row>
    <row r="17">
      <c r="A17" s="5" t="inlineStr">
        <is>
          <t>THREMOLIA</t>
        </is>
      </c>
      <c r="B17" s="5" t="inlineStr">
        <is>
          <t>S1</t>
        </is>
      </c>
      <c r="C17" s="5" t="n">
        <f>COUNTIFS('02_REFERENCE'!$B$2:$B$99,$B17,'02_REFERENCE'!$Q$2:$Q$99,"Yes",'02_REFERENCE'!$S$2:$S$99,"YES")</f>
        <v>13.0</v>
      </c>
      <c r="D17" s="5" t="n">
        <f>COUNTIFS('04_MATCHING'!$B$2:$B$1026,$A17,'04_MATCHING'!$C$2:$C$1026,$B17,'04_MATCHING'!$H$2:$H$1026,"Primary TP",'04_MATCHING'!$F$2:$F$1026,"Yes")</f>
        <v>10.0</v>
      </c>
      <c r="E17" s="5" t="n">
        <f>C17-D17</f>
        <v>3</v>
      </c>
      <c r="F17" s="25" t="n">
        <f>IFERROR(D17/C17,"")</f>
        <v>0.7692307692307693</v>
      </c>
      <c r="G17" s="5" t="n">
        <f>COUNTIFS('02_REFERENCE'!$B$2:$B$99,$B17,'02_REFERENCE'!$Q$2:$Q$99,"No",'02_REFERENCE'!$S$2:$S$99,"YES")</f>
        <v>19.0</v>
      </c>
      <c r="H17" s="5" t="n">
        <f>COUNTIFS('04_MATCHING'!$B$2:$B$1026,$A17,'04_MATCHING'!$C$2:$C$1026,$B17,'04_MATCHING'!$H$2:$H$1026,"Primary TP",'04_MATCHING'!$F$2:$F$1026,"No")</f>
        <v>16.0</v>
      </c>
      <c r="I17" s="5" t="n">
        <f>G17-H17</f>
        <v>3</v>
      </c>
      <c r="J17" s="25" t="n">
        <f>IFERROR(H17/G17,"")</f>
        <v>0.8421052631578947</v>
      </c>
    </row>
    <row r="18">
      <c r="A18" s="5" t="inlineStr">
        <is>
          <t>THREMOLIA</t>
        </is>
      </c>
      <c r="B18" s="5" t="inlineStr">
        <is>
          <t>S2</t>
        </is>
      </c>
      <c r="C18" s="5" t="n">
        <f>COUNTIFS('02_REFERENCE'!$B$2:$B$99,$B18,'02_REFERENCE'!$Q$2:$Q$99,"Yes",'02_REFERENCE'!$S$2:$S$99,"YES")</f>
        <v>13.0</v>
      </c>
      <c r="D18" s="5" t="n">
        <f>COUNTIFS('04_MATCHING'!$B$2:$B$1026,$A18,'04_MATCHING'!$C$2:$C$1026,$B18,'04_MATCHING'!$H$2:$H$1026,"Primary TP",'04_MATCHING'!$F$2:$F$1026,"Yes")</f>
        <v>8.0</v>
      </c>
      <c r="E18" s="5" t="n">
        <f>C18-D18</f>
        <v>5</v>
      </c>
      <c r="F18" s="25" t="n">
        <f>IFERROR(D18/C18,"")</f>
        <v>0.6153846153846154</v>
      </c>
      <c r="G18" s="5" t="n">
        <f>COUNTIFS('02_REFERENCE'!$B$2:$B$99,$B18,'02_REFERENCE'!$Q$2:$Q$99,"No",'02_REFERENCE'!$S$2:$S$99,"YES")</f>
        <v>20.0</v>
      </c>
      <c r="H18" s="5" t="n">
        <f>COUNTIFS('04_MATCHING'!$B$2:$B$1026,$A18,'04_MATCHING'!$C$2:$C$1026,$B18,'04_MATCHING'!$H$2:$H$1026,"Primary TP",'04_MATCHING'!$F$2:$F$1026,"No")</f>
        <v>15.0</v>
      </c>
      <c r="I18" s="5" t="n">
        <f>G18-H18</f>
        <v>5</v>
      </c>
      <c r="J18" s="25" t="n">
        <f>IFERROR(H18/G18,"")</f>
        <v>0.75</v>
      </c>
    </row>
    <row r="19">
      <c r="A19" s="5" t="inlineStr">
        <is>
          <t>THREMOLIA</t>
        </is>
      </c>
      <c r="B19" s="5" t="inlineStr">
        <is>
          <t>S3</t>
        </is>
      </c>
      <c r="C19" s="5" t="n">
        <f>COUNTIFS('02_REFERENCE'!$B$2:$B$99,$B19,'02_REFERENCE'!$Q$2:$Q$99,"Yes",'02_REFERENCE'!$S$2:$S$99,"YES")</f>
        <v>12.0</v>
      </c>
      <c r="D19" s="5" t="n">
        <f>COUNTIFS('04_MATCHING'!$B$2:$B$1026,$A19,'04_MATCHING'!$C$2:$C$1026,$B19,'04_MATCHING'!$H$2:$H$1026,"Primary TP",'04_MATCHING'!$F$2:$F$1026,"Yes")</f>
        <v>6.0</v>
      </c>
      <c r="E19" s="5" t="n">
        <f>C19-D19</f>
        <v>6</v>
      </c>
      <c r="F19" s="25" t="n">
        <f>IFERROR(D19/C19,"")</f>
        <v>0.5</v>
      </c>
      <c r="G19" s="5" t="n">
        <f>COUNTIFS('02_REFERENCE'!$B$2:$B$99,$B19,'02_REFERENCE'!$Q$2:$Q$99,"No",'02_REFERENCE'!$S$2:$S$99,"YES")</f>
        <v>21.0</v>
      </c>
      <c r="H19" s="5" t="n">
        <f>COUNTIFS('04_MATCHING'!$B$2:$B$1026,$A19,'04_MATCHING'!$C$2:$C$1026,$B19,'04_MATCHING'!$H$2:$H$1026,"Primary TP",'04_MATCHING'!$F$2:$F$1026,"No")</f>
        <v>14.0</v>
      </c>
      <c r="I19" s="5" t="n">
        <f>G19-H19</f>
        <v>7</v>
      </c>
      <c r="J19" s="25" t="n">
        <f>IFERROR(H19/G19,"")</f>
        <v>0.6666666666666666</v>
      </c>
    </row>
    <row r="20">
      <c r="A20" s="6" t="inlineStr">
        <is>
          <t>TOTAL</t>
        </is>
      </c>
      <c r="B20" s="6" t="inlineStr">
        <is>
          <t>All</t>
        </is>
      </c>
      <c r="C20" s="6" t="n">
        <f>SUM(C5:C19)</f>
        <v>190</v>
      </c>
      <c r="D20" s="6" t="n">
        <f>SUM(D5:D19)</f>
        <v>72</v>
      </c>
      <c r="E20" s="6" t="n">
        <f>SUM(E5:E19)</f>
        <v>118</v>
      </c>
      <c r="F20" s="27" t="n">
        <f>IFERROR(D20/C20,"")</f>
        <v>0.37894736842105264</v>
      </c>
      <c r="G20" s="6" t="n">
        <f>SUM(G5:G19)</f>
        <v>300</v>
      </c>
      <c r="H20" s="6" t="n">
        <f>SUM(H5:H19)</f>
        <v>116</v>
      </c>
      <c r="I20" s="6" t="n">
        <f>SUM(I5:I19)</f>
        <v>184</v>
      </c>
      <c r="J20" s="27" t="n">
        <f>IFERROR(H20/G20,"")</f>
        <v>0.38666666666666666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outlineLevelCol="0"/>
  <cols>
    <col width="44" customWidth="1" min="1" max="1"/>
    <col width="20" customWidth="1" min="2" max="2"/>
    <col width="20" customWidth="1" min="3" max="3"/>
    <col width="20" customWidth="1" min="4" max="4"/>
    <col width="20" customWidth="1" min="5" max="5"/>
    <col width="20" customWidth="1" min="6" max="6"/>
  </cols>
  <sheetData>
    <row r="1">
      <c r="A1" s="1" t="inlineStr">
        <is>
          <t>Feature / Functionality Matrix + MCDM (decision-support synthesis)</t>
        </is>
      </c>
    </row>
    <row r="2">
      <c r="A2" s="2" t="inlineStr">
        <is>
          <t>Feature matrix requires manual coding from documentation. No documentation was provided, so every cell is "Unknown" (honest default) and Feature Completeness + MCDM composite = N/A - DATA NOT AVAILABLE. MCDM is decision-support synthesis, NOT a statistical metric. No SUS/usability scores (no formal SUS study conducted).</t>
        </is>
      </c>
    </row>
    <row r="4">
      <c r="A4" s="4" t="inlineStr">
        <is>
          <t>Capability / Feature</t>
        </is>
      </c>
      <c r="B4" s="4" t="inlineStr">
        <is>
          <t>OWASP Threat Dragon</t>
        </is>
      </c>
      <c r="C4" s="4" t="inlineStr">
        <is>
          <t>Microsoft TMT</t>
        </is>
      </c>
      <c r="D4" s="4" t="inlineStr">
        <is>
          <t>ChatGPT</t>
        </is>
      </c>
      <c r="E4" s="4" t="inlineStr">
        <is>
          <t>Ollama</t>
        </is>
      </c>
      <c r="F4" s="4" t="inlineStr">
        <is>
          <t>ThreMoLIA</t>
        </is>
      </c>
    </row>
    <row r="5">
      <c r="A5" s="5" t="inlineStr">
        <is>
          <t>Graphical architecture modelling (draw diagram)</t>
        </is>
      </c>
      <c r="B5" s="31" t="inlineStr">
        <is>
          <t>Unknown</t>
        </is>
      </c>
      <c r="C5" s="31" t="inlineStr">
        <is>
          <t>Unknown</t>
        </is>
      </c>
      <c r="D5" s="31" t="inlineStr">
        <is>
          <t>Unknown</t>
        </is>
      </c>
      <c r="E5" s="31" t="inlineStr">
        <is>
          <t>Unknown</t>
        </is>
      </c>
      <c r="F5" s="31" t="inlineStr">
        <is>
          <t>Unknown</t>
        </is>
      </c>
    </row>
    <row r="6">
      <c r="A6" s="5" t="inlineStr">
        <is>
          <t>Built-in threat catalogue / rule engine</t>
        </is>
      </c>
      <c r="B6" s="31" t="inlineStr">
        <is>
          <t>Unknown</t>
        </is>
      </c>
      <c r="C6" s="31" t="inlineStr">
        <is>
          <t>Unknown</t>
        </is>
      </c>
      <c r="D6" s="31" t="inlineStr">
        <is>
          <t>Unknown</t>
        </is>
      </c>
      <c r="E6" s="31" t="inlineStr">
        <is>
          <t>Unknown</t>
        </is>
      </c>
      <c r="F6" s="31" t="inlineStr">
        <is>
          <t>Unknown</t>
        </is>
      </c>
    </row>
    <row r="7">
      <c r="A7" s="5" t="inlineStr">
        <is>
          <t>Automated threat identification</t>
        </is>
      </c>
      <c r="B7" s="31" t="inlineStr">
        <is>
          <t>Unknown</t>
        </is>
      </c>
      <c r="C7" s="31" t="inlineStr">
        <is>
          <t>Unknown</t>
        </is>
      </c>
      <c r="D7" s="31" t="inlineStr">
        <is>
          <t>Unknown</t>
        </is>
      </c>
      <c r="E7" s="31" t="inlineStr">
        <is>
          <t>Unknown</t>
        </is>
      </c>
      <c r="F7" s="31" t="inlineStr">
        <is>
          <t>Unknown</t>
        </is>
      </c>
    </row>
    <row r="8">
      <c r="A8" s="5" t="inlineStr">
        <is>
          <t>STRIDE category assignment</t>
        </is>
      </c>
      <c r="B8" s="31" t="inlineStr">
        <is>
          <t>Unknown</t>
        </is>
      </c>
      <c r="C8" s="31" t="inlineStr">
        <is>
          <t>Unknown</t>
        </is>
      </c>
      <c r="D8" s="31" t="inlineStr">
        <is>
          <t>Unknown</t>
        </is>
      </c>
      <c r="E8" s="31" t="inlineStr">
        <is>
          <t>Unknown</t>
        </is>
      </c>
      <c r="F8" s="31" t="inlineStr">
        <is>
          <t>Unknown</t>
        </is>
      </c>
    </row>
    <row r="9">
      <c r="A9" s="5" t="inlineStr">
        <is>
          <t>Data-flow and trust-boundary capture</t>
        </is>
      </c>
      <c r="B9" s="31" t="inlineStr">
        <is>
          <t>Unknown</t>
        </is>
      </c>
      <c r="C9" s="31" t="inlineStr">
        <is>
          <t>Unknown</t>
        </is>
      </c>
      <c r="D9" s="31" t="inlineStr">
        <is>
          <t>Unknown</t>
        </is>
      </c>
      <c r="E9" s="31" t="inlineStr">
        <is>
          <t>Unknown</t>
        </is>
      </c>
      <c r="F9" s="31" t="inlineStr">
        <is>
          <t>Unknown</t>
        </is>
      </c>
    </row>
    <row r="10">
      <c r="A10" s="5" t="inlineStr">
        <is>
          <t>Manual threat entry and annotation</t>
        </is>
      </c>
      <c r="B10" s="31" t="inlineStr">
        <is>
          <t>Unknown</t>
        </is>
      </c>
      <c r="C10" s="31" t="inlineStr">
        <is>
          <t>Unknown</t>
        </is>
      </c>
      <c r="D10" s="31" t="inlineStr">
        <is>
          <t>Unknown</t>
        </is>
      </c>
      <c r="E10" s="31" t="inlineStr">
        <is>
          <t>Unknown</t>
        </is>
      </c>
      <c r="F10" s="31" t="inlineStr">
        <is>
          <t>Unknown</t>
        </is>
      </c>
    </row>
    <row r="11">
      <c r="A11" s="5" t="inlineStr">
        <is>
          <t>Prompt/LLM-supported generation</t>
        </is>
      </c>
      <c r="B11" s="31" t="inlineStr">
        <is>
          <t>Unknown</t>
        </is>
      </c>
      <c r="C11" s="31" t="inlineStr">
        <is>
          <t>Unknown</t>
        </is>
      </c>
      <c r="D11" s="31" t="inlineStr">
        <is>
          <t>Unknown</t>
        </is>
      </c>
      <c r="E11" s="31" t="inlineStr">
        <is>
          <t>Unknown</t>
        </is>
      </c>
      <c r="F11" s="31" t="inlineStr">
        <is>
          <t>Unknown</t>
        </is>
      </c>
    </row>
    <row r="12">
      <c r="A12" s="5" t="inlineStr">
        <is>
          <t>Runs locally (no external LLM)</t>
        </is>
      </c>
      <c r="B12" s="31" t="inlineStr">
        <is>
          <t>Unknown</t>
        </is>
      </c>
      <c r="C12" s="31" t="inlineStr">
        <is>
          <t>Unknown</t>
        </is>
      </c>
      <c r="D12" s="31" t="inlineStr">
        <is>
          <t>Unknown</t>
        </is>
      </c>
      <c r="E12" s="31" t="inlineStr">
        <is>
          <t>Unknown</t>
        </is>
      </c>
      <c r="F12" s="31" t="inlineStr">
        <is>
          <t>Unknown</t>
        </is>
      </c>
    </row>
    <row r="13">
      <c r="A13" s="5" t="inlineStr">
        <is>
          <t>Export / shareable results</t>
        </is>
      </c>
      <c r="B13" s="31" t="inlineStr">
        <is>
          <t>Unknown</t>
        </is>
      </c>
      <c r="C13" s="31" t="inlineStr">
        <is>
          <t>Unknown</t>
        </is>
      </c>
      <c r="D13" s="31" t="inlineStr">
        <is>
          <t>Unknown</t>
        </is>
      </c>
      <c r="E13" s="31" t="inlineStr">
        <is>
          <t>Unknown</t>
        </is>
      </c>
      <c r="F13" s="31" t="inlineStr">
        <is>
          <t>Unknown</t>
        </is>
      </c>
    </row>
    <row r="14">
      <c r="A14" s="5" t="inlineStr">
        <is>
          <t>Traceability to architectural element</t>
        </is>
      </c>
      <c r="B14" s="31" t="inlineStr">
        <is>
          <t>Unknown</t>
        </is>
      </c>
      <c r="C14" s="31" t="inlineStr">
        <is>
          <t>Unknown</t>
        </is>
      </c>
      <c r="D14" s="31" t="inlineStr">
        <is>
          <t>Unknown</t>
        </is>
      </c>
      <c r="E14" s="31" t="inlineStr">
        <is>
          <t>Unknown</t>
        </is>
      </c>
      <c r="F14" s="31" t="inlineStr">
        <is>
          <t>Unknown</t>
        </is>
      </c>
    </row>
    <row r="15">
      <c r="A15" s="5" t="inlineStr">
        <is>
          <t>Documentation reference / guidance</t>
        </is>
      </c>
      <c r="B15" s="31" t="inlineStr">
        <is>
          <t>Unknown</t>
        </is>
      </c>
      <c r="C15" s="31" t="inlineStr">
        <is>
          <t>Unknown</t>
        </is>
      </c>
      <c r="D15" s="31" t="inlineStr">
        <is>
          <t>Unknown</t>
        </is>
      </c>
      <c r="E15" s="31" t="inlineStr">
        <is>
          <t>Unknown</t>
        </is>
      </c>
      <c r="F15" s="31" t="inlineStr">
        <is>
          <t>Unknown</t>
        </is>
      </c>
    </row>
    <row r="16">
      <c r="A16" s="5" t="inlineStr">
        <is>
          <t>Severity &amp; likelihood scoring</t>
        </is>
      </c>
      <c r="B16" s="31" t="inlineStr">
        <is>
          <t>Unknown</t>
        </is>
      </c>
      <c r="C16" s="31" t="inlineStr">
        <is>
          <t>Unknown</t>
        </is>
      </c>
      <c r="D16" s="31" t="inlineStr">
        <is>
          <t>Unknown</t>
        </is>
      </c>
      <c r="E16" s="31" t="inlineStr">
        <is>
          <t>Unknown</t>
        </is>
      </c>
      <c r="F16" s="31" t="inlineStr">
        <is>
          <t>Unknown</t>
        </is>
      </c>
    </row>
    <row r="17">
      <c r="A17" s="5" t="inlineStr">
        <is>
          <t>Threat-to-requirement mapping</t>
        </is>
      </c>
      <c r="B17" s="31" t="inlineStr">
        <is>
          <t>Unknown</t>
        </is>
      </c>
      <c r="C17" s="31" t="inlineStr">
        <is>
          <t>Unknown</t>
        </is>
      </c>
      <c r="D17" s="31" t="inlineStr">
        <is>
          <t>Unknown</t>
        </is>
      </c>
      <c r="E17" s="31" t="inlineStr">
        <is>
          <t>Unknown</t>
        </is>
      </c>
      <c r="F17" s="31" t="inlineStr">
        <is>
          <t>Unknown</t>
        </is>
      </c>
    </row>
    <row r="18">
      <c r="A18" s="5" t="inlineStr">
        <is>
          <t>Cross-checking / deduplication</t>
        </is>
      </c>
      <c r="B18" s="31" t="inlineStr">
        <is>
          <t>Unknown</t>
        </is>
      </c>
      <c r="C18" s="31" t="inlineStr">
        <is>
          <t>Unknown</t>
        </is>
      </c>
      <c r="D18" s="31" t="inlineStr">
        <is>
          <t>Unknown</t>
        </is>
      </c>
      <c r="E18" s="31" t="inlineStr">
        <is>
          <t>Unknown</t>
        </is>
      </c>
      <c r="F18" s="31" t="inlineStr">
        <is>
          <t>Unknown</t>
        </is>
      </c>
    </row>
    <row r="19">
      <c r="A19" s="6" t="inlineStr">
        <is>
          <t>Feature Completeness (% of cells = Native/External)</t>
        </is>
      </c>
      <c r="B19" s="5" t="n">
        <f>IFERROR(COUNTIF(B5:B18,"Native")+COUNTIF(B5:B18,"External/Manual")+COUNTIF(B5:B18,"Prompt-supported"),"N/A")</f>
        <v>0</v>
      </c>
      <c r="C19" s="5" t="n">
        <f>IFERROR(COUNTIF(C5:C18,"Native")+COUNTIF(C5:C18,"External/Manual")+COUNTIF(C5:C18,"Prompt-supported"),"N/A")</f>
        <v>0</v>
      </c>
      <c r="D19" s="5" t="n">
        <f>IFERROR(COUNTIF(D5:D18,"Native")+COUNTIF(D5:D18,"External/Manual")+COUNTIF(D5:D18,"Prompt-supported"),"N/A")</f>
        <v>0</v>
      </c>
      <c r="E19" s="5" t="n">
        <f>IFERROR(COUNTIF(E5:E18,"Native")+COUNTIF(E5:E18,"External/Manual")+COUNTIF(E5:E18,"Prompt-supported"),"N/A")</f>
        <v>0</v>
      </c>
      <c r="F19" s="5" t="n">
        <f>IFERROR(COUNTIF(F5:F18,"Native")+COUNTIF(F5:F18,"External/Manual")+COUNTIF(F5:F18,"Prompt-supported"),"N/A")</f>
        <v>0</v>
      </c>
    </row>
    <row r="21">
      <c r="A21" s="6" t="inlineStr">
        <is>
          <t>Feature coding legend</t>
        </is>
      </c>
    </row>
    <row r="22">
      <c r="A22" s="31" t="inlineStr">
        <is>
          <t>Native</t>
        </is>
      </c>
      <c r="B22" s="5" t="inlineStr">
        <is>
          <t>Fully supported natively out-of-the-box</t>
        </is>
      </c>
    </row>
    <row r="23">
      <c r="A23" s="31" t="inlineStr">
        <is>
          <t>External/Manual</t>
        </is>
      </c>
      <c r="B23" s="5" t="inlineStr">
        <is>
          <t>Supported but requires external tool or manual effort</t>
        </is>
      </c>
    </row>
    <row r="24">
      <c r="A24" s="31" t="inlineStr">
        <is>
          <t>Prompt-supported</t>
        </is>
      </c>
      <c r="B24" s="5" t="inlineStr">
        <is>
          <t>Supported via prompt/LLM assistance, not native</t>
        </is>
      </c>
    </row>
    <row r="25">
      <c r="A25" s="31" t="inlineStr">
        <is>
          <t>Not Supported</t>
        </is>
      </c>
      <c r="B25" s="5" t="inlineStr">
        <is>
          <t>Not supported</t>
        </is>
      </c>
    </row>
    <row r="26">
      <c r="A26" s="31" t="inlineStr">
        <is>
          <t>Unknown</t>
        </is>
      </c>
      <c r="B26" s="5" t="inlineStr">
        <is>
          <t>Not verifiable from provided documentation (default for all cells here)</t>
        </is>
      </c>
    </row>
    <row r="28">
      <c r="A28" s="6" t="inlineStr">
        <is>
          <t>MCDM Ranking (weights fixed a priori)</t>
        </is>
      </c>
      <c r="B28" s="8" t="n"/>
      <c r="C28" s="8" t="n"/>
      <c r="D28" s="8" t="n"/>
      <c r="E28" s="8" t="n"/>
      <c r="F28" s="8" t="n"/>
      <c r="G28" s="9" t="n"/>
    </row>
    <row r="29">
      <c r="A29" s="32" t="inlineStr">
        <is>
          <t>Approach</t>
        </is>
      </c>
      <c r="B29" s="32" t="inlineStr">
        <is>
          <t>Precision (30%)</t>
        </is>
      </c>
      <c r="C29" s="32" t="inlineStr">
        <is>
          <t>Recall (30%)</t>
        </is>
      </c>
      <c r="D29" s="32" t="inlineStr">
        <is>
          <t>Grounding (20%)</t>
        </is>
      </c>
      <c r="E29" s="32" t="inlineStr">
        <is>
          <t>Feature Completeness (20%)</t>
        </is>
      </c>
      <c r="F29" s="32" t="inlineStr">
        <is>
          <t>Overall Score (0.30P+0.30R+0.20G+0.20F)</t>
        </is>
      </c>
      <c r="G29" s="32" t="inlineStr">
        <is>
          <t>Rank</t>
        </is>
      </c>
    </row>
    <row r="30">
      <c r="A30" s="5" t="inlineStr">
        <is>
          <t>OWASP</t>
        </is>
      </c>
      <c r="B30" s="25" t="n">
        <f>IFERROR(SUMIFS('05_TP_FP_FN'!$E$5:$E$19,'05_TP_FP_FN'!$A$5:$A$19,$A30)/(SUMIFS('05_TP_FP_FN'!$E$5:$E$19,'05_TP_FP_FN'!$A$5:$A$19,$A30)+SUMIFS('05_TP_FP_FN'!$F$5:$F$19,'05_TP_FP_FN'!$A$5:$A$19,$A30)),"")</f>
        <v>0.19387755102040816</v>
      </c>
      <c r="C30" s="25" t="n">
        <f>IFERROR(SUMIFS('05_TP_FP_FN'!$E$5:$E$19,'05_TP_FP_FN'!$A$5:$A$19,$A30)/SUMIFS('05_TP_FP_FN'!$D$5:$D$19,'05_TP_FP_FN'!$A$5:$A$19,$A30),"")</f>
        <v>0.19387755102040816</v>
      </c>
      <c r="D30" s="30" t="inlineStr">
        <is>
          <t>N/A - DATA NOT AVAILABLE</t>
        </is>
      </c>
      <c r="E30" s="30" t="inlineStr">
        <is>
          <t>N/A - DATA NOT AVAILABLE</t>
        </is>
      </c>
      <c r="F30" s="30" t="str">
        <f>IF(OR(ISNUMBER(D30),ISNUMBER(E30)),0.3*N(B30)+0.3*N(C30)+0.2*N(D30)+0.2*N(E30),"N/A - DATA NOT AVAILABLE")</f>
        <v>N/A - DATA NOT AVAILABLE</v>
      </c>
      <c r="G30" s="5" t="inlineStr">
        <is>
          <t>N/A</t>
        </is>
      </c>
    </row>
    <row r="31">
      <c r="A31" s="5" t="inlineStr">
        <is>
          <t>TMT</t>
        </is>
      </c>
      <c r="B31" s="25" t="n">
        <f>IFERROR(SUMIFS('05_TP_FP_FN'!$E$5:$E$19,'05_TP_FP_FN'!$A$5:$A$19,$A31)/(SUMIFS('05_TP_FP_FN'!$E$5:$E$19,'05_TP_FP_FN'!$A$5:$A$19,$A31)+SUMIFS('05_TP_FP_FN'!$F$5:$F$19,'05_TP_FP_FN'!$A$5:$A$19,$A31)),"")</f>
        <v>0.11244979919678715</v>
      </c>
      <c r="C31" s="25" t="n">
        <f>IFERROR(SUMIFS('05_TP_FP_FN'!$E$5:$E$19,'05_TP_FP_FN'!$A$5:$A$19,$A31)/SUMIFS('05_TP_FP_FN'!$D$5:$D$19,'05_TP_FP_FN'!$A$5:$A$19,$A31),"")</f>
        <v>0.2857142857142857</v>
      </c>
      <c r="D31" s="30" t="inlineStr">
        <is>
          <t>N/A - DATA NOT AVAILABLE</t>
        </is>
      </c>
      <c r="E31" s="30" t="inlineStr">
        <is>
          <t>N/A - DATA NOT AVAILABLE</t>
        </is>
      </c>
      <c r="F31" s="30" t="str">
        <f>IF(OR(ISNUMBER(D31),ISNUMBER(E31)),0.3*N(B31)+0.3*N(C31)+0.2*N(D31)+0.2*N(E31),"N/A - DATA NOT AVAILABLE")</f>
        <v>N/A - DATA NOT AVAILABLE</v>
      </c>
      <c r="G31" s="5" t="inlineStr">
        <is>
          <t>N/A</t>
        </is>
      </c>
    </row>
    <row r="32">
      <c r="A32" s="5" t="inlineStr">
        <is>
          <t>CHATGPT</t>
        </is>
      </c>
      <c r="B32" s="25" t="n">
        <f>IFERROR(SUMIFS('05_TP_FP_FN'!$E$5:$E$19,'05_TP_FP_FN'!$A$5:$A$19,$A32)/(SUMIFS('05_TP_FP_FN'!$E$5:$E$19,'05_TP_FP_FN'!$A$5:$A$19,$A32)+SUMIFS('05_TP_FP_FN'!$F$5:$F$19,'05_TP_FP_FN'!$A$5:$A$19,$A32)),"")</f>
        <v>0.47706422018348627</v>
      </c>
      <c r="C32" s="25" t="n">
        <f>IFERROR(SUMIFS('05_TP_FP_FN'!$E$5:$E$19,'05_TP_FP_FN'!$A$5:$A$19,$A32)/SUMIFS('05_TP_FP_FN'!$D$5:$D$19,'05_TP_FP_FN'!$A$5:$A$19,$A32),"")</f>
        <v>0.5306122448979592</v>
      </c>
      <c r="D32" s="30" t="inlineStr">
        <is>
          <t>N/A - DATA NOT AVAILABLE</t>
        </is>
      </c>
      <c r="E32" s="30" t="inlineStr">
        <is>
          <t>N/A - DATA NOT AVAILABLE</t>
        </is>
      </c>
      <c r="F32" s="30" t="str">
        <f>IF(OR(ISNUMBER(D32),ISNUMBER(E32)),0.3*N(B32)+0.3*N(C32)+0.2*N(D32)+0.2*N(E32),"N/A - DATA NOT AVAILABLE")</f>
        <v>N/A - DATA NOT AVAILABLE</v>
      </c>
      <c r="G32" s="5" t="inlineStr">
        <is>
          <t>N/A</t>
        </is>
      </c>
    </row>
    <row r="33">
      <c r="A33" s="5" t="inlineStr">
        <is>
          <t>OLLAMA</t>
        </is>
      </c>
      <c r="B33" s="25" t="n">
        <f>IFERROR(SUMIFS('05_TP_FP_FN'!$E$5:$E$19,'05_TP_FP_FN'!$A$5:$A$19,$A33)/(SUMIFS('05_TP_FP_FN'!$E$5:$E$19,'05_TP_FP_FN'!$A$5:$A$19,$A33)+SUMIFS('05_TP_FP_FN'!$F$5:$F$19,'05_TP_FP_FN'!$A$5:$A$19,$A33)),"")</f>
        <v>0.30303030303030304</v>
      </c>
      <c r="C33" s="25" t="n">
        <f>IFERROR(SUMIFS('05_TP_FP_FN'!$E$5:$E$19,'05_TP_FP_FN'!$A$5:$A$19,$A33)/SUMIFS('05_TP_FP_FN'!$D$5:$D$19,'05_TP_FP_FN'!$A$5:$A$19,$A33),"")</f>
        <v>0.20408163265306123</v>
      </c>
      <c r="D33" s="30" t="inlineStr">
        <is>
          <t>N/A - DATA NOT AVAILABLE</t>
        </is>
      </c>
      <c r="E33" s="30" t="inlineStr">
        <is>
          <t>N/A - DATA NOT AVAILABLE</t>
        </is>
      </c>
      <c r="F33" s="30" t="str">
        <f>IF(OR(ISNUMBER(D33),ISNUMBER(E33)),0.3*N(B33)+0.3*N(C33)+0.2*N(D33)+0.2*N(E33),"N/A - DATA NOT AVAILABLE")</f>
        <v>N/A - DATA NOT AVAILABLE</v>
      </c>
      <c r="G33" s="5" t="inlineStr">
        <is>
          <t>N/A</t>
        </is>
      </c>
    </row>
    <row r="34">
      <c r="A34" s="5" t="inlineStr">
        <is>
          <t>THREMOLIA</t>
        </is>
      </c>
      <c r="B34" s="25" t="n">
        <f>IFERROR(SUMIFS('05_TP_FP_FN'!$E$5:$E$19,'05_TP_FP_FN'!$A$5:$A$19,$A34)/(SUMIFS('05_TP_FP_FN'!$E$5:$E$19,'05_TP_FP_FN'!$A$5:$A$19,$A34)+SUMIFS('05_TP_FP_FN'!$F$5:$F$19,'05_TP_FP_FN'!$A$5:$A$19,$A34)),"")</f>
        <v>0.42073170731707316</v>
      </c>
      <c r="C34" s="25" t="n">
        <f>IFERROR(SUMIFS('05_TP_FP_FN'!$E$5:$E$19,'05_TP_FP_FN'!$A$5:$A$19,$A34)/SUMIFS('05_TP_FP_FN'!$D$5:$D$19,'05_TP_FP_FN'!$A$5:$A$19,$A34),"")</f>
        <v>0.7040816326530612</v>
      </c>
      <c r="D34" s="30" t="inlineStr">
        <is>
          <t>N/A - DATA NOT AVAILABLE</t>
        </is>
      </c>
      <c r="E34" s="30" t="inlineStr">
        <is>
          <t>N/A - DATA NOT AVAILABLE</t>
        </is>
      </c>
      <c r="F34" s="30" t="str">
        <f>IF(OR(ISNUMBER(D34),ISNUMBER(E34)),0.3*N(B34)+0.3*N(C34)+0.2*N(D34)+0.2*N(E34),"N/A - DATA NOT AVAILABLE")</f>
        <v>N/A - DATA NOT AVAILABLE</v>
      </c>
      <c r="G34" s="5" t="inlineStr">
        <is>
          <t>N/A</t>
        </is>
      </c>
    </row>
    <row r="36" ht="40" customHeight="1">
      <c r="A36" s="33" t="inlineStr">
        <is>
          <t>Note: Weights are Precision 30%, Recall 30%, Grounding 20%, Feature Completeness 20%. Because Grounding and Feature Completeness are N/A, the MCDM composite is N/A - it is not a valid ranking and must not be reported as a statistical metric.</t>
        </is>
      </c>
      <c r="B36" s="8" t="n"/>
      <c r="C36" s="8" t="n"/>
      <c r="D36" s="8" t="n"/>
      <c r="E36" s="8" t="n"/>
      <c r="F36" s="8" t="n"/>
      <c r="G36" s="9" t="n"/>
    </row>
  </sheetData>
  <mergeCells count="2">
    <mergeCell ref="A36:G36"/>
    <mergeCell ref="A28:G2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outlineLevelCol="0"/>
  <cols>
    <col width="40" customWidth="1" min="1" max="1"/>
    <col width="14" customWidth="1" min="2" max="2"/>
    <col width="10" customWidth="1" min="3" max="3"/>
    <col width="10" customWidth="1" min="4" max="4"/>
    <col width="10" customWidth="1" min="5" max="5"/>
    <col width="11" customWidth="1" min="6" max="6"/>
    <col width="11" customWidth="1" min="7" max="7"/>
    <col width="30" customWidth="1" min="8" max="8"/>
  </cols>
  <sheetData>
    <row r="1">
      <c r="A1" s="1" t="inlineStr">
        <is>
          <t>Descriptive Statistics (scenario-level, n=3)</t>
        </is>
      </c>
    </row>
    <row r="2">
      <c r="A2" s="2" t="inlineStr">
        <is>
          <t>There are only three scenarios, so the scenario (n=3) is the primary unit of analysis. The 1,025 findings are NOT treated as independent observations. All statistics here are descriptive/exploratory; NO inferential tests were performed.</t>
        </is>
      </c>
    </row>
    <row r="4">
      <c r="A4" s="4" t="inlineStr">
        <is>
          <t>Metric (per Approach, over 3 scenarios)</t>
        </is>
      </c>
      <c r="B4" s="4" t="inlineStr">
        <is>
          <t>Approach</t>
        </is>
      </c>
      <c r="C4" s="4" t="inlineStr">
        <is>
          <t>Mean</t>
        </is>
      </c>
      <c r="D4" s="4" t="inlineStr">
        <is>
          <t>Median</t>
        </is>
      </c>
      <c r="E4" s="4" t="inlineStr">
        <is>
          <t>SD</t>
        </is>
      </c>
      <c r="F4" s="4" t="inlineStr">
        <is>
          <t>Minimum</t>
        </is>
      </c>
      <c r="G4" s="4" t="inlineStr">
        <is>
          <t>Maximum</t>
        </is>
      </c>
      <c r="H4" s="4" t="inlineStr">
        <is>
          <t>Values (S1,S2,S3)</t>
        </is>
      </c>
    </row>
    <row r="5">
      <c r="A5" s="5" t="inlineStr">
        <is>
          <t>Precision</t>
        </is>
      </c>
      <c r="B5" s="5" t="inlineStr">
        <is>
          <t>OWASP</t>
        </is>
      </c>
      <c r="C5" s="26" t="n">
        <f>AVERAGE('06_METRICS'!I5,'06_METRICS'!I6,'06_METRICS'!I7)</f>
        <v>0.1938131313131313</v>
      </c>
      <c r="D5" s="26" t="n">
        <f>MEDIAN('06_METRICS'!I5,'06_METRICS'!I6,'06_METRICS'!I7)</f>
        <v>0.1875</v>
      </c>
      <c r="E5" s="26" t="n">
        <f>IFERROR(STDEV.S('06_METRICS'!I5,'06_METRICS'!I6,'06_METRICS'!I7),"")</f>
        <v>0.016107766189612467</v>
      </c>
      <c r="F5" s="26" t="n">
        <f>MIN('06_METRICS'!I5,'06_METRICS'!I6,'06_METRICS'!I7)</f>
        <v>0.18181818181818182</v>
      </c>
      <c r="G5" s="26" t="n">
        <f>MAX('06_METRICS'!I5,'06_METRICS'!I6,'06_METRICS'!I7)</f>
        <v>0.21212121212121213</v>
      </c>
      <c r="H5" s="5" t="inlineStr">
        <is>
          <t>'06_METRICS'!I5,'06_METRICS'!I6,'06_METRICS'!I7</t>
        </is>
      </c>
    </row>
    <row r="6">
      <c r="A6" s="5" t="inlineStr">
        <is>
          <t>Precision</t>
        </is>
      </c>
      <c r="B6" s="5" t="inlineStr">
        <is>
          <t>TMT</t>
        </is>
      </c>
      <c r="C6" s="26" t="n">
        <f>AVERAGE('06_METRICS'!I8,'06_METRICS'!I9,'06_METRICS'!I10)</f>
        <v>0.1136385059502769</v>
      </c>
      <c r="D6" s="26" t="n">
        <f>MEDIAN('06_METRICS'!I8,'06_METRICS'!I9,'06_METRICS'!I10)</f>
        <v>0.10975609756097561</v>
      </c>
      <c r="E6" s="26" t="n">
        <f>IFERROR(STDEV.S('06_METRICS'!I8,'06_METRICS'!I9,'06_METRICS'!I10),"")</f>
        <v>0.01806919913808821</v>
      </c>
      <c r="F6" s="26" t="n">
        <f>MIN('06_METRICS'!I8,'06_METRICS'!I9,'06_METRICS'!I10)</f>
        <v>0.09782608695652174</v>
      </c>
      <c r="G6" s="26" t="n">
        <f>MAX('06_METRICS'!I8,'06_METRICS'!I9,'06_METRICS'!I10)</f>
        <v>0.13333333333333333</v>
      </c>
      <c r="H6" s="5" t="inlineStr">
        <is>
          <t>'06_METRICS'!I8,'06_METRICS'!I9,'06_METRICS'!I10</t>
        </is>
      </c>
    </row>
    <row r="7">
      <c r="A7" s="5" t="inlineStr">
        <is>
          <t>Precision</t>
        </is>
      </c>
      <c r="B7" s="5" t="inlineStr">
        <is>
          <t>CHATGPT</t>
        </is>
      </c>
      <c r="C7" s="26" t="n">
        <f>AVERAGE('06_METRICS'!I11,'06_METRICS'!I12,'06_METRICS'!I13)</f>
        <v>0.4784461152882205</v>
      </c>
      <c r="D7" s="26" t="n">
        <f>MEDIAN('06_METRICS'!I11,'06_METRICS'!I12,'06_METRICS'!I13)</f>
        <v>0.5</v>
      </c>
      <c r="E7" s="26" t="n">
        <f>IFERROR(STDEV.S('06_METRICS'!I11,'06_METRICS'!I12,'06_METRICS'!I13),"")</f>
        <v>0.050214832344420104</v>
      </c>
      <c r="F7" s="26" t="n">
        <f>MIN('06_METRICS'!I11,'06_METRICS'!I12,'06_METRICS'!I13)</f>
        <v>0.42105263157894735</v>
      </c>
      <c r="G7" s="26" t="n">
        <f>MAX('06_METRICS'!I11,'06_METRICS'!I12,'06_METRICS'!I13)</f>
        <v>0.5142857142857142</v>
      </c>
      <c r="H7" s="5" t="inlineStr">
        <is>
          <t>'06_METRICS'!I11,'06_METRICS'!I12,'06_METRICS'!I13</t>
        </is>
      </c>
    </row>
    <row r="8">
      <c r="A8" s="5" t="inlineStr">
        <is>
          <t>Precision</t>
        </is>
      </c>
      <c r="B8" s="5" t="inlineStr">
        <is>
          <t>OLLAMA</t>
        </is>
      </c>
      <c r="C8" s="26" t="n">
        <f>AVERAGE('06_METRICS'!I14,'06_METRICS'!I15,'06_METRICS'!I16)</f>
        <v>0.3088676236044657</v>
      </c>
      <c r="D8" s="26" t="n">
        <f>MEDIAN('06_METRICS'!I14,'06_METRICS'!I15,'06_METRICS'!I16)</f>
        <v>0.3181818181818182</v>
      </c>
      <c r="E8" s="26" t="n">
        <f>IFERROR(STDEV.S('06_METRICS'!I14,'06_METRICS'!I15,'06_METRICS'!I16),"")</f>
        <v>0.0647152018865682</v>
      </c>
      <c r="F8" s="26" t="n">
        <f>MIN('06_METRICS'!I14,'06_METRICS'!I15,'06_METRICS'!I16)</f>
        <v>0.24</v>
      </c>
      <c r="G8" s="26" t="n">
        <f>MAX('06_METRICS'!I14,'06_METRICS'!I15,'06_METRICS'!I16)</f>
        <v>0.3684210526315789</v>
      </c>
      <c r="H8" s="5" t="inlineStr">
        <is>
          <t>'06_METRICS'!I14,'06_METRICS'!I15,'06_METRICS'!I16</t>
        </is>
      </c>
    </row>
    <row r="9">
      <c r="A9" s="5" t="inlineStr">
        <is>
          <t>Precision</t>
        </is>
      </c>
      <c r="B9" s="5" t="inlineStr">
        <is>
          <t>THREMOLIA</t>
        </is>
      </c>
      <c r="C9" s="26" t="n">
        <f>AVERAGE('06_METRICS'!I17,'06_METRICS'!I18,'06_METRICS'!I19)</f>
        <v>0.43006253006253004</v>
      </c>
      <c r="D9" s="26" t="n">
        <f>MEDIAN('06_METRICS'!I17,'06_METRICS'!I18,'06_METRICS'!I19)</f>
        <v>0.4727272727272727</v>
      </c>
      <c r="E9" s="26" t="n">
        <f>IFERROR(STDEV.S('06_METRICS'!I17,'06_METRICS'!I18,'06_METRICS'!I19),"")</f>
        <v>0.09846519245605807</v>
      </c>
      <c r="F9" s="26" t="n">
        <f>MIN('06_METRICS'!I17,'06_METRICS'!I18,'06_METRICS'!I19)</f>
        <v>0.31746031746031744</v>
      </c>
      <c r="G9" s="26" t="n">
        <f>MAX('06_METRICS'!I17,'06_METRICS'!I18,'06_METRICS'!I19)</f>
        <v>0.5</v>
      </c>
      <c r="H9" s="5" t="inlineStr">
        <is>
          <t>'06_METRICS'!I17,'06_METRICS'!I18,'06_METRICS'!I19</t>
        </is>
      </c>
    </row>
    <row r="10">
      <c r="A10" s="5" t="inlineStr">
        <is>
          <t>Recall/Coverage</t>
        </is>
      </c>
      <c r="B10" s="5" t="inlineStr">
        <is>
          <t>OWASP</t>
        </is>
      </c>
      <c r="C10" s="26" t="n">
        <f>AVERAGE('06_METRICS'!J5,'06_METRICS'!J6,'06_METRICS'!J7)</f>
        <v>0.1938131313131313</v>
      </c>
      <c r="D10" s="26" t="n">
        <f>MEDIAN('06_METRICS'!J5,'06_METRICS'!J6,'06_METRICS'!J7)</f>
        <v>0.1875</v>
      </c>
      <c r="E10" s="26" t="n">
        <f>IFERROR(STDEV.S('06_METRICS'!J5,'06_METRICS'!J6,'06_METRICS'!J7),"")</f>
        <v>0.016107766189612467</v>
      </c>
      <c r="F10" s="26" t="n">
        <f>MIN('06_METRICS'!J5,'06_METRICS'!J6,'06_METRICS'!J7)</f>
        <v>0.18181818181818182</v>
      </c>
      <c r="G10" s="26" t="n">
        <f>MAX('06_METRICS'!J5,'06_METRICS'!J6,'06_METRICS'!J7)</f>
        <v>0.21212121212121213</v>
      </c>
      <c r="H10" s="5" t="inlineStr">
        <is>
          <t>'06_METRICS'!J5,'06_METRICS'!J6,'06_METRICS'!J7</t>
        </is>
      </c>
    </row>
    <row r="11">
      <c r="A11" s="5" t="inlineStr">
        <is>
          <t>Recall/Coverage</t>
        </is>
      </c>
      <c r="B11" s="5" t="inlineStr">
        <is>
          <t>TMT</t>
        </is>
      </c>
      <c r="C11" s="26" t="n">
        <f>AVERAGE('06_METRICS'!J8,'06_METRICS'!J9,'06_METRICS'!J10)</f>
        <v>0.2856691919191919</v>
      </c>
      <c r="D11" s="26" t="n">
        <f>MEDIAN('06_METRICS'!J8,'06_METRICS'!J9,'06_METRICS'!J10)</f>
        <v>0.28125</v>
      </c>
      <c r="E11" s="26" t="n">
        <f>IFERROR(STDEV.S('06_METRICS'!J8,'06_METRICS'!J9,'06_METRICS'!J10),"")</f>
        <v>0.015627391154654766</v>
      </c>
      <c r="F11" s="26" t="n">
        <f>MIN('06_METRICS'!J8,'06_METRICS'!J9,'06_METRICS'!J10)</f>
        <v>0.2727272727272727</v>
      </c>
      <c r="G11" s="26" t="n">
        <f>MAX('06_METRICS'!J8,'06_METRICS'!J9,'06_METRICS'!J10)</f>
        <v>0.30303030303030304</v>
      </c>
      <c r="H11" s="5" t="inlineStr">
        <is>
          <t>'06_METRICS'!J8,'06_METRICS'!J9,'06_METRICS'!J10</t>
        </is>
      </c>
    </row>
    <row r="12">
      <c r="A12" s="5" t="inlineStr">
        <is>
          <t>Recall/Coverage</t>
        </is>
      </c>
      <c r="B12" s="5" t="inlineStr">
        <is>
          <t>CHATGPT</t>
        </is>
      </c>
      <c r="C12" s="26" t="n">
        <f>AVERAGE('06_METRICS'!J11,'06_METRICS'!J12,'06_METRICS'!J13)</f>
        <v>0.5309343434343434</v>
      </c>
      <c r="D12" s="26" t="n">
        <f>MEDIAN('06_METRICS'!J11,'06_METRICS'!J12,'06_METRICS'!J13)</f>
        <v>0.5454545454545454</v>
      </c>
      <c r="E12" s="26" t="n">
        <f>IFERROR(STDEV.S('06_METRICS'!J11,'06_METRICS'!J12,'06_METRICS'!J13),"")</f>
        <v>0.040811354441651466</v>
      </c>
      <c r="F12" s="26" t="n">
        <f>MIN('06_METRICS'!J11,'06_METRICS'!J12,'06_METRICS'!J13)</f>
        <v>0.48484848484848486</v>
      </c>
      <c r="G12" s="26" t="n">
        <f>MAX('06_METRICS'!J11,'06_METRICS'!J12,'06_METRICS'!J13)</f>
        <v>0.5625</v>
      </c>
      <c r="H12" s="5" t="inlineStr">
        <is>
          <t>'06_METRICS'!J11,'06_METRICS'!J12,'06_METRICS'!J13</t>
        </is>
      </c>
    </row>
    <row r="13">
      <c r="A13" s="5" t="inlineStr">
        <is>
          <t>Recall/Coverage</t>
        </is>
      </c>
      <c r="B13" s="5" t="inlineStr">
        <is>
          <t>OLLAMA</t>
        </is>
      </c>
      <c r="C13" s="26" t="n">
        <f>AVERAGE('06_METRICS'!J14,'06_METRICS'!J15,'06_METRICS'!J16)</f>
        <v>0.20391414141414144</v>
      </c>
      <c r="D13" s="26" t="n">
        <f>MEDIAN('06_METRICS'!J14,'06_METRICS'!J15,'06_METRICS'!J16)</f>
        <v>0.21212121212121213</v>
      </c>
      <c r="E13" s="26" t="n">
        <f>IFERROR(STDEV.S('06_METRICS'!J14,'06_METRICS'!J15,'06_METRICS'!J16),"")</f>
        <v>0.014215063445956699</v>
      </c>
      <c r="F13" s="26" t="n">
        <f>MIN('06_METRICS'!J14,'06_METRICS'!J15,'06_METRICS'!J16)</f>
        <v>0.1875</v>
      </c>
      <c r="G13" s="26" t="n">
        <f>MAX('06_METRICS'!J14,'06_METRICS'!J15,'06_METRICS'!J16)</f>
        <v>0.21212121212121213</v>
      </c>
      <c r="H13" s="5" t="inlineStr">
        <is>
          <t>'06_METRICS'!J14,'06_METRICS'!J15,'06_METRICS'!J16</t>
        </is>
      </c>
    </row>
    <row r="14">
      <c r="A14" s="5" t="inlineStr">
        <is>
          <t>Recall/Coverage</t>
        </is>
      </c>
      <c r="B14" s="5" t="inlineStr">
        <is>
          <t>THREMOLIA</t>
        </is>
      </c>
      <c r="C14" s="26" t="n">
        <f>AVERAGE('06_METRICS'!J17,'06_METRICS'!J18,'06_METRICS'!J19)</f>
        <v>0.7051767676767677</v>
      </c>
      <c r="D14" s="26" t="n">
        <f>MEDIAN('06_METRICS'!J17,'06_METRICS'!J18,'06_METRICS'!J19)</f>
        <v>0.696969696969697</v>
      </c>
      <c r="E14" s="26" t="n">
        <f>IFERROR(STDEV.S('06_METRICS'!J17,'06_METRICS'!J18,'06_METRICS'!J19),"")</f>
        <v>0.10346411382556375</v>
      </c>
      <c r="F14" s="26" t="n">
        <f>MIN('06_METRICS'!J17,'06_METRICS'!J18,'06_METRICS'!J19)</f>
        <v>0.6060606060606061</v>
      </c>
      <c r="G14" s="26" t="n">
        <f>MAX('06_METRICS'!J17,'06_METRICS'!J18,'06_METRICS'!J19)</f>
        <v>0.8125</v>
      </c>
      <c r="H14" s="5" t="inlineStr">
        <is>
          <t>'06_METRICS'!J17,'06_METRICS'!J18,'06_METRICS'!J19</t>
        </is>
      </c>
    </row>
    <row r="15">
      <c r="A15" s="5" t="inlineStr">
        <is>
          <t>F1</t>
        </is>
      </c>
      <c r="B15" s="5" t="inlineStr">
        <is>
          <t>OWASP</t>
        </is>
      </c>
      <c r="C15" s="26" t="n">
        <f>AVERAGE('06_METRICS'!K5,'06_METRICS'!K6,'06_METRICS'!K7)</f>
        <v>0.19381313131313135</v>
      </c>
      <c r="D15" s="26" t="n">
        <f>MEDIAN('06_METRICS'!K5,'06_METRICS'!K6,'06_METRICS'!K7)</f>
        <v>0.1875</v>
      </c>
      <c r="E15" s="26" t="n">
        <f>IFERROR(STDEV.S('06_METRICS'!K5,'06_METRICS'!K6,'06_METRICS'!K7),"")</f>
        <v>0.016107766189612484</v>
      </c>
      <c r="F15" s="26" t="n">
        <f>MIN('06_METRICS'!K5,'06_METRICS'!K6,'06_METRICS'!K7)</f>
        <v>0.18181818181818182</v>
      </c>
      <c r="G15" s="26" t="n">
        <f>MAX('06_METRICS'!K5,'06_METRICS'!K6,'06_METRICS'!K7)</f>
        <v>0.21212121212121215</v>
      </c>
      <c r="H15" s="5" t="inlineStr">
        <is>
          <t>'06_METRICS'!K5,'06_METRICS'!K6,'06_METRICS'!K7</t>
        </is>
      </c>
    </row>
    <row r="16">
      <c r="A16" s="5" t="inlineStr">
        <is>
          <t>F1</t>
        </is>
      </c>
      <c r="B16" s="5" t="inlineStr">
        <is>
          <t>TMT</t>
        </is>
      </c>
      <c r="C16" s="26" t="n">
        <f>AVERAGE('06_METRICS'!K8,'06_METRICS'!K9,'06_METRICS'!K10)</f>
        <v>0.16235997400909682</v>
      </c>
      <c r="D16" s="26" t="n">
        <f>MEDIAN('06_METRICS'!K8,'06_METRICS'!K9,'06_METRICS'!K10)</f>
        <v>0.15789473684210525</v>
      </c>
      <c r="E16" s="26" t="n">
        <f>IFERROR(STDEV.S('06_METRICS'!K8,'06_METRICS'!K9,'06_METRICS'!K10),"")</f>
        <v>0.02095253270854411</v>
      </c>
      <c r="F16" s="26" t="n">
        <f>MIN('06_METRICS'!K8,'06_METRICS'!K9,'06_METRICS'!K10)</f>
        <v>0.14400000000000002</v>
      </c>
      <c r="G16" s="26" t="n">
        <f>MAX('06_METRICS'!K8,'06_METRICS'!K9,'06_METRICS'!K10)</f>
        <v>0.18518518518518517</v>
      </c>
      <c r="H16" s="5" t="inlineStr">
        <is>
          <t>'06_METRICS'!K8,'06_METRICS'!K9,'06_METRICS'!K10</t>
        </is>
      </c>
    </row>
    <row r="17">
      <c r="A17" s="5" t="inlineStr">
        <is>
          <t>F1</t>
        </is>
      </c>
      <c r="B17" s="5" t="inlineStr">
        <is>
          <t>CHATGPT</t>
        </is>
      </c>
      <c r="C17" s="26" t="n">
        <f>AVERAGE('06_METRICS'!K11,'06_METRICS'!K12,'06_METRICS'!K13)</f>
        <v>0.5032522628742387</v>
      </c>
      <c r="D17" s="26" t="n">
        <f>MEDIAN('06_METRICS'!K11,'06_METRICS'!K12,'06_METRICS'!K13)</f>
        <v>0.5217391304347826</v>
      </c>
      <c r="E17" s="26" t="n">
        <f>IFERROR(STDEV.S('06_METRICS'!K11,'06_METRICS'!K12,'06_METRICS'!K13),"")</f>
        <v>0.04616938281361167</v>
      </c>
      <c r="F17" s="26" t="n">
        <f>MIN('06_METRICS'!K11,'06_METRICS'!K12,'06_METRICS'!K13)</f>
        <v>0.4507042253521127</v>
      </c>
      <c r="G17" s="26" t="n">
        <f>MAX('06_METRICS'!K11,'06_METRICS'!K12,'06_METRICS'!K13)</f>
        <v>0.5373134328358209</v>
      </c>
      <c r="H17" s="5" t="inlineStr">
        <is>
          <t>'06_METRICS'!K11,'06_METRICS'!K12,'06_METRICS'!K13</t>
        </is>
      </c>
    </row>
    <row r="18">
      <c r="A18" s="5" t="inlineStr">
        <is>
          <t>F1</t>
        </is>
      </c>
      <c r="B18" s="5" t="inlineStr">
        <is>
          <t>OLLAMA</t>
        </is>
      </c>
      <c r="C18" s="26" t="n">
        <f>AVERAGE('06_METRICS'!K14,'06_METRICS'!K15,'06_METRICS'!K16)</f>
        <v>0.24476751318856582</v>
      </c>
      <c r="D18" s="26" t="n">
        <f>MEDIAN('06_METRICS'!K14,'06_METRICS'!K15,'06_METRICS'!K16)</f>
        <v>0.2545454545454546</v>
      </c>
      <c r="E18" s="26" t="n">
        <f>IFERROR(STDEV.S('06_METRICS'!K14,'06_METRICS'!K15,'06_METRICS'!K16),"")</f>
        <v>0.030549293221683167</v>
      </c>
      <c r="F18" s="26" t="n">
        <f>MIN('06_METRICS'!K14,'06_METRICS'!K15,'06_METRICS'!K16)</f>
        <v>0.21052631578947367</v>
      </c>
      <c r="G18" s="26" t="n">
        <f>MAX('06_METRICS'!K14,'06_METRICS'!K15,'06_METRICS'!K16)</f>
        <v>0.2692307692307693</v>
      </c>
      <c r="H18" s="5" t="inlineStr">
        <is>
          <t>'06_METRICS'!K14,'06_METRICS'!K15,'06_METRICS'!K16</t>
        </is>
      </c>
    </row>
    <row r="19">
      <c r="A19" s="5" t="inlineStr">
        <is>
          <t>F1</t>
        </is>
      </c>
      <c r="B19" s="5" t="inlineStr">
        <is>
          <t>THREMOLIA</t>
        </is>
      </c>
      <c r="C19" s="26" t="n">
        <f>AVERAGE('06_METRICS'!K17,'06_METRICS'!K18,'06_METRICS'!K19)</f>
        <v>0.5322154323682041</v>
      </c>
      <c r="D19" s="26" t="n">
        <f>MEDIAN('06_METRICS'!K17,'06_METRICS'!K18,'06_METRICS'!K19)</f>
        <v>0.5822784810126582</v>
      </c>
      <c r="E19" s="26" t="n">
        <f>IFERROR(STDEV.S('06_METRICS'!K17,'06_METRICS'!K18,'06_METRICS'!K19),"")</f>
        <v>0.10036484751447128</v>
      </c>
      <c r="F19" s="26" t="n">
        <f>MIN('06_METRICS'!K17,'06_METRICS'!K18,'06_METRICS'!K19)</f>
        <v>0.4166666666666667</v>
      </c>
      <c r="G19" s="26" t="n">
        <f>MAX('06_METRICS'!K17,'06_METRICS'!K18,'06_METRICS'!K19)</f>
        <v>0.5977011494252874</v>
      </c>
      <c r="H19" s="5" t="inlineStr">
        <is>
          <t>'06_METRICS'!K17,'06_METRICS'!K18,'06_METRICS'!K19</t>
        </is>
      </c>
    </row>
    <row r="20">
      <c r="A20" s="5" t="inlineStr">
        <is>
          <t>Grounding</t>
        </is>
      </c>
      <c r="B20" s="5" t="inlineStr">
        <is>
          <t>OWASP</t>
        </is>
      </c>
      <c r="C20" s="30" t="inlineStr">
        <is>
          <t>N/A</t>
        </is>
      </c>
      <c r="D20" s="30" t="inlineStr">
        <is>
          <t>N/A</t>
        </is>
      </c>
      <c r="E20" s="30" t="inlineStr">
        <is>
          <t>N/A</t>
        </is>
      </c>
      <c r="F20" s="30" t="inlineStr">
        <is>
          <t>N/A</t>
        </is>
      </c>
      <c r="G20" s="30" t="inlineStr">
        <is>
          <t>N/A</t>
        </is>
      </c>
      <c r="H20" s="5" t="inlineStr">
        <is>
          <t>N/A</t>
        </is>
      </c>
    </row>
    <row r="21">
      <c r="A21" s="5" t="inlineStr">
        <is>
          <t>Grounding</t>
        </is>
      </c>
      <c r="B21" s="5" t="inlineStr">
        <is>
          <t>TMT</t>
        </is>
      </c>
      <c r="C21" s="30" t="inlineStr">
        <is>
          <t>N/A</t>
        </is>
      </c>
      <c r="D21" s="30" t="inlineStr">
        <is>
          <t>N/A</t>
        </is>
      </c>
      <c r="E21" s="30" t="inlineStr">
        <is>
          <t>N/A</t>
        </is>
      </c>
      <c r="F21" s="30" t="inlineStr">
        <is>
          <t>N/A</t>
        </is>
      </c>
      <c r="G21" s="30" t="inlineStr">
        <is>
          <t>N/A</t>
        </is>
      </c>
      <c r="H21" s="5" t="inlineStr">
        <is>
          <t>N/A</t>
        </is>
      </c>
    </row>
    <row r="22">
      <c r="A22" s="5" t="inlineStr">
        <is>
          <t>Grounding</t>
        </is>
      </c>
      <c r="B22" s="5" t="inlineStr">
        <is>
          <t>CHATGPT</t>
        </is>
      </c>
      <c r="C22" s="30" t="inlineStr">
        <is>
          <t>N/A</t>
        </is>
      </c>
      <c r="D22" s="30" t="inlineStr">
        <is>
          <t>N/A</t>
        </is>
      </c>
      <c r="E22" s="30" t="inlineStr">
        <is>
          <t>N/A</t>
        </is>
      </c>
      <c r="F22" s="30" t="inlineStr">
        <is>
          <t>N/A</t>
        </is>
      </c>
      <c r="G22" s="30" t="inlineStr">
        <is>
          <t>N/A</t>
        </is>
      </c>
      <c r="H22" s="5" t="inlineStr">
        <is>
          <t>N/A</t>
        </is>
      </c>
    </row>
    <row r="23">
      <c r="A23" s="5" t="inlineStr">
        <is>
          <t>Grounding</t>
        </is>
      </c>
      <c r="B23" s="5" t="inlineStr">
        <is>
          <t>OLLAMA</t>
        </is>
      </c>
      <c r="C23" s="30" t="inlineStr">
        <is>
          <t>N/A</t>
        </is>
      </c>
      <c r="D23" s="30" t="inlineStr">
        <is>
          <t>N/A</t>
        </is>
      </c>
      <c r="E23" s="30" t="inlineStr">
        <is>
          <t>N/A</t>
        </is>
      </c>
      <c r="F23" s="30" t="inlineStr">
        <is>
          <t>N/A</t>
        </is>
      </c>
      <c r="G23" s="30" t="inlineStr">
        <is>
          <t>N/A</t>
        </is>
      </c>
      <c r="H23" s="5" t="inlineStr">
        <is>
          <t>N/A</t>
        </is>
      </c>
    </row>
    <row r="24">
      <c r="A24" s="5" t="inlineStr">
        <is>
          <t>Grounding</t>
        </is>
      </c>
      <c r="B24" s="5" t="inlineStr">
        <is>
          <t>THREMOLIA</t>
        </is>
      </c>
      <c r="C24" s="30" t="inlineStr">
        <is>
          <t>N/A</t>
        </is>
      </c>
      <c r="D24" s="30" t="inlineStr">
        <is>
          <t>N/A</t>
        </is>
      </c>
      <c r="E24" s="30" t="inlineStr">
        <is>
          <t>N/A</t>
        </is>
      </c>
      <c r="F24" s="30" t="inlineStr">
        <is>
          <t>N/A</t>
        </is>
      </c>
      <c r="G24" s="30" t="inlineStr">
        <is>
          <t>N/A</t>
        </is>
      </c>
      <c r="H24" s="5" t="inlineStr">
        <is>
          <t>N/A</t>
        </is>
      </c>
    </row>
    <row r="26">
      <c r="A26" s="6" t="inlineStr">
        <is>
          <t>Interpretive note</t>
        </is>
      </c>
    </row>
    <row r="27" ht="60" customHeight="1">
      <c r="A27" s="7" t="inlineStr">
        <is>
          <t>n=3 scenarios per approach. SD computed with the sample standard deviation (STDEV.S, denominator n-1). These are descriptive summaries of three scenario-level observations, not estimates of a population. No confidence intervals for the mean, no hypothesis tests, and no effect sizes are reported — the sample is far too small and the findings are not independent observations. Anything labelled 'inferential' elsewhere is exploratory only.</t>
        </is>
      </c>
      <c r="B27" s="8" t="n"/>
      <c r="C27" s="8" t="n"/>
      <c r="D27" s="8" t="n"/>
      <c r="E27" s="8" t="n"/>
      <c r="F27" s="8" t="n"/>
      <c r="G27" s="8" t="n"/>
      <c r="H27" s="9" t="n"/>
    </row>
  </sheetData>
  <mergeCells count="1">
    <mergeCell ref="A27:H2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2"/>
  <sheetViews>
    <sheetView workbookViewId="0">
      <selection activeCell="A1" sqref="A1"/>
    </sheetView>
  </sheetViews>
  <sheetFormatPr baseColWidth="8" defaultRowHeight="15" outlineLevelCol="0"/>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Thesis-Ready Tables (all formula-linked)</t>
        </is>
      </c>
    </row>
    <row r="2">
      <c r="A2" s="2" t="inlineStr">
        <is>
          <t>Every final value below is a live formula referencing the calculation sheets (05/06/07/09/10/11/12). Nothing is manually typed. Where the source data is insufficient the cell shows N/A and is flagged.</t>
        </is>
      </c>
    </row>
    <row r="4">
      <c r="A4" s="29" t="inlineStr">
        <is>
          <t>Table 1 — Raw Generated Findings (verbatim)</t>
        </is>
      </c>
    </row>
    <row r="5">
      <c r="A5" s="20" t="inlineStr">
        <is>
          <t>Counts of generated findings per Approach x Scenario. Source: 03/04 via COUNTIFS.</t>
        </is>
      </c>
    </row>
    <row r="6">
      <c r="A6" s="4" t="inlineStr">
        <is>
          <t>Approach</t>
        </is>
      </c>
      <c r="B6" s="4" t="inlineStr">
        <is>
          <t>S1</t>
        </is>
      </c>
      <c r="C6" s="4" t="inlineStr">
        <is>
          <t>S2</t>
        </is>
      </c>
      <c r="D6" s="4" t="inlineStr">
        <is>
          <t>S3</t>
        </is>
      </c>
      <c r="E6" s="4" t="inlineStr">
        <is>
          <t>Total</t>
        </is>
      </c>
    </row>
    <row r="7">
      <c r="A7" s="5" t="inlineStr">
        <is>
          <t>OWASP Threat Dragon</t>
        </is>
      </c>
      <c r="B7" s="5" t="n">
        <f>COUNTIFS('04_MATCHING'!$B$2:$B$1026,"OWASP",'04_MATCHING'!$C$2:$C$1026,"S1")</f>
        <v>38.0</v>
      </c>
      <c r="C7" s="5" t="n">
        <f>COUNTIFS('04_MATCHING'!$B$2:$B$1026,"OWASP",'04_MATCHING'!$C$2:$C$1026,"S2")</f>
        <v>39.0</v>
      </c>
      <c r="D7" s="5" t="n">
        <f>COUNTIFS('04_MATCHING'!$B$2:$B$1026,"OWASP",'04_MATCHING'!$C$2:$C$1026,"S3")</f>
        <v>46.0</v>
      </c>
      <c r="E7" s="5" t="n">
        <f>SUM(B7:D7)</f>
        <v>123</v>
      </c>
    </row>
    <row r="8">
      <c r="A8" s="5" t="inlineStr">
        <is>
          <t>Microsoft Threat Modeling Tool</t>
        </is>
      </c>
      <c r="B8" s="5" t="n">
        <f>COUNTIFS('04_MATCHING'!$B$2:$B$1026,"TMT",'04_MATCHING'!$C$2:$C$1026,"S1")</f>
        <v>95.0</v>
      </c>
      <c r="C8" s="5" t="n">
        <f>COUNTIFS('04_MATCHING'!$B$2:$B$1026,"TMT",'04_MATCHING'!$C$2:$C$1026,"S2")</f>
        <v>89.0</v>
      </c>
      <c r="D8" s="5" t="n">
        <f>COUNTIFS('04_MATCHING'!$B$2:$B$1026,"TMT",'04_MATCHING'!$C$2:$C$1026,"S3")</f>
        <v>117.0</v>
      </c>
      <c r="E8" s="5" t="n">
        <f>SUM(B8:D8)</f>
        <v>301</v>
      </c>
    </row>
    <row r="9">
      <c r="A9" s="5" t="inlineStr">
        <is>
          <t>ChatGPT</t>
        </is>
      </c>
      <c r="B9" s="5" t="n">
        <f>COUNTIFS('04_MATCHING'!$B$2:$B$1026,"CHATGPT",'04_MATCHING'!$C$2:$C$1026,"S1")</f>
        <v>72.0</v>
      </c>
      <c r="C9" s="5" t="n">
        <f>COUNTIFS('04_MATCHING'!$B$2:$B$1026,"CHATGPT",'04_MATCHING'!$C$2:$C$1026,"S2")</f>
        <v>60.0</v>
      </c>
      <c r="D9" s="5" t="n">
        <f>COUNTIFS('04_MATCHING'!$B$2:$B$1026,"CHATGPT",'04_MATCHING'!$C$2:$C$1026,"S3")</f>
        <v>49.0</v>
      </c>
      <c r="E9" s="5" t="n">
        <f>SUM(B9:D9)</f>
        <v>181</v>
      </c>
    </row>
    <row r="10">
      <c r="A10" s="5" t="inlineStr">
        <is>
          <t>Ollama (local LLM)</t>
        </is>
      </c>
      <c r="B10" s="5" t="n">
        <f>COUNTIFS('04_MATCHING'!$B$2:$B$1026,"OLLAMA",'04_MATCHING'!$C$2:$C$1026,"S1")</f>
        <v>40.0</v>
      </c>
      <c r="C10" s="5" t="n">
        <f>COUNTIFS('04_MATCHING'!$B$2:$B$1026,"OLLAMA",'04_MATCHING'!$C$2:$C$1026,"S2")</f>
        <v>28.0</v>
      </c>
      <c r="D10" s="5" t="n">
        <f>COUNTIFS('04_MATCHING'!$B$2:$B$1026,"OLLAMA",'04_MATCHING'!$C$2:$C$1026,"S3")</f>
        <v>24.0</v>
      </c>
      <c r="E10" s="5" t="n">
        <f>SUM(B10:D10)</f>
        <v>92</v>
      </c>
    </row>
    <row r="11">
      <c r="A11" s="5" t="inlineStr">
        <is>
          <t>ThreMoLIA</t>
        </is>
      </c>
      <c r="B11" s="5" t="n">
        <f>COUNTIFS('04_MATCHING'!$B$2:$B$1026,"THREMOLIA",'04_MATCHING'!$C$2:$C$1026,"S1")</f>
        <v>106.0</v>
      </c>
      <c r="C11" s="5" t="n">
        <f>COUNTIFS('04_MATCHING'!$B$2:$B$1026,"THREMOLIA",'04_MATCHING'!$C$2:$C$1026,"S2")</f>
        <v>105.0</v>
      </c>
      <c r="D11" s="5" t="n">
        <f>COUNTIFS('04_MATCHING'!$B$2:$B$1026,"THREMOLIA",'04_MATCHING'!$C$2:$C$1026,"S3")</f>
        <v>117.0</v>
      </c>
      <c r="E11" s="5" t="n">
        <f>SUM(B11:D11)</f>
        <v>328</v>
      </c>
    </row>
    <row r="12">
      <c r="A12" s="6" t="inlineStr">
        <is>
          <t>TOTAL</t>
        </is>
      </c>
      <c r="B12" s="6" t="n">
        <f>SUM(B7:B11)</f>
        <v>351</v>
      </c>
      <c r="C12" s="6" t="n">
        <f>SUM(C7:C11)</f>
        <v>321</v>
      </c>
      <c r="D12" s="6" t="n">
        <f>SUM(D7:D11)</f>
        <v>353</v>
      </c>
      <c r="E12" s="6" t="n">
        <f>SUM(E7:E11)</f>
        <v>1025</v>
      </c>
    </row>
    <row r="14">
      <c r="A14" s="29" t="inlineStr">
        <is>
          <t>Table 2 — Expert Reference Baseline (98 threats)</t>
        </is>
      </c>
    </row>
    <row r="15">
      <c r="A15" s="20" t="inlineStr">
        <is>
          <t>Reference threat counts per Scenario, with LLM-specific split. Source: 02.</t>
        </is>
      </c>
    </row>
    <row r="16">
      <c r="A16" s="4" t="inlineStr">
        <is>
          <t>Scenario</t>
        </is>
      </c>
      <c r="B16" s="4" t="inlineStr">
        <is>
          <t>Reference threats</t>
        </is>
      </c>
      <c r="C16" s="4" t="inlineStr">
        <is>
          <t>LLM-specific refs</t>
        </is>
      </c>
      <c r="D16" s="4" t="inlineStr">
        <is>
          <t>Non-LLM refs</t>
        </is>
      </c>
    </row>
    <row r="17">
      <c r="A17" s="5" t="inlineStr">
        <is>
          <t>S1</t>
        </is>
      </c>
      <c r="B17" s="5" t="n">
        <f>COUNTIFS('02_REFERENCE'!$B$2:$B$99,"S1",'02_REFERENCE'!$S$2:$S$99,"YES")</f>
        <v>32.0</v>
      </c>
      <c r="C17" s="5" t="n">
        <f>COUNTIFS('02_REFERENCE'!$B$2:$B$99,"S1",'02_REFERENCE'!$S$2:$S$99,"YES",'02_REFERENCE'!$Q$2:$Q$99,"Yes")</f>
        <v>13.0</v>
      </c>
      <c r="D17" s="5" t="n">
        <f>COUNTIFS('02_REFERENCE'!$B$2:$B$99,"S1",'02_REFERENCE'!$S$2:$S$99,"YES",'02_REFERENCE'!$Q$2:$Q$99,"No")</f>
        <v>19.0</v>
      </c>
    </row>
    <row r="18">
      <c r="A18" s="5" t="inlineStr">
        <is>
          <t>S2</t>
        </is>
      </c>
      <c r="B18" s="5" t="n">
        <f>COUNTIFS('02_REFERENCE'!$B$2:$B$99,"S2",'02_REFERENCE'!$S$2:$S$99,"YES")</f>
        <v>33.0</v>
      </c>
      <c r="C18" s="5" t="n">
        <f>COUNTIFS('02_REFERENCE'!$B$2:$B$99,"S2",'02_REFERENCE'!$S$2:$S$99,"YES",'02_REFERENCE'!$Q$2:$Q$99,"Yes")</f>
        <v>13.0</v>
      </c>
      <c r="D18" s="5" t="n">
        <f>COUNTIFS('02_REFERENCE'!$B$2:$B$99,"S2",'02_REFERENCE'!$S$2:$S$99,"YES",'02_REFERENCE'!$Q$2:$Q$99,"No")</f>
        <v>20.0</v>
      </c>
    </row>
    <row r="19">
      <c r="A19" s="5" t="inlineStr">
        <is>
          <t>S3</t>
        </is>
      </c>
      <c r="B19" s="5" t="n">
        <f>COUNTIFS('02_REFERENCE'!$B$2:$B$99,"S3",'02_REFERENCE'!$S$2:$S$99,"YES")</f>
        <v>33.0</v>
      </c>
      <c r="C19" s="5" t="n">
        <f>COUNTIFS('02_REFERENCE'!$B$2:$B$99,"S3",'02_REFERENCE'!$S$2:$S$99,"YES",'02_REFERENCE'!$Q$2:$Q$99,"Yes")</f>
        <v>12.0</v>
      </c>
      <c r="D19" s="5" t="n">
        <f>COUNTIFS('02_REFERENCE'!$B$2:$B$99,"S3",'02_REFERENCE'!$S$2:$S$99,"YES",'02_REFERENCE'!$Q$2:$Q$99,"No")</f>
        <v>21.0</v>
      </c>
    </row>
    <row r="20">
      <c r="A20" s="6" t="inlineStr">
        <is>
          <t>TOTAL</t>
        </is>
      </c>
      <c r="B20" s="6" t="n">
        <f>SUM(B17:B19)</f>
        <v>98</v>
      </c>
      <c r="C20" s="6" t="n">
        <f>SUM(C17:C19)</f>
        <v>38</v>
      </c>
      <c r="D20" s="6" t="n">
        <f>SUM(D17:D19)</f>
        <v>60</v>
      </c>
    </row>
    <row r="22">
      <c r="A22" s="29" t="inlineStr">
        <is>
          <t>Table 3 — TP / FP / FN (Primary TP, one-to-one rule)</t>
        </is>
      </c>
    </row>
    <row r="23">
      <c r="A23" s="20" t="inlineStr">
        <is>
          <t>Per Approach x Scenario. Source: 05.</t>
        </is>
      </c>
    </row>
    <row r="24">
      <c r="A24" s="4" t="inlineStr">
        <is>
          <t>Approach</t>
        </is>
      </c>
      <c r="B24" s="4" t="inlineStr">
        <is>
          <t>Scenario</t>
        </is>
      </c>
      <c r="C24" s="4" t="inlineStr">
        <is>
          <t>Generated</t>
        </is>
      </c>
      <c r="D24" s="4" t="inlineStr">
        <is>
          <t>Reference</t>
        </is>
      </c>
      <c r="E24" s="4" t="inlineStr">
        <is>
          <t>TP</t>
        </is>
      </c>
      <c r="F24" s="4" t="inlineStr">
        <is>
          <t>FP</t>
        </is>
      </c>
      <c r="G24" s="4" t="inlineStr">
        <is>
          <t>FN</t>
        </is>
      </c>
    </row>
    <row r="25">
      <c r="A25" s="5" t="inlineStr">
        <is>
          <t>OWASP Threat Dragon</t>
        </is>
      </c>
      <c r="B25" s="5" t="inlineStr">
        <is>
          <t>S1</t>
        </is>
      </c>
      <c r="C25" s="5" t="n">
        <f>'05_TP_FP_FN'!C5</f>
        <v>38.0</v>
      </c>
      <c r="D25" s="5" t="n">
        <f>'05_TP_FP_FN'!D5</f>
        <v>32.0</v>
      </c>
      <c r="E25" s="5" t="n">
        <f>'05_TP_FP_FN'!E5</f>
        <v>6.0</v>
      </c>
      <c r="F25" s="5" t="n">
        <f>'05_TP_FP_FN'!F5</f>
        <v>26.0</v>
      </c>
      <c r="G25" s="5" t="n">
        <f>'05_TP_FP_FN'!H5</f>
        <v>26</v>
      </c>
    </row>
    <row r="26">
      <c r="A26" s="5" t="inlineStr">
        <is>
          <t>OWASP Threat Dragon</t>
        </is>
      </c>
      <c r="B26" s="5" t="inlineStr">
        <is>
          <t>S2</t>
        </is>
      </c>
      <c r="C26" s="5" t="n">
        <f>'05_TP_FP_FN'!C6</f>
        <v>39.0</v>
      </c>
      <c r="D26" s="5" t="n">
        <f>'05_TP_FP_FN'!D6</f>
        <v>33.0</v>
      </c>
      <c r="E26" s="5" t="n">
        <f>'05_TP_FP_FN'!E6</f>
        <v>6.0</v>
      </c>
      <c r="F26" s="5" t="n">
        <f>'05_TP_FP_FN'!F6</f>
        <v>27.0</v>
      </c>
      <c r="G26" s="5" t="n">
        <f>'05_TP_FP_FN'!H6</f>
        <v>27</v>
      </c>
    </row>
    <row r="27">
      <c r="A27" s="5" t="inlineStr">
        <is>
          <t>OWASP Threat Dragon</t>
        </is>
      </c>
      <c r="B27" s="5" t="inlineStr">
        <is>
          <t>S3</t>
        </is>
      </c>
      <c r="C27" s="5" t="n">
        <f>'05_TP_FP_FN'!C7</f>
        <v>46.0</v>
      </c>
      <c r="D27" s="5" t="n">
        <f>'05_TP_FP_FN'!D7</f>
        <v>33.0</v>
      </c>
      <c r="E27" s="5" t="n">
        <f>'05_TP_FP_FN'!E7</f>
        <v>7.0</v>
      </c>
      <c r="F27" s="5" t="n">
        <f>'05_TP_FP_FN'!F7</f>
        <v>26.0</v>
      </c>
      <c r="G27" s="5" t="n">
        <f>'05_TP_FP_FN'!H7</f>
        <v>26</v>
      </c>
    </row>
    <row r="28">
      <c r="A28" s="5" t="inlineStr">
        <is>
          <t>Microsoft Threat Modeling Tool</t>
        </is>
      </c>
      <c r="B28" s="5" t="inlineStr">
        <is>
          <t>S1</t>
        </is>
      </c>
      <c r="C28" s="5" t="n">
        <f>'05_TP_FP_FN'!C8</f>
        <v>95.0</v>
      </c>
      <c r="D28" s="5" t="n">
        <f>'05_TP_FP_FN'!D8</f>
        <v>32.0</v>
      </c>
      <c r="E28" s="5" t="n">
        <f>'05_TP_FP_FN'!E8</f>
        <v>9.0</v>
      </c>
      <c r="F28" s="5" t="n">
        <f>'05_TP_FP_FN'!F8</f>
        <v>73.0</v>
      </c>
      <c r="G28" s="5" t="n">
        <f>'05_TP_FP_FN'!H8</f>
        <v>23</v>
      </c>
    </row>
    <row r="29">
      <c r="A29" s="5" t="inlineStr">
        <is>
          <t>Microsoft Threat Modeling Tool</t>
        </is>
      </c>
      <c r="B29" s="5" t="inlineStr">
        <is>
          <t>S2</t>
        </is>
      </c>
      <c r="C29" s="5" t="n">
        <f>'05_TP_FP_FN'!C9</f>
        <v>89.0</v>
      </c>
      <c r="D29" s="5" t="n">
        <f>'05_TP_FP_FN'!D9</f>
        <v>33.0</v>
      </c>
      <c r="E29" s="5" t="n">
        <f>'05_TP_FP_FN'!E9</f>
        <v>10.0</v>
      </c>
      <c r="F29" s="5" t="n">
        <f>'05_TP_FP_FN'!F9</f>
        <v>65.0</v>
      </c>
      <c r="G29" s="5" t="n">
        <f>'05_TP_FP_FN'!H9</f>
        <v>23</v>
      </c>
    </row>
    <row r="30">
      <c r="A30" s="5" t="inlineStr">
        <is>
          <t>Microsoft Threat Modeling Tool</t>
        </is>
      </c>
      <c r="B30" s="5" t="inlineStr">
        <is>
          <t>S3</t>
        </is>
      </c>
      <c r="C30" s="5" t="n">
        <f>'05_TP_FP_FN'!C10</f>
        <v>117.0</v>
      </c>
      <c r="D30" s="5" t="n">
        <f>'05_TP_FP_FN'!D10</f>
        <v>33.0</v>
      </c>
      <c r="E30" s="5" t="n">
        <f>'05_TP_FP_FN'!E10</f>
        <v>9.0</v>
      </c>
      <c r="F30" s="5" t="n">
        <f>'05_TP_FP_FN'!F10</f>
        <v>83.0</v>
      </c>
      <c r="G30" s="5" t="n">
        <f>'05_TP_FP_FN'!H10</f>
        <v>24</v>
      </c>
    </row>
    <row r="31">
      <c r="A31" s="5" t="inlineStr">
        <is>
          <t>ChatGPT</t>
        </is>
      </c>
      <c r="B31" s="5" t="inlineStr">
        <is>
          <t>S1</t>
        </is>
      </c>
      <c r="C31" s="5" t="n">
        <f>'05_TP_FP_FN'!C11</f>
        <v>72.0</v>
      </c>
      <c r="D31" s="5" t="n">
        <f>'05_TP_FP_FN'!D11</f>
        <v>32.0</v>
      </c>
      <c r="E31" s="5" t="n">
        <f>'05_TP_FP_FN'!E11</f>
        <v>18.0</v>
      </c>
      <c r="F31" s="5" t="n">
        <f>'05_TP_FP_FN'!F11</f>
        <v>17.0</v>
      </c>
      <c r="G31" s="5" t="n">
        <f>'05_TP_FP_FN'!H11</f>
        <v>14</v>
      </c>
    </row>
    <row r="32">
      <c r="A32" s="5" t="inlineStr">
        <is>
          <t>ChatGPT</t>
        </is>
      </c>
      <c r="B32" s="5" t="inlineStr">
        <is>
          <t>S2</t>
        </is>
      </c>
      <c r="C32" s="5" t="n">
        <f>'05_TP_FP_FN'!C12</f>
        <v>60.0</v>
      </c>
      <c r="D32" s="5" t="n">
        <f>'05_TP_FP_FN'!D12</f>
        <v>33.0</v>
      </c>
      <c r="E32" s="5" t="n">
        <f>'05_TP_FP_FN'!E12</f>
        <v>18.0</v>
      </c>
      <c r="F32" s="5" t="n">
        <f>'05_TP_FP_FN'!F12</f>
        <v>18.0</v>
      </c>
      <c r="G32" s="5" t="n">
        <f>'05_TP_FP_FN'!H12</f>
        <v>15</v>
      </c>
    </row>
    <row r="33">
      <c r="A33" s="5" t="inlineStr">
        <is>
          <t>ChatGPT</t>
        </is>
      </c>
      <c r="B33" s="5" t="inlineStr">
        <is>
          <t>S3</t>
        </is>
      </c>
      <c r="C33" s="5" t="n">
        <f>'05_TP_FP_FN'!C13</f>
        <v>49.0</v>
      </c>
      <c r="D33" s="5" t="n">
        <f>'05_TP_FP_FN'!D13</f>
        <v>33.0</v>
      </c>
      <c r="E33" s="5" t="n">
        <f>'05_TP_FP_FN'!E13</f>
        <v>16.0</v>
      </c>
      <c r="F33" s="5" t="n">
        <f>'05_TP_FP_FN'!F13</f>
        <v>22.0</v>
      </c>
      <c r="G33" s="5" t="n">
        <f>'05_TP_FP_FN'!H13</f>
        <v>17</v>
      </c>
    </row>
    <row r="34">
      <c r="A34" s="5" t="inlineStr">
        <is>
          <t>Ollama (local LLM)</t>
        </is>
      </c>
      <c r="B34" s="5" t="inlineStr">
        <is>
          <t>S1</t>
        </is>
      </c>
      <c r="C34" s="5" t="n">
        <f>'05_TP_FP_FN'!C14</f>
        <v>40.0</v>
      </c>
      <c r="D34" s="5" t="n">
        <f>'05_TP_FP_FN'!D14</f>
        <v>32.0</v>
      </c>
      <c r="E34" s="5" t="n">
        <f>'05_TP_FP_FN'!E14</f>
        <v>6.0</v>
      </c>
      <c r="F34" s="5" t="n">
        <f>'05_TP_FP_FN'!F14</f>
        <v>19.0</v>
      </c>
      <c r="G34" s="5" t="n">
        <f>'05_TP_FP_FN'!H14</f>
        <v>26</v>
      </c>
    </row>
    <row r="35">
      <c r="A35" s="5" t="inlineStr">
        <is>
          <t>Ollama (local LLM)</t>
        </is>
      </c>
      <c r="B35" s="5" t="inlineStr">
        <is>
          <t>S2</t>
        </is>
      </c>
      <c r="C35" s="5" t="n">
        <f>'05_TP_FP_FN'!C15</f>
        <v>28.0</v>
      </c>
      <c r="D35" s="5" t="n">
        <f>'05_TP_FP_FN'!D15</f>
        <v>33.0</v>
      </c>
      <c r="E35" s="5" t="n">
        <f>'05_TP_FP_FN'!E15</f>
        <v>7.0</v>
      </c>
      <c r="F35" s="5" t="n">
        <f>'05_TP_FP_FN'!F15</f>
        <v>15.0</v>
      </c>
      <c r="G35" s="5" t="n">
        <f>'05_TP_FP_FN'!H15</f>
        <v>26</v>
      </c>
    </row>
    <row r="36">
      <c r="A36" s="5" t="inlineStr">
        <is>
          <t>Ollama (local LLM)</t>
        </is>
      </c>
      <c r="B36" s="5" t="inlineStr">
        <is>
          <t>S3</t>
        </is>
      </c>
      <c r="C36" s="5" t="n">
        <f>'05_TP_FP_FN'!C16</f>
        <v>24.0</v>
      </c>
      <c r="D36" s="5" t="n">
        <f>'05_TP_FP_FN'!D16</f>
        <v>33.0</v>
      </c>
      <c r="E36" s="5" t="n">
        <f>'05_TP_FP_FN'!E16</f>
        <v>7.0</v>
      </c>
      <c r="F36" s="5" t="n">
        <f>'05_TP_FP_FN'!F16</f>
        <v>12.0</v>
      </c>
      <c r="G36" s="5" t="n">
        <f>'05_TP_FP_FN'!H16</f>
        <v>26</v>
      </c>
    </row>
    <row r="37">
      <c r="A37" s="5" t="inlineStr">
        <is>
          <t>ThreMoLIA</t>
        </is>
      </c>
      <c r="B37" s="5" t="inlineStr">
        <is>
          <t>S1</t>
        </is>
      </c>
      <c r="C37" s="5" t="n">
        <f>'05_TP_FP_FN'!C17</f>
        <v>106.0</v>
      </c>
      <c r="D37" s="5" t="n">
        <f>'05_TP_FP_FN'!D17</f>
        <v>32.0</v>
      </c>
      <c r="E37" s="5" t="n">
        <f>'05_TP_FP_FN'!E17</f>
        <v>26.0</v>
      </c>
      <c r="F37" s="5" t="n">
        <f>'05_TP_FP_FN'!F17</f>
        <v>29.0</v>
      </c>
      <c r="G37" s="5" t="n">
        <f>'05_TP_FP_FN'!H17</f>
        <v>6</v>
      </c>
    </row>
    <row r="38">
      <c r="A38" s="5" t="inlineStr">
        <is>
          <t>ThreMoLIA</t>
        </is>
      </c>
      <c r="B38" s="5" t="inlineStr">
        <is>
          <t>S2</t>
        </is>
      </c>
      <c r="C38" s="5" t="n">
        <f>'05_TP_FP_FN'!C18</f>
        <v>105.0</v>
      </c>
      <c r="D38" s="5" t="n">
        <f>'05_TP_FP_FN'!D18</f>
        <v>33.0</v>
      </c>
      <c r="E38" s="5" t="n">
        <f>'05_TP_FP_FN'!E18</f>
        <v>23.0</v>
      </c>
      <c r="F38" s="5" t="n">
        <f>'05_TP_FP_FN'!F18</f>
        <v>23.0</v>
      </c>
      <c r="G38" s="5" t="n">
        <f>'05_TP_FP_FN'!H18</f>
        <v>10</v>
      </c>
    </row>
    <row r="39">
      <c r="A39" s="5" t="inlineStr">
        <is>
          <t>ThreMoLIA</t>
        </is>
      </c>
      <c r="B39" s="5" t="inlineStr">
        <is>
          <t>S3</t>
        </is>
      </c>
      <c r="C39" s="5" t="n">
        <f>'05_TP_FP_FN'!C19</f>
        <v>117.0</v>
      </c>
      <c r="D39" s="5" t="n">
        <f>'05_TP_FP_FN'!D19</f>
        <v>33.0</v>
      </c>
      <c r="E39" s="5" t="n">
        <f>'05_TP_FP_FN'!E19</f>
        <v>20.0</v>
      </c>
      <c r="F39" s="5" t="n">
        <f>'05_TP_FP_FN'!F19</f>
        <v>43.0</v>
      </c>
      <c r="G39" s="5" t="n">
        <f>'05_TP_FP_FN'!H19</f>
        <v>13</v>
      </c>
    </row>
    <row r="42">
      <c r="A42" s="29" t="inlineStr">
        <is>
          <t>Table 4 — Precision / Recall / F1</t>
        </is>
      </c>
    </row>
    <row r="43">
      <c r="A43" s="20" t="inlineStr">
        <is>
          <t>Per Approach x Scenario. Source: 06.</t>
        </is>
      </c>
    </row>
    <row r="44">
      <c r="A44" s="4" t="inlineStr">
        <is>
          <t>Approach</t>
        </is>
      </c>
      <c r="B44" s="4" t="inlineStr">
        <is>
          <t>Scenario</t>
        </is>
      </c>
      <c r="C44" s="4" t="inlineStr">
        <is>
          <t>Precision</t>
        </is>
      </c>
      <c r="D44" s="4" t="inlineStr">
        <is>
          <t>Recall</t>
        </is>
      </c>
      <c r="E44" s="4" t="inlineStr">
        <is>
          <t>F1</t>
        </is>
      </c>
    </row>
    <row r="45">
      <c r="A45" s="5" t="inlineStr">
        <is>
          <t>OWASP Threat Dragon</t>
        </is>
      </c>
      <c r="B45" s="5" t="inlineStr">
        <is>
          <t>S1</t>
        </is>
      </c>
      <c r="C45" s="25" t="n">
        <f>'06_METRICS'!I5</f>
        <v>0.1875</v>
      </c>
      <c r="D45" s="25" t="n">
        <f>'06_METRICS'!J5</f>
        <v>0.1875</v>
      </c>
      <c r="E45" s="26" t="n">
        <f>'06_METRICS'!K5</f>
        <v>0.1875</v>
      </c>
    </row>
    <row r="46">
      <c r="A46" s="5" t="inlineStr">
        <is>
          <t>OWASP Threat Dragon</t>
        </is>
      </c>
      <c r="B46" s="5" t="inlineStr">
        <is>
          <t>S2</t>
        </is>
      </c>
      <c r="C46" s="25" t="n">
        <f>'06_METRICS'!I6</f>
        <v>0.18181818181818182</v>
      </c>
      <c r="D46" s="25" t="n">
        <f>'06_METRICS'!J6</f>
        <v>0.18181818181818182</v>
      </c>
      <c r="E46" s="26" t="n">
        <f>'06_METRICS'!K6</f>
        <v>0.18181818181818182</v>
      </c>
    </row>
    <row r="47">
      <c r="A47" s="5" t="inlineStr">
        <is>
          <t>OWASP Threat Dragon</t>
        </is>
      </c>
      <c r="B47" s="5" t="inlineStr">
        <is>
          <t>S3</t>
        </is>
      </c>
      <c r="C47" s="25" t="n">
        <f>'06_METRICS'!I7</f>
        <v>0.21212121212121213</v>
      </c>
      <c r="D47" s="25" t="n">
        <f>'06_METRICS'!J7</f>
        <v>0.21212121212121213</v>
      </c>
      <c r="E47" s="26" t="n">
        <f>'06_METRICS'!K7</f>
        <v>0.21212121212121215</v>
      </c>
    </row>
    <row r="48">
      <c r="A48" s="5" t="inlineStr">
        <is>
          <t>Microsoft Threat Modeling Tool</t>
        </is>
      </c>
      <c r="B48" s="5" t="inlineStr">
        <is>
          <t>S1</t>
        </is>
      </c>
      <c r="C48" s="25" t="n">
        <f>'06_METRICS'!I8</f>
        <v>0.10975609756097561</v>
      </c>
      <c r="D48" s="25" t="n">
        <f>'06_METRICS'!J8</f>
        <v>0.28125</v>
      </c>
      <c r="E48" s="26" t="n">
        <f>'06_METRICS'!K8</f>
        <v>0.15789473684210525</v>
      </c>
    </row>
    <row r="49">
      <c r="A49" s="5" t="inlineStr">
        <is>
          <t>Microsoft Threat Modeling Tool</t>
        </is>
      </c>
      <c r="B49" s="5" t="inlineStr">
        <is>
          <t>S2</t>
        </is>
      </c>
      <c r="C49" s="25" t="n">
        <f>'06_METRICS'!I9</f>
        <v>0.13333333333333333</v>
      </c>
      <c r="D49" s="25" t="n">
        <f>'06_METRICS'!J9</f>
        <v>0.30303030303030304</v>
      </c>
      <c r="E49" s="26" t="n">
        <f>'06_METRICS'!K9</f>
        <v>0.18518518518518517</v>
      </c>
    </row>
    <row r="50">
      <c r="A50" s="5" t="inlineStr">
        <is>
          <t>Microsoft Threat Modeling Tool</t>
        </is>
      </c>
      <c r="B50" s="5" t="inlineStr">
        <is>
          <t>S3</t>
        </is>
      </c>
      <c r="C50" s="25" t="n">
        <f>'06_METRICS'!I10</f>
        <v>0.09782608695652174</v>
      </c>
      <c r="D50" s="25" t="n">
        <f>'06_METRICS'!J10</f>
        <v>0.2727272727272727</v>
      </c>
      <c r="E50" s="26" t="n">
        <f>'06_METRICS'!K10</f>
        <v>0.14400000000000002</v>
      </c>
    </row>
    <row r="51">
      <c r="A51" s="5" t="inlineStr">
        <is>
          <t>ChatGPT</t>
        </is>
      </c>
      <c r="B51" s="5" t="inlineStr">
        <is>
          <t>S1</t>
        </is>
      </c>
      <c r="C51" s="25" t="n">
        <f>'06_METRICS'!I11</f>
        <v>0.5142857142857142</v>
      </c>
      <c r="D51" s="25" t="n">
        <f>'06_METRICS'!J11</f>
        <v>0.5625</v>
      </c>
      <c r="E51" s="26" t="n">
        <f>'06_METRICS'!K11</f>
        <v>0.5373134328358209</v>
      </c>
    </row>
    <row r="52">
      <c r="A52" s="5" t="inlineStr">
        <is>
          <t>ChatGPT</t>
        </is>
      </c>
      <c r="B52" s="5" t="inlineStr">
        <is>
          <t>S2</t>
        </is>
      </c>
      <c r="C52" s="25" t="n">
        <f>'06_METRICS'!I12</f>
        <v>0.5</v>
      </c>
      <c r="D52" s="25" t="n">
        <f>'06_METRICS'!J12</f>
        <v>0.5454545454545454</v>
      </c>
      <c r="E52" s="26" t="n">
        <f>'06_METRICS'!K12</f>
        <v>0.5217391304347826</v>
      </c>
    </row>
    <row r="53">
      <c r="A53" s="5" t="inlineStr">
        <is>
          <t>ChatGPT</t>
        </is>
      </c>
      <c r="B53" s="5" t="inlineStr">
        <is>
          <t>S3</t>
        </is>
      </c>
      <c r="C53" s="25" t="n">
        <f>'06_METRICS'!I13</f>
        <v>0.42105263157894735</v>
      </c>
      <c r="D53" s="25" t="n">
        <f>'06_METRICS'!J13</f>
        <v>0.48484848484848486</v>
      </c>
      <c r="E53" s="26" t="n">
        <f>'06_METRICS'!K13</f>
        <v>0.4507042253521127</v>
      </c>
    </row>
    <row r="54">
      <c r="A54" s="5" t="inlineStr">
        <is>
          <t>Ollama (local LLM)</t>
        </is>
      </c>
      <c r="B54" s="5" t="inlineStr">
        <is>
          <t>S1</t>
        </is>
      </c>
      <c r="C54" s="25" t="n">
        <f>'06_METRICS'!I14</f>
        <v>0.24</v>
      </c>
      <c r="D54" s="25" t="n">
        <f>'06_METRICS'!J14</f>
        <v>0.1875</v>
      </c>
      <c r="E54" s="26" t="n">
        <f>'06_METRICS'!K14</f>
        <v>0.21052631578947367</v>
      </c>
    </row>
    <row r="55">
      <c r="A55" s="5" t="inlineStr">
        <is>
          <t>Ollama (local LLM)</t>
        </is>
      </c>
      <c r="B55" s="5" t="inlineStr">
        <is>
          <t>S2</t>
        </is>
      </c>
      <c r="C55" s="25" t="n">
        <f>'06_METRICS'!I15</f>
        <v>0.3181818181818182</v>
      </c>
      <c r="D55" s="25" t="n">
        <f>'06_METRICS'!J15</f>
        <v>0.21212121212121213</v>
      </c>
      <c r="E55" s="26" t="n">
        <f>'06_METRICS'!K15</f>
        <v>0.2545454545454546</v>
      </c>
    </row>
    <row r="56">
      <c r="A56" s="5" t="inlineStr">
        <is>
          <t>Ollama (local LLM)</t>
        </is>
      </c>
      <c r="B56" s="5" t="inlineStr">
        <is>
          <t>S3</t>
        </is>
      </c>
      <c r="C56" s="25" t="n">
        <f>'06_METRICS'!I16</f>
        <v>0.3684210526315789</v>
      </c>
      <c r="D56" s="25" t="n">
        <f>'06_METRICS'!J16</f>
        <v>0.21212121212121213</v>
      </c>
      <c r="E56" s="26" t="n">
        <f>'06_METRICS'!K16</f>
        <v>0.2692307692307693</v>
      </c>
    </row>
    <row r="57">
      <c r="A57" s="5" t="inlineStr">
        <is>
          <t>ThreMoLIA</t>
        </is>
      </c>
      <c r="B57" s="5" t="inlineStr">
        <is>
          <t>S1</t>
        </is>
      </c>
      <c r="C57" s="25" t="n">
        <f>'06_METRICS'!I17</f>
        <v>0.4727272727272727</v>
      </c>
      <c r="D57" s="25" t="n">
        <f>'06_METRICS'!J17</f>
        <v>0.8125</v>
      </c>
      <c r="E57" s="26" t="n">
        <f>'06_METRICS'!K17</f>
        <v>0.5977011494252874</v>
      </c>
    </row>
    <row r="58">
      <c r="A58" s="5" t="inlineStr">
        <is>
          <t>ThreMoLIA</t>
        </is>
      </c>
      <c r="B58" s="5" t="inlineStr">
        <is>
          <t>S2</t>
        </is>
      </c>
      <c r="C58" s="25" t="n">
        <f>'06_METRICS'!I18</f>
        <v>0.5</v>
      </c>
      <c r="D58" s="25" t="n">
        <f>'06_METRICS'!J18</f>
        <v>0.696969696969697</v>
      </c>
      <c r="E58" s="26" t="n">
        <f>'06_METRICS'!K18</f>
        <v>0.5822784810126582</v>
      </c>
    </row>
    <row r="59">
      <c r="A59" s="5" t="inlineStr">
        <is>
          <t>ThreMoLIA</t>
        </is>
      </c>
      <c r="B59" s="5" t="inlineStr">
        <is>
          <t>S3</t>
        </is>
      </c>
      <c r="C59" s="25" t="n">
        <f>'06_METRICS'!I19</f>
        <v>0.31746031746031744</v>
      </c>
      <c r="D59" s="25" t="n">
        <f>'06_METRICS'!J19</f>
        <v>0.6060606060606061</v>
      </c>
      <c r="E59" s="26" t="n">
        <f>'06_METRICS'!K19</f>
        <v>0.4166666666666667</v>
      </c>
    </row>
    <row r="62">
      <c r="A62" s="29" t="inlineStr">
        <is>
          <t>Table 5 — STRIDE distribution (reference-level)</t>
        </is>
      </c>
    </row>
    <row r="63">
      <c r="A63" s="20" t="inlineStr">
        <is>
          <t>Number of expert reference threats per STRIDE category per scenario. Source: 02.</t>
        </is>
      </c>
    </row>
    <row r="64">
      <c r="A64" s="4" t="inlineStr">
        <is>
          <t>STRIDE Category</t>
        </is>
      </c>
      <c r="B64" s="4" t="inlineStr">
        <is>
          <t>S1</t>
        </is>
      </c>
      <c r="C64" s="4" t="inlineStr">
        <is>
          <t>S2</t>
        </is>
      </c>
      <c r="D64" s="4" t="inlineStr">
        <is>
          <t>S3</t>
        </is>
      </c>
      <c r="E64" s="4" t="inlineStr">
        <is>
          <t>Total</t>
        </is>
      </c>
    </row>
    <row r="65">
      <c r="A65" s="5" t="inlineStr">
        <is>
          <t>Spoofing</t>
        </is>
      </c>
      <c r="B65" s="5" t="n">
        <f>COUNTIFS('02_REFERENCE'!$B$2:$B$99,"S1",'02_REFERENCE'!$D$2:$D$99,"Spoofing",'02_REFERENCE'!$S$2:$S$99,"YES")</f>
        <v>8.0</v>
      </c>
      <c r="C65" s="5" t="n">
        <f>COUNTIFS('02_REFERENCE'!$B$2:$B$99,"S2",'02_REFERENCE'!$D$2:$D$99,"Spoofing",'02_REFERENCE'!$S$2:$S$99,"YES")</f>
        <v>3.0</v>
      </c>
      <c r="D65" s="5" t="n">
        <f>COUNTIFS('02_REFERENCE'!$B$2:$B$99,"S3",'02_REFERENCE'!$D$2:$D$99,"Spoofing",'02_REFERENCE'!$S$2:$S$99,"YES")</f>
        <v>7.0</v>
      </c>
      <c r="E65" s="5" t="n">
        <f>SUM(B65:D65)</f>
        <v>18</v>
      </c>
    </row>
    <row r="66">
      <c r="A66" s="5" t="inlineStr">
        <is>
          <t>Tampering</t>
        </is>
      </c>
      <c r="B66" s="5" t="n">
        <f>COUNTIFS('02_REFERENCE'!$B$2:$B$99,"S1",'02_REFERENCE'!$D$2:$D$99,"Tampering",'02_REFERENCE'!$S$2:$S$99,"YES")</f>
        <v>7.0</v>
      </c>
      <c r="C66" s="5" t="n">
        <f>COUNTIFS('02_REFERENCE'!$B$2:$B$99,"S2",'02_REFERENCE'!$D$2:$D$99,"Tampering",'02_REFERENCE'!$S$2:$S$99,"YES")</f>
        <v>12.0</v>
      </c>
      <c r="D66" s="5" t="n">
        <f>COUNTIFS('02_REFERENCE'!$B$2:$B$99,"S3",'02_REFERENCE'!$D$2:$D$99,"Tampering",'02_REFERENCE'!$S$2:$S$99,"YES")</f>
        <v>8.0</v>
      </c>
      <c r="E66" s="5" t="n">
        <f>SUM(B66:D66)</f>
        <v>27</v>
      </c>
    </row>
    <row r="67">
      <c r="A67" s="5" t="inlineStr">
        <is>
          <t>Repudiation</t>
        </is>
      </c>
      <c r="B67" s="5" t="n">
        <f>COUNTIFS('02_REFERENCE'!$B$2:$B$99,"S1",'02_REFERENCE'!$D$2:$D$99,"Repudiation",'02_REFERENCE'!$S$2:$S$99,"YES")</f>
        <v>1.0</v>
      </c>
      <c r="C67" s="5" t="n">
        <f>COUNTIFS('02_REFERENCE'!$B$2:$B$99,"S2",'02_REFERENCE'!$D$2:$D$99,"Repudiation",'02_REFERENCE'!$S$2:$S$99,"YES")</f>
        <v>1.0</v>
      </c>
      <c r="D67" s="5" t="n">
        <f>COUNTIFS('02_REFERENCE'!$B$2:$B$99,"S3",'02_REFERENCE'!$D$2:$D$99,"Repudiation",'02_REFERENCE'!$S$2:$S$99,"YES")</f>
        <v>1.0</v>
      </c>
      <c r="E67" s="5" t="n">
        <f>SUM(B67:D67)</f>
        <v>3</v>
      </c>
    </row>
    <row r="68">
      <c r="A68" s="5" t="inlineStr">
        <is>
          <t>Information Disclosure</t>
        </is>
      </c>
      <c r="B68" s="5" t="n">
        <f>COUNTIFS('02_REFERENCE'!$B$2:$B$99,"S1",'02_REFERENCE'!$D$2:$D$99,"Information Disclosure",'02_REFERENCE'!$S$2:$S$99,"YES")</f>
        <v>10.0</v>
      </c>
      <c r="C68" s="5" t="n">
        <f>COUNTIFS('02_REFERENCE'!$B$2:$B$99,"S2",'02_REFERENCE'!$D$2:$D$99,"Information Disclosure",'02_REFERENCE'!$S$2:$S$99,"YES")</f>
        <v>8.0</v>
      </c>
      <c r="D68" s="5" t="n">
        <f>COUNTIFS('02_REFERENCE'!$B$2:$B$99,"S3",'02_REFERENCE'!$D$2:$D$99,"Information Disclosure",'02_REFERENCE'!$S$2:$S$99,"YES")</f>
        <v>8.0</v>
      </c>
      <c r="E68" s="5" t="n">
        <f>SUM(B68:D68)</f>
        <v>26</v>
      </c>
    </row>
    <row r="69">
      <c r="A69" s="5" t="inlineStr">
        <is>
          <t>Denial of Service</t>
        </is>
      </c>
      <c r="B69" s="5" t="n">
        <f>COUNTIFS('02_REFERENCE'!$B$2:$B$99,"S1",'02_REFERENCE'!$D$2:$D$99,"Denial of Service",'02_REFERENCE'!$S$2:$S$99,"YES")</f>
        <v>3.0</v>
      </c>
      <c r="C69" s="5" t="n">
        <f>COUNTIFS('02_REFERENCE'!$B$2:$B$99,"S2",'02_REFERENCE'!$D$2:$D$99,"Denial of Service",'02_REFERENCE'!$S$2:$S$99,"YES")</f>
        <v>3.0</v>
      </c>
      <c r="D69" s="5" t="n">
        <f>COUNTIFS('02_REFERENCE'!$B$2:$B$99,"S3",'02_REFERENCE'!$D$2:$D$99,"Denial of Service",'02_REFERENCE'!$S$2:$S$99,"YES")</f>
        <v>4.0</v>
      </c>
      <c r="E69" s="5" t="n">
        <f>SUM(B69:D69)</f>
        <v>10</v>
      </c>
    </row>
    <row r="70">
      <c r="A70" s="5" t="inlineStr">
        <is>
          <t>Elevation of Privilege</t>
        </is>
      </c>
      <c r="B70" s="5" t="n">
        <f>COUNTIFS('02_REFERENCE'!$B$2:$B$99,"S1",'02_REFERENCE'!$D$2:$D$99,"Elevation of Privilege",'02_REFERENCE'!$S$2:$S$99,"YES")</f>
        <v>3.0</v>
      </c>
      <c r="C70" s="5" t="n">
        <f>COUNTIFS('02_REFERENCE'!$B$2:$B$99,"S2",'02_REFERENCE'!$D$2:$D$99,"Elevation of Privilege",'02_REFERENCE'!$S$2:$S$99,"YES")</f>
        <v>6.0</v>
      </c>
      <c r="D70" s="5" t="n">
        <f>COUNTIFS('02_REFERENCE'!$B$2:$B$99,"S3",'02_REFERENCE'!$D$2:$D$99,"Elevation of Privilege",'02_REFERENCE'!$S$2:$S$99,"YES")</f>
        <v>5.0</v>
      </c>
      <c r="E70" s="5" t="n">
        <f>SUM(B70:D70)</f>
        <v>14</v>
      </c>
    </row>
    <row r="71">
      <c r="A71" s="6" t="inlineStr">
        <is>
          <t>TOTAL</t>
        </is>
      </c>
      <c r="B71" s="6" t="n">
        <f>SUM(B65:B70)</f>
        <v>32</v>
      </c>
      <c r="C71" s="6" t="n">
        <f>SUM(C65:C70)</f>
        <v>33</v>
      </c>
      <c r="D71" s="6" t="n">
        <f>SUM(D65:D70)</f>
        <v>33</v>
      </c>
      <c r="E71" s="6" t="n">
        <f>SUM(E65:E70)</f>
        <v>98</v>
      </c>
    </row>
    <row r="73">
      <c r="A73" s="29" t="inlineStr">
        <is>
          <t>Table 6 — STRIDE performance (Reference-level recall per Approach)</t>
        </is>
      </c>
    </row>
    <row r="74">
      <c r="A74" s="20" t="inlineStr">
        <is>
          <t>Recall = TP / reference threats in that STRIDE category, per Approach across scenarios. Source: 07. Generated/FP/Precision are N/A (no per-finding STRIDE for FPs).</t>
        </is>
      </c>
    </row>
    <row r="75">
      <c r="A75" s="4" t="inlineStr">
        <is>
          <t>Approach</t>
        </is>
      </c>
      <c r="B75" s="4" t="inlineStr">
        <is>
          <t>Spoofing</t>
        </is>
      </c>
      <c r="C75" s="4" t="inlineStr">
        <is>
          <t>Tampering</t>
        </is>
      </c>
      <c r="D75" s="4" t="inlineStr">
        <is>
          <t>Repudiation</t>
        </is>
      </c>
      <c r="E75" s="4" t="inlineStr">
        <is>
          <t>Information Disclosure</t>
        </is>
      </c>
      <c r="F75" s="4" t="inlineStr">
        <is>
          <t>Denial of Service</t>
        </is>
      </c>
      <c r="G75" s="4" t="inlineStr">
        <is>
          <t>Elevation of Privilege</t>
        </is>
      </c>
      <c r="H75" s="4" t="inlineStr">
        <is>
          <t>Overall</t>
        </is>
      </c>
    </row>
    <row r="76">
      <c r="A76" s="5" t="inlineStr">
        <is>
          <t>OWASP Threat Dragon</t>
        </is>
      </c>
      <c r="B76" s="25" t="n">
        <f>IFERROR((SUM('07_STRIDE'!E5,'07_STRIDE'!E11,'07_STRIDE'!E17)/(SUM('07_STRIDE'!D5,'07_STRIDE'!D11,'07_STRIDE'!D17))),"")</f>
        <v>0.16666666666666666</v>
      </c>
      <c r="C76" s="25" t="n">
        <f>IFERROR((SUM('07_STRIDE'!E6,'07_STRIDE'!E12,'07_STRIDE'!E18)/(SUM('07_STRIDE'!D6,'07_STRIDE'!D12,'07_STRIDE'!D18))),"")</f>
        <v>0.14814814814814814</v>
      </c>
      <c r="D76" s="25" t="n">
        <f>IFERROR((SUM('07_STRIDE'!E7,'07_STRIDE'!E13,'07_STRIDE'!E19)/(SUM('07_STRIDE'!D7,'07_STRIDE'!D13,'07_STRIDE'!D19))),"")</f>
        <v>0</v>
      </c>
      <c r="E76" s="25" t="n">
        <f>IFERROR((SUM('07_STRIDE'!E8,'07_STRIDE'!E14,'07_STRIDE'!E20)/(SUM('07_STRIDE'!D8,'07_STRIDE'!D14,'07_STRIDE'!D20))),"")</f>
        <v>0.19230769230769232</v>
      </c>
      <c r="F76" s="25" t="n">
        <f>IFERROR((SUM('07_STRIDE'!E9,'07_STRIDE'!E15,'07_STRIDE'!E21)/(SUM('07_STRIDE'!D9,'07_STRIDE'!D15,'07_STRIDE'!D21))),"")</f>
        <v>0.7</v>
      </c>
      <c r="G76" s="25" t="n">
        <f>IFERROR((SUM('07_STRIDE'!E10,'07_STRIDE'!E16,'07_STRIDE'!E22)/(SUM('07_STRIDE'!D10,'07_STRIDE'!D16,'07_STRIDE'!D22))),"")</f>
        <v>0</v>
      </c>
      <c r="H76" s="25" t="n">
        <f>IFERROR((SUM('07_STRIDE'!E5:E22)/SUM('07_STRIDE'!D5:D22)),"")</f>
        <v>0.19387755102040816</v>
      </c>
    </row>
    <row r="77">
      <c r="A77" s="5" t="inlineStr">
        <is>
          <t>Microsoft Threat Modeling Tool</t>
        </is>
      </c>
      <c r="B77" s="25" t="n">
        <f>IFERROR((SUM('07_STRIDE'!E23,'07_STRIDE'!E29,'07_STRIDE'!E35)/(SUM('07_STRIDE'!D23,'07_STRIDE'!D29,'07_STRIDE'!D35))),"")</f>
        <v>0.2777777777777778</v>
      </c>
      <c r="C77" s="25" t="n">
        <f>IFERROR((SUM('07_STRIDE'!E24,'07_STRIDE'!E30,'07_STRIDE'!E36)/(SUM('07_STRIDE'!D24,'07_STRIDE'!D30,'07_STRIDE'!D36))),"")</f>
        <v>0.2962962962962963</v>
      </c>
      <c r="D77" s="25" t="n">
        <f>IFERROR((SUM('07_STRIDE'!E25,'07_STRIDE'!E31,'07_STRIDE'!E37)/(SUM('07_STRIDE'!D25,'07_STRIDE'!D31,'07_STRIDE'!D37))),"")</f>
        <v>1</v>
      </c>
      <c r="E77" s="25" t="n">
        <f>IFERROR((SUM('07_STRIDE'!E26,'07_STRIDE'!E32,'07_STRIDE'!E38)/(SUM('07_STRIDE'!D26,'07_STRIDE'!D32,'07_STRIDE'!D38))),"")</f>
        <v>0.19230769230769232</v>
      </c>
      <c r="F77" s="25" t="n">
        <f>IFERROR((SUM('07_STRIDE'!E27,'07_STRIDE'!E33,'07_STRIDE'!E39)/(SUM('07_STRIDE'!D27,'07_STRIDE'!D33,'07_STRIDE'!D39))),"")</f>
        <v>0.6</v>
      </c>
      <c r="G77" s="25" t="n">
        <f>IFERROR((SUM('07_STRIDE'!E28,'07_STRIDE'!E34,'07_STRIDE'!E40)/(SUM('07_STRIDE'!D28,'07_STRIDE'!D34,'07_STRIDE'!D40))),"")</f>
        <v>0.07142857142857142</v>
      </c>
      <c r="H77" s="25" t="n">
        <f>IFERROR((SUM('07_STRIDE'!E23:E40)/SUM('07_STRIDE'!D23:D40)),"")</f>
        <v>0.2857142857142857</v>
      </c>
    </row>
    <row r="78">
      <c r="A78" s="5" t="inlineStr">
        <is>
          <t>ChatGPT</t>
        </is>
      </c>
      <c r="B78" s="25" t="n">
        <f>IFERROR((SUM('07_STRIDE'!E41,'07_STRIDE'!E47,'07_STRIDE'!E53)/(SUM('07_STRIDE'!D41,'07_STRIDE'!D47,'07_STRIDE'!D53))),"")</f>
        <v>0.5</v>
      </c>
      <c r="C78" s="25" t="n">
        <f>IFERROR((SUM('07_STRIDE'!E42,'07_STRIDE'!E48,'07_STRIDE'!E54)/(SUM('07_STRIDE'!D42,'07_STRIDE'!D48,'07_STRIDE'!D54))),"")</f>
        <v>0.48148148148148145</v>
      </c>
      <c r="D78" s="25" t="n">
        <f>IFERROR((SUM('07_STRIDE'!E43,'07_STRIDE'!E49,'07_STRIDE'!E55)/(SUM('07_STRIDE'!D43,'07_STRIDE'!D49,'07_STRIDE'!D55))),"")</f>
        <v>0.6666666666666666</v>
      </c>
      <c r="E78" s="25" t="n">
        <f>IFERROR((SUM('07_STRIDE'!E44,'07_STRIDE'!E50,'07_STRIDE'!E56)/(SUM('07_STRIDE'!D44,'07_STRIDE'!D50,'07_STRIDE'!D56))),"")</f>
        <v>0.6153846153846154</v>
      </c>
      <c r="F78" s="25" t="n">
        <f>IFERROR((SUM('07_STRIDE'!E45,'07_STRIDE'!E51,'07_STRIDE'!E57)/(SUM('07_STRIDE'!D45,'07_STRIDE'!D51,'07_STRIDE'!D57))),"")</f>
        <v>0.9</v>
      </c>
      <c r="G78" s="25" t="n">
        <f>IFERROR((SUM('07_STRIDE'!E46,'07_STRIDE'!E52,'07_STRIDE'!E58)/(SUM('07_STRIDE'!D46,'07_STRIDE'!D52,'07_STRIDE'!D58))),"")</f>
        <v>0.21428571428571427</v>
      </c>
      <c r="H78" s="25" t="n">
        <f>IFERROR((SUM('07_STRIDE'!E41:E58)/SUM('07_STRIDE'!D41:D58)),"")</f>
        <v>0.5306122448979592</v>
      </c>
    </row>
    <row r="79">
      <c r="A79" s="5" t="inlineStr">
        <is>
          <t>Ollama (local LLM)</t>
        </is>
      </c>
      <c r="B79" s="25" t="n">
        <f>IFERROR((SUM('07_STRIDE'!E59,'07_STRIDE'!E65,'07_STRIDE'!E71)/(SUM('07_STRIDE'!D59,'07_STRIDE'!D65,'07_STRIDE'!D71))),"")</f>
        <v>0.3333333333333333</v>
      </c>
      <c r="C79" s="25" t="n">
        <f>IFERROR((SUM('07_STRIDE'!E60,'07_STRIDE'!E66,'07_STRIDE'!E72)/(SUM('07_STRIDE'!D60,'07_STRIDE'!D66,'07_STRIDE'!D72))),"")</f>
        <v>0.2962962962962963</v>
      </c>
      <c r="D79" s="25" t="n">
        <f>IFERROR((SUM('07_STRIDE'!E61,'07_STRIDE'!E67,'07_STRIDE'!E73)/(SUM('07_STRIDE'!D61,'07_STRIDE'!D67,'07_STRIDE'!D73))),"")</f>
        <v>0</v>
      </c>
      <c r="E79" s="25" t="n">
        <f>IFERROR((SUM('07_STRIDE'!E62,'07_STRIDE'!E68,'07_STRIDE'!E74)/(SUM('07_STRIDE'!D62,'07_STRIDE'!D68,'07_STRIDE'!D74))),"")</f>
        <v>0.11538461538461539</v>
      </c>
      <c r="F79" s="25" t="n">
        <f>IFERROR((SUM('07_STRIDE'!E63,'07_STRIDE'!E69,'07_STRIDE'!E75)/(SUM('07_STRIDE'!D63,'07_STRIDE'!D69,'07_STRIDE'!D75))),"")</f>
        <v>0.1</v>
      </c>
      <c r="G79" s="25" t="n">
        <f>IFERROR((SUM('07_STRIDE'!E64,'07_STRIDE'!E70,'07_STRIDE'!E76)/(SUM('07_STRIDE'!D64,'07_STRIDE'!D70,'07_STRIDE'!D76))),"")</f>
        <v>0.14285714285714285</v>
      </c>
      <c r="H79" s="25" t="n">
        <f>IFERROR((SUM('07_STRIDE'!E59:E76)/SUM('07_STRIDE'!D59:D76)),"")</f>
        <v>0.20408163265306123</v>
      </c>
    </row>
    <row r="80">
      <c r="A80" s="5" t="inlineStr">
        <is>
          <t>ThreMoLIA</t>
        </is>
      </c>
      <c r="B80" s="25" t="n">
        <f>IFERROR((SUM('07_STRIDE'!E77,'07_STRIDE'!E83,'07_STRIDE'!E89)/(SUM('07_STRIDE'!D77,'07_STRIDE'!D83,'07_STRIDE'!D89))),"")</f>
        <v>0.8333333333333334</v>
      </c>
      <c r="C80" s="25" t="n">
        <f>IFERROR((SUM('07_STRIDE'!E78,'07_STRIDE'!E84,'07_STRIDE'!E90)/(SUM('07_STRIDE'!D78,'07_STRIDE'!D84,'07_STRIDE'!D90))),"")</f>
        <v>0.7037037037037037</v>
      </c>
      <c r="D80" s="25" t="n">
        <f>IFERROR((SUM('07_STRIDE'!E79,'07_STRIDE'!E85,'07_STRIDE'!E91)/(SUM('07_STRIDE'!D79,'07_STRIDE'!D85,'07_STRIDE'!D91))),"")</f>
        <v>1</v>
      </c>
      <c r="E80" s="25" t="n">
        <f>IFERROR((SUM('07_STRIDE'!E80,'07_STRIDE'!E86,'07_STRIDE'!E92)/(SUM('07_STRIDE'!D80,'07_STRIDE'!D86,'07_STRIDE'!D92))),"")</f>
        <v>0.6153846153846154</v>
      </c>
      <c r="F80" s="25" t="n">
        <f>IFERROR((SUM('07_STRIDE'!E81,'07_STRIDE'!E87,'07_STRIDE'!E93)/(SUM('07_STRIDE'!D81,'07_STRIDE'!D87,'07_STRIDE'!D93))),"")</f>
        <v>1</v>
      </c>
      <c r="G80" s="25" t="n">
        <f>IFERROR((SUM('07_STRIDE'!E82,'07_STRIDE'!E88,'07_STRIDE'!E94)/(SUM('07_STRIDE'!D82,'07_STRIDE'!D88,'07_STRIDE'!D94))),"")</f>
        <v>0.42857142857142855</v>
      </c>
      <c r="H80" s="25" t="n">
        <f>IFERROR((SUM('07_STRIDE'!E77:E94)/SUM('07_STRIDE'!D77:D94)),"")</f>
        <v>0.7040816326530612</v>
      </c>
    </row>
    <row r="83">
      <c r="A83" s="29" t="inlineStr">
        <is>
          <t>Table 7 — Grounding</t>
        </is>
      </c>
    </row>
    <row r="84">
      <c r="A84" s="20" t="inlineStr">
        <is>
          <t>Grounding is kept separate from correctness. NO per-finding grounding annotation was provided, so the grounding rate and grounded/ungrounded x TP/FP breakdown cannot be computed and are N/A.</t>
        </is>
      </c>
    </row>
    <row r="85">
      <c r="A85" s="4" t="inlineStr">
        <is>
          <t>Grounding Metric</t>
        </is>
      </c>
      <c r="B85" s="4" t="inlineStr">
        <is>
          <t>Value</t>
        </is>
      </c>
      <c r="C85" s="4" t="inlineStr">
        <is>
          <t>Status</t>
        </is>
      </c>
    </row>
    <row r="86">
      <c r="A86" s="5" t="inlineStr">
        <is>
          <t>Grounding Rate</t>
        </is>
      </c>
      <c r="B86" s="5" t="inlineStr">
        <is>
          <t>N/A</t>
        </is>
      </c>
      <c r="C86" s="30" t="inlineStr">
        <is>
          <t>N/A - DATA NOT AVAILABLE</t>
        </is>
      </c>
    </row>
    <row r="87">
      <c r="A87" s="5" t="inlineStr">
        <is>
          <t>Grounded TP</t>
        </is>
      </c>
      <c r="B87" s="5" t="inlineStr">
        <is>
          <t>N/A</t>
        </is>
      </c>
      <c r="C87" s="30" t="inlineStr">
        <is>
          <t>N/A - DATA NOT AVAILABLE</t>
        </is>
      </c>
    </row>
    <row r="88">
      <c r="A88" s="5" t="inlineStr">
        <is>
          <t>Ungrounded TP</t>
        </is>
      </c>
      <c r="B88" s="5" t="inlineStr">
        <is>
          <t>N/A</t>
        </is>
      </c>
      <c r="C88" s="30" t="inlineStr">
        <is>
          <t>N/A - DATA NOT AVAILABLE</t>
        </is>
      </c>
    </row>
    <row r="89">
      <c r="A89" s="5" t="inlineStr">
        <is>
          <t>Grounded FP</t>
        </is>
      </c>
      <c r="B89" s="5" t="inlineStr">
        <is>
          <t>N/A</t>
        </is>
      </c>
      <c r="C89" s="30" t="inlineStr">
        <is>
          <t>N/A - DATA NOT AVAILABLE</t>
        </is>
      </c>
    </row>
    <row r="90">
      <c r="A90" s="5" t="inlineStr">
        <is>
          <t>Ungrounded FP</t>
        </is>
      </c>
      <c r="B90" s="5" t="inlineStr">
        <is>
          <t>N/A</t>
        </is>
      </c>
      <c r="C90" s="30" t="inlineStr">
        <is>
          <t>N/A - DATA NOT AVAILABLE</t>
        </is>
      </c>
    </row>
    <row r="93">
      <c r="A93" s="29" t="inlineStr">
        <is>
          <t>Table 8 — Redundancy / Uniqueness</t>
        </is>
      </c>
    </row>
    <row r="94">
      <c r="A94" s="20" t="inlineStr">
        <is>
          <t>Per Approach across scenarios. Source: 09.</t>
        </is>
      </c>
    </row>
    <row r="95">
      <c r="A95" s="4" t="inlineStr">
        <is>
          <t>Approach</t>
        </is>
      </c>
      <c r="B95" s="4" t="inlineStr">
        <is>
          <t>Generated</t>
        </is>
      </c>
      <c r="C95" s="4" t="inlineStr">
        <is>
          <t>Primary TP</t>
        </is>
      </c>
      <c r="D95" s="4" t="inlineStr">
        <is>
          <t>Duplicates</t>
        </is>
      </c>
      <c r="E95" s="4" t="inlineStr">
        <is>
          <t>FP</t>
        </is>
      </c>
      <c r="F95" s="4" t="inlineStr">
        <is>
          <t>Unique Findings</t>
        </is>
      </c>
      <c r="G95" s="4" t="inlineStr">
        <is>
          <t>Redundancy Rate</t>
        </is>
      </c>
      <c r="H95" s="4" t="inlineStr">
        <is>
          <t>Unique-Find Rate</t>
        </is>
      </c>
    </row>
    <row r="96">
      <c r="A96" s="5" t="inlineStr">
        <is>
          <t>OWASP Threat Dragon</t>
        </is>
      </c>
      <c r="B96" s="5" t="n">
        <f>SUMIF('09_UNIQUENESS_REDUNDANCY'!$A$5:$A$19,"OWASP",'09_UNIQUENESS_REDUNDANCY'!$C$5:$C$19)</f>
        <v>123</v>
      </c>
      <c r="C96" s="5" t="n">
        <f>SUMIF('09_UNIQUENESS_REDUNDANCY'!$A$5:$A$19,"OWASP",'09_UNIQUENESS_REDUNDANCY'!$D$5:$D$19)</f>
        <v>19</v>
      </c>
      <c r="D96" s="5" t="n">
        <f>SUMIF('09_UNIQUENESS_REDUNDANCY'!$A$5:$A$19,"OWASP",'09_UNIQUENESS_REDUNDANCY'!$E$5:$E$19)</f>
        <v>25</v>
      </c>
      <c r="E96" s="5" t="n">
        <f>SUMIF('09_UNIQUENESS_REDUNDANCY'!$A$5:$A$19,"OWASP",'09_UNIQUENESS_REDUNDANCY'!$F$5:$F$19)</f>
        <v>79</v>
      </c>
      <c r="F96" s="5" t="n">
        <f>C96+E96</f>
        <v>98</v>
      </c>
      <c r="G96" s="25" t="n">
        <f>IFERROR(D96/B96,"")</f>
        <v>0.2032520325203252</v>
      </c>
      <c r="H96" s="25" t="n">
        <f>IFERROR(F96/B96,"")</f>
        <v>0.7967479674796748</v>
      </c>
    </row>
    <row r="97">
      <c r="A97" s="5" t="inlineStr">
        <is>
          <t>Microsoft Threat Modeling Tool</t>
        </is>
      </c>
      <c r="B97" s="5" t="n">
        <f>SUMIF('09_UNIQUENESS_REDUNDANCY'!$A$5:$A$19,"TMT",'09_UNIQUENESS_REDUNDANCY'!$C$5:$C$19)</f>
        <v>301</v>
      </c>
      <c r="C97" s="5" t="n">
        <f>SUMIF('09_UNIQUENESS_REDUNDANCY'!$A$5:$A$19,"TMT",'09_UNIQUENESS_REDUNDANCY'!$D$5:$D$19)</f>
        <v>28</v>
      </c>
      <c r="D97" s="5" t="n">
        <f>SUMIF('09_UNIQUENESS_REDUNDANCY'!$A$5:$A$19,"TMT",'09_UNIQUENESS_REDUNDANCY'!$E$5:$E$19)</f>
        <v>52</v>
      </c>
      <c r="E97" s="5" t="n">
        <f>SUMIF('09_UNIQUENESS_REDUNDANCY'!$A$5:$A$19,"TMT",'09_UNIQUENESS_REDUNDANCY'!$F$5:$F$19)</f>
        <v>221</v>
      </c>
      <c r="F97" s="5" t="n">
        <f>C97+E97</f>
        <v>249</v>
      </c>
      <c r="G97" s="25" t="n">
        <f>IFERROR(D97/B97,"")</f>
        <v>0.17275747508305647</v>
      </c>
      <c r="H97" s="25" t="n">
        <f>IFERROR(F97/B97,"")</f>
        <v>0.8272425249169435</v>
      </c>
    </row>
    <row r="98">
      <c r="A98" s="5" t="inlineStr">
        <is>
          <t>ChatGPT</t>
        </is>
      </c>
      <c r="B98" s="5" t="n">
        <f>SUMIF('09_UNIQUENESS_REDUNDANCY'!$A$5:$A$19,"CHATGPT",'09_UNIQUENESS_REDUNDANCY'!$C$5:$C$19)</f>
        <v>181</v>
      </c>
      <c r="C98" s="5" t="n">
        <f>SUMIF('09_UNIQUENESS_REDUNDANCY'!$A$5:$A$19,"CHATGPT",'09_UNIQUENESS_REDUNDANCY'!$D$5:$D$19)</f>
        <v>52</v>
      </c>
      <c r="D98" s="5" t="n">
        <f>SUMIF('09_UNIQUENESS_REDUNDANCY'!$A$5:$A$19,"CHATGPT",'09_UNIQUENESS_REDUNDANCY'!$E$5:$E$19)</f>
        <v>72</v>
      </c>
      <c r="E98" s="5" t="n">
        <f>SUMIF('09_UNIQUENESS_REDUNDANCY'!$A$5:$A$19,"CHATGPT",'09_UNIQUENESS_REDUNDANCY'!$F$5:$F$19)</f>
        <v>57</v>
      </c>
      <c r="F98" s="5" t="n">
        <f>C98+E98</f>
        <v>109</v>
      </c>
      <c r="G98" s="25" t="n">
        <f>IFERROR(D98/B98,"")</f>
        <v>0.39779005524861877</v>
      </c>
      <c r="H98" s="25" t="n">
        <f>IFERROR(F98/B98,"")</f>
        <v>0.6022099447513812</v>
      </c>
    </row>
    <row r="99">
      <c r="A99" s="5" t="inlineStr">
        <is>
          <t>Ollama (local LLM)</t>
        </is>
      </c>
      <c r="B99" s="5" t="n">
        <f>SUMIF('09_UNIQUENESS_REDUNDANCY'!$A$5:$A$19,"OLLAMA",'09_UNIQUENESS_REDUNDANCY'!$C$5:$C$19)</f>
        <v>92</v>
      </c>
      <c r="C99" s="5" t="n">
        <f>SUMIF('09_UNIQUENESS_REDUNDANCY'!$A$5:$A$19,"OLLAMA",'09_UNIQUENESS_REDUNDANCY'!$D$5:$D$19)</f>
        <v>20</v>
      </c>
      <c r="D99" s="5" t="n">
        <f>SUMIF('09_UNIQUENESS_REDUNDANCY'!$A$5:$A$19,"OLLAMA",'09_UNIQUENESS_REDUNDANCY'!$E$5:$E$19)</f>
        <v>26</v>
      </c>
      <c r="E99" s="5" t="n">
        <f>SUMIF('09_UNIQUENESS_REDUNDANCY'!$A$5:$A$19,"OLLAMA",'09_UNIQUENESS_REDUNDANCY'!$F$5:$F$19)</f>
        <v>46</v>
      </c>
      <c r="F99" s="5" t="n">
        <f>C99+E99</f>
        <v>66</v>
      </c>
      <c r="G99" s="25" t="n">
        <f>IFERROR(D99/B99,"")</f>
        <v>0.2826086956521739</v>
      </c>
      <c r="H99" s="25" t="n">
        <f>IFERROR(F99/B99,"")</f>
        <v>0.717391304347826</v>
      </c>
    </row>
    <row r="100">
      <c r="A100" s="5" t="inlineStr">
        <is>
          <t>ThreMoLIA</t>
        </is>
      </c>
      <c r="B100" s="5" t="n">
        <f>SUMIF('09_UNIQUENESS_REDUNDANCY'!$A$5:$A$19,"THREMOLIA",'09_UNIQUENESS_REDUNDANCY'!$C$5:$C$19)</f>
        <v>328</v>
      </c>
      <c r="C100" s="5" t="n">
        <f>SUMIF('09_UNIQUENESS_REDUNDANCY'!$A$5:$A$19,"THREMOLIA",'09_UNIQUENESS_REDUNDANCY'!$D$5:$D$19)</f>
        <v>69</v>
      </c>
      <c r="D100" s="5" t="n">
        <f>SUMIF('09_UNIQUENESS_REDUNDANCY'!$A$5:$A$19,"THREMOLIA",'09_UNIQUENESS_REDUNDANCY'!$E$5:$E$19)</f>
        <v>164</v>
      </c>
      <c r="E100" s="5" t="n">
        <f>SUMIF('09_UNIQUENESS_REDUNDANCY'!$A$5:$A$19,"THREMOLIA",'09_UNIQUENESS_REDUNDANCY'!$F$5:$F$19)</f>
        <v>95</v>
      </c>
      <c r="F100" s="5" t="n">
        <f>C100+E100</f>
        <v>164</v>
      </c>
      <c r="G100" s="25" t="n">
        <f>IFERROR(D100/B100,"")</f>
        <v>0.5</v>
      </c>
      <c r="H100" s="25" t="n">
        <f>IFERROR(F100/B100,"")</f>
        <v>0.5</v>
      </c>
    </row>
    <row r="103">
      <c r="A103" s="29" t="inlineStr">
        <is>
          <t>Table 9 — Severity-weighted recall</t>
        </is>
      </c>
    </row>
    <row r="104">
      <c r="A104" s="20" t="inlineStr">
        <is>
          <t>Weighted TP / weighted Reference (Critical=3, High=2, Medium=1). Source: 10.</t>
        </is>
      </c>
    </row>
    <row r="105">
      <c r="A105" s="4" t="inlineStr">
        <is>
          <t>Approach</t>
        </is>
      </c>
      <c r="B105" s="4" t="inlineStr">
        <is>
          <t>Weighted TP</t>
        </is>
      </c>
      <c r="C105" s="4" t="inlineStr">
        <is>
          <t>Weighted Reference</t>
        </is>
      </c>
      <c r="D105" s="4" t="inlineStr">
        <is>
          <t>Severity-Weighted Recall</t>
        </is>
      </c>
    </row>
    <row r="106">
      <c r="A106" s="5" t="inlineStr">
        <is>
          <t>OWASP Threat Dragon</t>
        </is>
      </c>
      <c r="B106" s="5" t="n">
        <f>SUMIFS(('10_SEVERITY'!E$6:E$50)*('10_SEVERITY'!H$6:H$50),'10_SEVERITY'!A$6:A$50,"OWASP")</f>
        <v>39</v>
      </c>
      <c r="C106" s="5" t="n">
        <f>SUMIFS(('10_SEVERITY'!D$6:D$50)*('10_SEVERITY'!H$6:H$50),'10_SEVERITY'!A$6:A$50,"OWASP")</f>
        <v>192</v>
      </c>
      <c r="D106" s="25" t="n">
        <f>IFERROR(B106/C106,"")</f>
        <v>0.203125</v>
      </c>
    </row>
    <row r="107">
      <c r="A107" s="5" t="inlineStr">
        <is>
          <t>Microsoft Threat Modeling Tool</t>
        </is>
      </c>
      <c r="B107" s="5" t="n">
        <f>SUMIFS(('10_SEVERITY'!E$6:E$50)*('10_SEVERITY'!H$6:H$50),'10_SEVERITY'!A$6:A$50,"TMT")</f>
        <v>57</v>
      </c>
      <c r="C107" s="5" t="n">
        <f>SUMIFS(('10_SEVERITY'!D$6:D$50)*('10_SEVERITY'!H$6:H$50),'10_SEVERITY'!A$6:A$50,"TMT")</f>
        <v>192</v>
      </c>
      <c r="D107" s="25" t="n">
        <f>IFERROR(B107/C107,"")</f>
        <v>0.296875</v>
      </c>
    </row>
    <row r="108">
      <c r="A108" s="5" t="inlineStr">
        <is>
          <t>ChatGPT</t>
        </is>
      </c>
      <c r="B108" s="5" t="n">
        <f>SUMIFS(('10_SEVERITY'!E$6:E$50)*('10_SEVERITY'!H$6:H$50),'10_SEVERITY'!A$6:A$50,"CHATGPT")</f>
        <v>94</v>
      </c>
      <c r="C108" s="5" t="n">
        <f>SUMIFS(('10_SEVERITY'!D$6:D$50)*('10_SEVERITY'!H$6:H$50),'10_SEVERITY'!A$6:A$50,"CHATGPT")</f>
        <v>192</v>
      </c>
      <c r="D108" s="25" t="n">
        <f>IFERROR(B108/C108,"")</f>
        <v>0.4895833333333333</v>
      </c>
    </row>
    <row r="109">
      <c r="A109" s="5" t="inlineStr">
        <is>
          <t>Ollama (local LLM)</t>
        </is>
      </c>
      <c r="B109" s="5" t="n">
        <f>SUMIFS(('10_SEVERITY'!E$6:E$50)*('10_SEVERITY'!H$6:H$50),'10_SEVERITY'!A$6:A$50,"OLLAMA")</f>
        <v>47</v>
      </c>
      <c r="C109" s="5" t="n">
        <f>SUMIFS(('10_SEVERITY'!D$6:D$50)*('10_SEVERITY'!H$6:H$50),'10_SEVERITY'!A$6:A$50,"OLLAMA")</f>
        <v>192</v>
      </c>
      <c r="D109" s="25" t="n">
        <f>IFERROR(B109/C109,"")</f>
        <v>0.24479166666666666</v>
      </c>
    </row>
    <row r="110">
      <c r="A110" s="5" t="inlineStr">
        <is>
          <t>ThreMoLIA</t>
        </is>
      </c>
      <c r="B110" s="5" t="n">
        <f>SUMIFS(('10_SEVERITY'!E$6:E$50)*('10_SEVERITY'!H$6:H$50),'10_SEVERITY'!A$6:A$50,"THREMOLIA")</f>
        <v>141</v>
      </c>
      <c r="C110" s="5" t="n">
        <f>SUMIFS(('10_SEVERITY'!D$6:D$50)*('10_SEVERITY'!H$6:H$50),'10_SEVERITY'!A$6:A$50,"THREMOLIA")</f>
        <v>192</v>
      </c>
      <c r="D110" s="25" t="n">
        <f>IFERROR(B110/C110,"")</f>
        <v>0.734375</v>
      </c>
    </row>
    <row r="113">
      <c r="A113" s="29" t="inlineStr">
        <is>
          <t>Table 10 — LLM-specific vs Non-LLM recall</t>
        </is>
      </c>
    </row>
    <row r="114">
      <c r="A114" s="20" t="inlineStr">
        <is>
          <t>Per Approach across scenarios. Source: 11.</t>
        </is>
      </c>
    </row>
    <row r="115">
      <c r="A115" s="4" t="inlineStr">
        <is>
          <t>Approach</t>
        </is>
      </c>
      <c r="B115" s="4" t="inlineStr">
        <is>
          <t>LLM TP</t>
        </is>
      </c>
      <c r="C115" s="4" t="inlineStr">
        <is>
          <t>LLM Ref</t>
        </is>
      </c>
      <c r="D115" s="4" t="inlineStr">
        <is>
          <t>LLM Recall</t>
        </is>
      </c>
      <c r="E115" s="4" t="inlineStr">
        <is>
          <t>Non-LLM TP</t>
        </is>
      </c>
      <c r="F115" s="4" t="inlineStr">
        <is>
          <t>Non-LLM Ref</t>
        </is>
      </c>
      <c r="G115" s="4" t="inlineStr">
        <is>
          <t>Non-LLM Recall</t>
        </is>
      </c>
    </row>
    <row r="116">
      <c r="A116" s="5" t="inlineStr">
        <is>
          <t>OWASP Threat Dragon</t>
        </is>
      </c>
      <c r="B116" s="5" t="n">
        <f>SUMIF('11_LLM_ANALYSIS'!$A$5:$A$19,"OWASP",'11_LLM_ANALYSIS'!$D$5:$D$19)</f>
        <v>4</v>
      </c>
      <c r="C116" s="5" t="n">
        <f>SUMIF('11_LLM_ANALYSIS'!$A$5:$A$19,"OWASP",'11_LLM_ANALYSIS'!$C$5:$C$19)</f>
        <v>38</v>
      </c>
      <c r="D116" s="25" t="n">
        <f>IFERROR(B116/C116,"")</f>
        <v>0.10526315789473684</v>
      </c>
      <c r="E116" s="5" t="n">
        <f>SUMIF('11_LLM_ANALYSIS'!$A$5:$A$19,"OWASP",'11_LLM_ANALYSIS'!$H$5:$H$19)</f>
        <v>15</v>
      </c>
      <c r="F116" s="5" t="n">
        <f>SUMIF('11_LLM_ANALYSIS'!$A$5:$A$19,"OWASP",'11_LLM_ANALYSIS'!$G$5:$G$19)</f>
        <v>60</v>
      </c>
      <c r="G116" s="25" t="n">
        <f>IFERROR(E116/F116,"")</f>
        <v>0.25</v>
      </c>
    </row>
    <row r="117">
      <c r="A117" s="5" t="inlineStr">
        <is>
          <t>Microsoft Threat Modeling Tool</t>
        </is>
      </c>
      <c r="B117" s="5" t="n">
        <f>SUMIF('11_LLM_ANALYSIS'!$A$5:$A$19,"TMT",'11_LLM_ANALYSIS'!$D$5:$D$19)</f>
        <v>11</v>
      </c>
      <c r="C117" s="5" t="n">
        <f>SUMIF('11_LLM_ANALYSIS'!$A$5:$A$19,"TMT",'11_LLM_ANALYSIS'!$C$5:$C$19)</f>
        <v>38</v>
      </c>
      <c r="D117" s="25" t="n">
        <f>IFERROR(B117/C117,"")</f>
        <v>0.2894736842105263</v>
      </c>
      <c r="E117" s="5" t="n">
        <f>SUMIF('11_LLM_ANALYSIS'!$A$5:$A$19,"TMT",'11_LLM_ANALYSIS'!$H$5:$H$19)</f>
        <v>17</v>
      </c>
      <c r="F117" s="5" t="n">
        <f>SUMIF('11_LLM_ANALYSIS'!$A$5:$A$19,"TMT",'11_LLM_ANALYSIS'!$G$5:$G$19)</f>
        <v>60</v>
      </c>
      <c r="G117" s="25" t="n">
        <f>IFERROR(E117/F117,"")</f>
        <v>0.2833333333333333</v>
      </c>
    </row>
    <row r="118">
      <c r="A118" s="5" t="inlineStr">
        <is>
          <t>ChatGPT</t>
        </is>
      </c>
      <c r="B118" s="5" t="n">
        <f>SUMIF('11_LLM_ANALYSIS'!$A$5:$A$19,"CHATGPT",'11_LLM_ANALYSIS'!$D$5:$D$19)</f>
        <v>25</v>
      </c>
      <c r="C118" s="5" t="n">
        <f>SUMIF('11_LLM_ANALYSIS'!$A$5:$A$19,"CHATGPT",'11_LLM_ANALYSIS'!$C$5:$C$19)</f>
        <v>38</v>
      </c>
      <c r="D118" s="25" t="n">
        <f>IFERROR(B118/C118,"")</f>
        <v>0.6578947368421053</v>
      </c>
      <c r="E118" s="5" t="n">
        <f>SUMIF('11_LLM_ANALYSIS'!$A$5:$A$19,"CHATGPT",'11_LLM_ANALYSIS'!$H$5:$H$19)</f>
        <v>27</v>
      </c>
      <c r="F118" s="5" t="n">
        <f>SUMIF('11_LLM_ANALYSIS'!$A$5:$A$19,"CHATGPT",'11_LLM_ANALYSIS'!$G$5:$G$19)</f>
        <v>60</v>
      </c>
      <c r="G118" s="25" t="n">
        <f>IFERROR(E118/F118,"")</f>
        <v>0.45</v>
      </c>
    </row>
    <row r="119">
      <c r="A119" s="5" t="inlineStr">
        <is>
          <t>Ollama (local LLM)</t>
        </is>
      </c>
      <c r="B119" s="5" t="n">
        <f>SUMIF('11_LLM_ANALYSIS'!$A$5:$A$19,"OLLAMA",'11_LLM_ANALYSIS'!$D$5:$D$19)</f>
        <v>8</v>
      </c>
      <c r="C119" s="5" t="n">
        <f>SUMIF('11_LLM_ANALYSIS'!$A$5:$A$19,"OLLAMA",'11_LLM_ANALYSIS'!$C$5:$C$19)</f>
        <v>38</v>
      </c>
      <c r="D119" s="25" t="n">
        <f>IFERROR(B119/C119,"")</f>
        <v>0.21052631578947367</v>
      </c>
      <c r="E119" s="5" t="n">
        <f>SUMIF('11_LLM_ANALYSIS'!$A$5:$A$19,"OLLAMA",'11_LLM_ANALYSIS'!$H$5:$H$19)</f>
        <v>12</v>
      </c>
      <c r="F119" s="5" t="n">
        <f>SUMIF('11_LLM_ANALYSIS'!$A$5:$A$19,"OLLAMA",'11_LLM_ANALYSIS'!$G$5:$G$19)</f>
        <v>60</v>
      </c>
      <c r="G119" s="25" t="n">
        <f>IFERROR(E119/F119,"")</f>
        <v>0.2</v>
      </c>
    </row>
    <row r="120">
      <c r="A120" s="5" t="inlineStr">
        <is>
          <t>ThreMoLIA</t>
        </is>
      </c>
      <c r="B120" s="5" t="n">
        <f>SUMIF('11_LLM_ANALYSIS'!$A$5:$A$19,"THREMOLIA",'11_LLM_ANALYSIS'!$D$5:$D$19)</f>
        <v>24</v>
      </c>
      <c r="C120" s="5" t="n">
        <f>SUMIF('11_LLM_ANALYSIS'!$A$5:$A$19,"THREMOLIA",'11_LLM_ANALYSIS'!$C$5:$C$19)</f>
        <v>38</v>
      </c>
      <c r="D120" s="25" t="n">
        <f>IFERROR(B120/C120,"")</f>
        <v>0.631578947368421</v>
      </c>
      <c r="E120" s="5" t="n">
        <f>SUMIF('11_LLM_ANALYSIS'!$A$5:$A$19,"THREMOLIA",'11_LLM_ANALYSIS'!$H$5:$H$19)</f>
        <v>45</v>
      </c>
      <c r="F120" s="5" t="n">
        <f>SUMIF('11_LLM_ANALYSIS'!$A$5:$A$19,"THREMOLIA",'11_LLM_ANALYSIS'!$G$5:$G$19)</f>
        <v>60</v>
      </c>
      <c r="G120" s="25" t="n">
        <f>IFERROR(E120/F120,"")</f>
        <v>0.75</v>
      </c>
    </row>
    <row r="123">
      <c r="A123" s="29" t="inlineStr">
        <is>
          <t>Table 11 — Feature / Functionality comparison</t>
        </is>
      </c>
    </row>
    <row r="124">
      <c r="A124" s="20" t="inlineStr">
        <is>
          <t>Manual coding from documentation required. No documentation provided; all cells are Unknown (honest default). Feature Completeness = N/A.</t>
        </is>
      </c>
    </row>
    <row r="125">
      <c r="A125" s="32" t="inlineStr">
        <is>
          <t>Capability / Feature</t>
        </is>
      </c>
      <c r="B125" s="32" t="inlineStr">
        <is>
          <t>OWASP Threat Dragon</t>
        </is>
      </c>
      <c r="C125" s="32" t="inlineStr">
        <is>
          <t>Microsoft TMT</t>
        </is>
      </c>
      <c r="D125" s="32" t="inlineStr">
        <is>
          <t>ChatGPT</t>
        </is>
      </c>
      <c r="E125" s="32" t="inlineStr">
        <is>
          <t>Ollama</t>
        </is>
      </c>
      <c r="F125" s="32" t="inlineStr">
        <is>
          <t>ThreMoLIA</t>
        </is>
      </c>
    </row>
    <row r="126" ht="18" customHeight="1">
      <c r="A126" s="5" t="inlineStr">
        <is>
          <t>Graphical architecture modelling (draw diagram)</t>
        </is>
      </c>
      <c r="B126" s="31" t="inlineStr">
        <is>
          <t>Unknown</t>
        </is>
      </c>
      <c r="C126" s="31" t="inlineStr">
        <is>
          <t>Unknown</t>
        </is>
      </c>
      <c r="D126" s="31" t="inlineStr">
        <is>
          <t>Unknown</t>
        </is>
      </c>
      <c r="E126" s="31" t="inlineStr">
        <is>
          <t>Unknown</t>
        </is>
      </c>
      <c r="F126" s="31" t="inlineStr">
        <is>
          <t>Unknown</t>
        </is>
      </c>
    </row>
    <row r="127" ht="18" customHeight="1">
      <c r="A127" s="5" t="inlineStr">
        <is>
          <t>Built-in threat catalogue / rule engine</t>
        </is>
      </c>
      <c r="B127" s="31" t="inlineStr">
        <is>
          <t>Unknown</t>
        </is>
      </c>
      <c r="C127" s="31" t="inlineStr">
        <is>
          <t>Unknown</t>
        </is>
      </c>
      <c r="D127" s="31" t="inlineStr">
        <is>
          <t>Unknown</t>
        </is>
      </c>
      <c r="E127" s="31" t="inlineStr">
        <is>
          <t>Unknown</t>
        </is>
      </c>
      <c r="F127" s="31" t="inlineStr">
        <is>
          <t>Unknown</t>
        </is>
      </c>
    </row>
    <row r="128" ht="18" customHeight="1">
      <c r="A128" s="5" t="inlineStr">
        <is>
          <t>Automated threat identification</t>
        </is>
      </c>
      <c r="B128" s="31" t="inlineStr">
        <is>
          <t>Unknown</t>
        </is>
      </c>
      <c r="C128" s="31" t="inlineStr">
        <is>
          <t>Unknown</t>
        </is>
      </c>
      <c r="D128" s="31" t="inlineStr">
        <is>
          <t>Unknown</t>
        </is>
      </c>
      <c r="E128" s="31" t="inlineStr">
        <is>
          <t>Unknown</t>
        </is>
      </c>
      <c r="F128" s="31" t="inlineStr">
        <is>
          <t>Unknown</t>
        </is>
      </c>
    </row>
    <row r="129" ht="18" customHeight="1">
      <c r="A129" s="5" t="inlineStr">
        <is>
          <t>STRIDE category assignment</t>
        </is>
      </c>
      <c r="B129" s="31" t="inlineStr">
        <is>
          <t>Unknown</t>
        </is>
      </c>
      <c r="C129" s="31" t="inlineStr">
        <is>
          <t>Unknown</t>
        </is>
      </c>
      <c r="D129" s="31" t="inlineStr">
        <is>
          <t>Unknown</t>
        </is>
      </c>
      <c r="E129" s="31" t="inlineStr">
        <is>
          <t>Unknown</t>
        </is>
      </c>
      <c r="F129" s="31" t="inlineStr">
        <is>
          <t>Unknown</t>
        </is>
      </c>
    </row>
    <row r="130" ht="18" customHeight="1">
      <c r="A130" s="5" t="inlineStr">
        <is>
          <t>Data-flow and trust-boundary capture</t>
        </is>
      </c>
      <c r="B130" s="31" t="inlineStr">
        <is>
          <t>Unknown</t>
        </is>
      </c>
      <c r="C130" s="31" t="inlineStr">
        <is>
          <t>Unknown</t>
        </is>
      </c>
      <c r="D130" s="31" t="inlineStr">
        <is>
          <t>Unknown</t>
        </is>
      </c>
      <c r="E130" s="31" t="inlineStr">
        <is>
          <t>Unknown</t>
        </is>
      </c>
      <c r="F130" s="31" t="inlineStr">
        <is>
          <t>Unknown</t>
        </is>
      </c>
    </row>
    <row r="131" ht="18" customHeight="1">
      <c r="A131" s="5" t="inlineStr">
        <is>
          <t>Manual threat entry and annotation</t>
        </is>
      </c>
      <c r="B131" s="31" t="inlineStr">
        <is>
          <t>Unknown</t>
        </is>
      </c>
      <c r="C131" s="31" t="inlineStr">
        <is>
          <t>Unknown</t>
        </is>
      </c>
      <c r="D131" s="31" t="inlineStr">
        <is>
          <t>Unknown</t>
        </is>
      </c>
      <c r="E131" s="31" t="inlineStr">
        <is>
          <t>Unknown</t>
        </is>
      </c>
      <c r="F131" s="31" t="inlineStr">
        <is>
          <t>Unknown</t>
        </is>
      </c>
    </row>
    <row r="132" ht="18" customHeight="1">
      <c r="A132" s="5" t="inlineStr">
        <is>
          <t>Prompt/LLM-supported generation</t>
        </is>
      </c>
      <c r="B132" s="31" t="inlineStr">
        <is>
          <t>Unknown</t>
        </is>
      </c>
      <c r="C132" s="31" t="inlineStr">
        <is>
          <t>Unknown</t>
        </is>
      </c>
      <c r="D132" s="31" t="inlineStr">
        <is>
          <t>Unknown</t>
        </is>
      </c>
      <c r="E132" s="31" t="inlineStr">
        <is>
          <t>Unknown</t>
        </is>
      </c>
      <c r="F132" s="31" t="inlineStr">
        <is>
          <t>Unknown</t>
        </is>
      </c>
    </row>
    <row r="133" ht="18" customHeight="1">
      <c r="A133" s="5" t="inlineStr">
        <is>
          <t>Runs locally (no external LLM)</t>
        </is>
      </c>
      <c r="B133" s="31" t="inlineStr">
        <is>
          <t>Unknown</t>
        </is>
      </c>
      <c r="C133" s="31" t="inlineStr">
        <is>
          <t>Unknown</t>
        </is>
      </c>
      <c r="D133" s="31" t="inlineStr">
        <is>
          <t>Unknown</t>
        </is>
      </c>
      <c r="E133" s="31" t="inlineStr">
        <is>
          <t>Unknown</t>
        </is>
      </c>
      <c r="F133" s="31" t="inlineStr">
        <is>
          <t>Unknown</t>
        </is>
      </c>
    </row>
    <row r="134" ht="18" customHeight="1">
      <c r="A134" s="5" t="inlineStr">
        <is>
          <t>Export / shareable results</t>
        </is>
      </c>
      <c r="B134" s="31" t="inlineStr">
        <is>
          <t>Unknown</t>
        </is>
      </c>
      <c r="C134" s="31" t="inlineStr">
        <is>
          <t>Unknown</t>
        </is>
      </c>
      <c r="D134" s="31" t="inlineStr">
        <is>
          <t>Unknown</t>
        </is>
      </c>
      <c r="E134" s="31" t="inlineStr">
        <is>
          <t>Unknown</t>
        </is>
      </c>
      <c r="F134" s="31" t="inlineStr">
        <is>
          <t>Unknown</t>
        </is>
      </c>
    </row>
    <row r="135" ht="18" customHeight="1">
      <c r="A135" s="5" t="inlineStr">
        <is>
          <t>Traceability to architectural element</t>
        </is>
      </c>
      <c r="B135" s="31" t="inlineStr">
        <is>
          <t>Unknown</t>
        </is>
      </c>
      <c r="C135" s="31" t="inlineStr">
        <is>
          <t>Unknown</t>
        </is>
      </c>
      <c r="D135" s="31" t="inlineStr">
        <is>
          <t>Unknown</t>
        </is>
      </c>
      <c r="E135" s="31" t="inlineStr">
        <is>
          <t>Unknown</t>
        </is>
      </c>
      <c r="F135" s="31" t="inlineStr">
        <is>
          <t>Unknown</t>
        </is>
      </c>
    </row>
    <row r="136" ht="18" customHeight="1">
      <c r="A136" s="5" t="inlineStr">
        <is>
          <t>Documentation reference / guidance</t>
        </is>
      </c>
      <c r="B136" s="31" t="inlineStr">
        <is>
          <t>Unknown</t>
        </is>
      </c>
      <c r="C136" s="31" t="inlineStr">
        <is>
          <t>Unknown</t>
        </is>
      </c>
      <c r="D136" s="31" t="inlineStr">
        <is>
          <t>Unknown</t>
        </is>
      </c>
      <c r="E136" s="31" t="inlineStr">
        <is>
          <t>Unknown</t>
        </is>
      </c>
      <c r="F136" s="31" t="inlineStr">
        <is>
          <t>Unknown</t>
        </is>
      </c>
    </row>
    <row r="137" ht="18" customHeight="1">
      <c r="A137" s="5" t="inlineStr">
        <is>
          <t>Severity &amp; likelihood scoring</t>
        </is>
      </c>
      <c r="B137" s="31" t="inlineStr">
        <is>
          <t>Unknown</t>
        </is>
      </c>
      <c r="C137" s="31" t="inlineStr">
        <is>
          <t>Unknown</t>
        </is>
      </c>
      <c r="D137" s="31" t="inlineStr">
        <is>
          <t>Unknown</t>
        </is>
      </c>
      <c r="E137" s="31" t="inlineStr">
        <is>
          <t>Unknown</t>
        </is>
      </c>
      <c r="F137" s="31" t="inlineStr">
        <is>
          <t>Unknown</t>
        </is>
      </c>
    </row>
    <row r="138" ht="18" customHeight="1">
      <c r="A138" s="5" t="inlineStr">
        <is>
          <t>Threat-to-requirement mapping</t>
        </is>
      </c>
      <c r="B138" s="31" t="inlineStr">
        <is>
          <t>Unknown</t>
        </is>
      </c>
      <c r="C138" s="31" t="inlineStr">
        <is>
          <t>Unknown</t>
        </is>
      </c>
      <c r="D138" s="31" t="inlineStr">
        <is>
          <t>Unknown</t>
        </is>
      </c>
      <c r="E138" s="31" t="inlineStr">
        <is>
          <t>Unknown</t>
        </is>
      </c>
      <c r="F138" s="31" t="inlineStr">
        <is>
          <t>Unknown</t>
        </is>
      </c>
    </row>
    <row r="139" ht="18" customHeight="1">
      <c r="A139" s="5" t="inlineStr">
        <is>
          <t>Cross-checking / deduplication</t>
        </is>
      </c>
      <c r="B139" s="31" t="inlineStr">
        <is>
          <t>Unknown</t>
        </is>
      </c>
      <c r="C139" s="31" t="inlineStr">
        <is>
          <t>Unknown</t>
        </is>
      </c>
      <c r="D139" s="31" t="inlineStr">
        <is>
          <t>Unknown</t>
        </is>
      </c>
      <c r="E139" s="31" t="inlineStr">
        <is>
          <t>Unknown</t>
        </is>
      </c>
      <c r="F139" s="31" t="inlineStr">
        <is>
          <t>Unknown</t>
        </is>
      </c>
    </row>
    <row r="140">
      <c r="A140" s="6" t="inlineStr">
        <is>
          <t>Feature Completeness</t>
        </is>
      </c>
      <c r="B140" s="5" t="n">
        <f>IFERROR(COUNTIF(B126:B139,"Native")+COUNTIF(B126:B139,"External/Manual")+COUNTIF(B126:B139,"Prompt-supported"),"N/A")</f>
        <v>0</v>
      </c>
      <c r="C140" s="5" t="n">
        <f>IFERROR(COUNTIF(C126:C139,"Native")+COUNTIF(C126:C139,"External/Manual")+COUNTIF(C126:C139,"Prompt-supported"),"N/A")</f>
        <v>0</v>
      </c>
      <c r="D140" s="5" t="n">
        <f>IFERROR(COUNTIF(D126:D139,"Native")+COUNTIF(D126:D139,"External/Manual")+COUNTIF(D126:D139,"Prompt-supported"),"N/A")</f>
        <v>0</v>
      </c>
      <c r="E140" s="5" t="n">
        <f>IFERROR(COUNTIF(E126:E139,"Native")+COUNTIF(E126:E139,"External/Manual")+COUNTIF(E126:E139,"Prompt-supported"),"N/A")</f>
        <v>0</v>
      </c>
      <c r="F140" s="5" t="n">
        <f>IFERROR(COUNTIF(F126:F139,"Native")+COUNTIF(F126:F139,"External/Manual")+COUNTIF(F126:F139,"Prompt-supported"),"N/A")</f>
        <v>0</v>
      </c>
    </row>
    <row r="142">
      <c r="A142" s="29" t="inlineStr">
        <is>
          <t>Table 12 — MCDM ranking (decision-support synthesis)</t>
        </is>
      </c>
    </row>
    <row r="143">
      <c r="A143" s="20" t="inlineStr">
        <is>
          <t>Weights fixed a priori: Precision 30%, Recall 30%, Grounding 20%, Feature Completeness 20%. Grounding &amp; Feature Completeness are N/A, so the Overall Score = N/A. This is decision-support, NOT a statistical metric.</t>
        </is>
      </c>
    </row>
    <row r="144">
      <c r="A144" s="4" t="inlineStr">
        <is>
          <t>Approach</t>
        </is>
      </c>
      <c r="B144" s="4" t="inlineStr">
        <is>
          <t>Precision (30%)</t>
        </is>
      </c>
      <c r="C144" s="4" t="inlineStr">
        <is>
          <t>Recall (30%)</t>
        </is>
      </c>
      <c r="D144" s="4" t="inlineStr">
        <is>
          <t>Grounding (20%)</t>
        </is>
      </c>
      <c r="E144" s="4" t="inlineStr">
        <is>
          <t>Feature Completeness (20%)</t>
        </is>
      </c>
      <c r="F144" s="4" t="inlineStr">
        <is>
          <t>Overall Score</t>
        </is>
      </c>
    </row>
    <row r="145">
      <c r="A145" s="5" t="inlineStr">
        <is>
          <t>OWASP Threat Dragon</t>
        </is>
      </c>
      <c r="B145" s="25" t="n">
        <f>IFERROR(SUMIFS('05_TP_FP_FN'!$E$5:$E$19,'05_TP_FP_FN'!$A$5:$A$19,"OWASP")/(SUMIFS('05_TP_FP_FN'!$E$5:$E$19,'05_TP_FP_FN'!$A$5:$A$19,"OWASP")+SUMIFS('05_TP_FP_FN'!$F$5:$F$19,'05_TP_FP_FN'!$A$5:$A$19,"OWASP")),"")</f>
        <v>0.19387755102040816</v>
      </c>
      <c r="C145" s="25" t="n">
        <f>IFERROR(SUMIFS('05_TP_FP_FN'!$E$5:$E$19,'05_TP_FP_FN'!$A$5:$A$19,"OWASP")/SUMIFS('05_TP_FP_FN'!$D$5:$D$19,'05_TP_FP_FN'!$A$5:$A$19,"OWASP"),"")</f>
        <v>0.19387755102040816</v>
      </c>
      <c r="D145" s="30" t="inlineStr">
        <is>
          <t>N/A</t>
        </is>
      </c>
      <c r="E145" s="30" t="inlineStr">
        <is>
          <t>N/A</t>
        </is>
      </c>
      <c r="F145" s="30" t="inlineStr">
        <is>
          <t>N/A - DATA NOT AVAILABLE</t>
        </is>
      </c>
    </row>
    <row r="146">
      <c r="A146" s="5" t="inlineStr">
        <is>
          <t>Microsoft Threat Modeling Tool</t>
        </is>
      </c>
      <c r="B146" s="25" t="n">
        <f>IFERROR(SUMIFS('05_TP_FP_FN'!$E$5:$E$19,'05_TP_FP_FN'!$A$5:$A$19,"TMT")/(SUMIFS('05_TP_FP_FN'!$E$5:$E$19,'05_TP_FP_FN'!$A$5:$A$19,"TMT")+SUMIFS('05_TP_FP_FN'!$F$5:$F$19,'05_TP_FP_FN'!$A$5:$A$19,"TMT")),"")</f>
        <v>0.11244979919678715</v>
      </c>
      <c r="C146" s="25" t="n">
        <f>IFERROR(SUMIFS('05_TP_FP_FN'!$E$5:$E$19,'05_TP_FP_FN'!$A$5:$A$19,"TMT")/SUMIFS('05_TP_FP_FN'!$D$5:$D$19,'05_TP_FP_FN'!$A$5:$A$19,"TMT"),"")</f>
        <v>0.2857142857142857</v>
      </c>
      <c r="D146" s="30" t="inlineStr">
        <is>
          <t>N/A</t>
        </is>
      </c>
      <c r="E146" s="30" t="inlineStr">
        <is>
          <t>N/A</t>
        </is>
      </c>
      <c r="F146" s="30" t="inlineStr">
        <is>
          <t>N/A - DATA NOT AVAILABLE</t>
        </is>
      </c>
    </row>
    <row r="147">
      <c r="A147" s="5" t="inlineStr">
        <is>
          <t>ChatGPT</t>
        </is>
      </c>
      <c r="B147" s="25" t="n">
        <f>IFERROR(SUMIFS('05_TP_FP_FN'!$E$5:$E$19,'05_TP_FP_FN'!$A$5:$A$19,"CHATGPT")/(SUMIFS('05_TP_FP_FN'!$E$5:$E$19,'05_TP_FP_FN'!$A$5:$A$19,"CHATGPT")+SUMIFS('05_TP_FP_FN'!$F$5:$F$19,'05_TP_FP_FN'!$A$5:$A$19,"CHATGPT")),"")</f>
        <v>0.47706422018348627</v>
      </c>
      <c r="C147" s="25" t="n">
        <f>IFERROR(SUMIFS('05_TP_FP_FN'!$E$5:$E$19,'05_TP_FP_FN'!$A$5:$A$19,"CHATGPT")/SUMIFS('05_TP_FP_FN'!$D$5:$D$19,'05_TP_FP_FN'!$A$5:$A$19,"CHATGPT"),"")</f>
        <v>0.5306122448979592</v>
      </c>
      <c r="D147" s="30" t="inlineStr">
        <is>
          <t>N/A</t>
        </is>
      </c>
      <c r="E147" s="30" t="inlineStr">
        <is>
          <t>N/A</t>
        </is>
      </c>
      <c r="F147" s="30" t="inlineStr">
        <is>
          <t>N/A - DATA NOT AVAILABLE</t>
        </is>
      </c>
    </row>
    <row r="148">
      <c r="A148" s="5" t="inlineStr">
        <is>
          <t>Ollama (local LLM)</t>
        </is>
      </c>
      <c r="B148" s="25" t="n">
        <f>IFERROR(SUMIFS('05_TP_FP_FN'!$E$5:$E$19,'05_TP_FP_FN'!$A$5:$A$19,"OLLAMA")/(SUMIFS('05_TP_FP_FN'!$E$5:$E$19,'05_TP_FP_FN'!$A$5:$A$19,"OLLAMA")+SUMIFS('05_TP_FP_FN'!$F$5:$F$19,'05_TP_FP_FN'!$A$5:$A$19,"OLLAMA")),"")</f>
        <v>0.30303030303030304</v>
      </c>
      <c r="C148" s="25" t="n">
        <f>IFERROR(SUMIFS('05_TP_FP_FN'!$E$5:$E$19,'05_TP_FP_FN'!$A$5:$A$19,"OLLAMA")/SUMIFS('05_TP_FP_FN'!$D$5:$D$19,'05_TP_FP_FN'!$A$5:$A$19,"OLLAMA"),"")</f>
        <v>0.20408163265306123</v>
      </c>
      <c r="D148" s="30" t="inlineStr">
        <is>
          <t>N/A</t>
        </is>
      </c>
      <c r="E148" s="30" t="inlineStr">
        <is>
          <t>N/A</t>
        </is>
      </c>
      <c r="F148" s="30" t="inlineStr">
        <is>
          <t>N/A - DATA NOT AVAILABLE</t>
        </is>
      </c>
    </row>
    <row r="149">
      <c r="A149" s="5" t="inlineStr">
        <is>
          <t>ThreMoLIA</t>
        </is>
      </c>
      <c r="B149" s="25" t="n">
        <f>IFERROR(SUMIFS('05_TP_FP_FN'!$E$5:$E$19,'05_TP_FP_FN'!$A$5:$A$19,"THREMOLIA")/(SUMIFS('05_TP_FP_FN'!$E$5:$E$19,'05_TP_FP_FN'!$A$5:$A$19,"THREMOLIA")+SUMIFS('05_TP_FP_FN'!$F$5:$F$19,'05_TP_FP_FN'!$A$5:$A$19,"THREMOLIA")),"")</f>
        <v>0.42073170731707316</v>
      </c>
      <c r="C149" s="25" t="n">
        <f>IFERROR(SUMIFS('05_TP_FP_FN'!$E$5:$E$19,'05_TP_FP_FN'!$A$5:$A$19,"THREMOLIA")/SUMIFS('05_TP_FP_FN'!$D$5:$D$19,'05_TP_FP_FN'!$A$5:$A$19,"THREMOLIA"),"")</f>
        <v>0.7040816326530612</v>
      </c>
      <c r="D149" s="30" t="inlineStr">
        <is>
          <t>N/A</t>
        </is>
      </c>
      <c r="E149" s="30" t="inlineStr">
        <is>
          <t>N/A</t>
        </is>
      </c>
      <c r="F149" s="30" t="inlineStr">
        <is>
          <t>N/A - DATA NOT AVAILABLE</t>
        </is>
      </c>
    </row>
    <row r="152">
      <c r="A152" s="29" t="inlineStr">
        <is>
          <t>END OF THESIS TABLES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0"/>
  <sheetViews>
    <sheetView workbookViewId="0">
      <selection activeCell="A1" sqref="A1"/>
    </sheetView>
  </sheetViews>
  <sheetFormatPr baseColWidth="8" defaultRowHeight="15" outlineLevelCol="0"/>
  <cols>
    <col width="10" customWidth="1" min="1" max="1"/>
    <col width="52" customWidth="1" min="2" max="2"/>
    <col width="16" customWidth="1" min="3" max="3"/>
    <col width="16" customWidth="1" min="4" max="4"/>
    <col width="14" customWidth="1" min="5" max="5"/>
    <col width="44" customWidth="1" min="6" max="6"/>
  </cols>
  <sheetData>
    <row r="1">
      <c r="A1" s="1" t="inlineStr">
        <is>
          <t>Data Quality &amp; Audit Checks</t>
        </is>
      </c>
    </row>
    <row r="2">
      <c r="A2" s="2" t="inlineStr">
        <is>
          <t>Checks against the authoritative expected values. Status is a live formula: PASS when the actual matches expectation, FAIL when it does not, WARNING for items requiring human review. All expected values come from the specification you supplied.</t>
        </is>
      </c>
    </row>
    <row r="4">
      <c r="A4" s="4" t="inlineStr">
        <is>
          <t>Check ID</t>
        </is>
      </c>
      <c r="B4" s="4" t="inlineStr">
        <is>
          <t>Check</t>
        </is>
      </c>
      <c r="C4" s="4" t="inlineStr">
        <is>
          <t>Expected</t>
        </is>
      </c>
      <c r="D4" s="4" t="inlineStr">
        <is>
          <t>Actual</t>
        </is>
      </c>
      <c r="E4" s="4" t="inlineStr">
        <is>
          <t>Status</t>
        </is>
      </c>
      <c r="F4" s="4" t="inlineStr">
        <is>
          <t>Notes</t>
        </is>
      </c>
    </row>
    <row r="5" ht="30" customHeight="1">
      <c r="A5" s="5" t="inlineStr">
        <is>
          <t>DQ-01</t>
        </is>
      </c>
      <c r="B5" s="5" t="inlineStr">
        <is>
          <t>Total generated findings</t>
        </is>
      </c>
      <c r="C5" s="5" t="n">
        <v>1025</v>
      </c>
      <c r="D5" s="5" t="n">
        <f>COUNTA('03_RAW_FINDINGS'!$A$2:$A$1026)</f>
        <v>1025.0</v>
      </c>
      <c r="E5" s="5" t="str">
        <f>IF(D5=1025,"PASS","FAIL")</f>
        <v>PASS</v>
      </c>
      <c r="F5" s="7" t="inlineStr">
        <is>
          <t>Count of rows in 03/04. Must equal 1,025.</t>
        </is>
      </c>
    </row>
    <row r="6" ht="30" customHeight="1">
      <c r="A6" s="5" t="inlineStr">
        <is>
          <t>DQ-02</t>
        </is>
      </c>
      <c r="B6" s="5" t="inlineStr">
        <is>
          <t>Findings for OWASP</t>
        </is>
      </c>
      <c r="C6" s="5" t="n">
        <v>123</v>
      </c>
      <c r="D6" s="5" t="n">
        <f>COUNTIF('04_MATCHING'!$B$2:$B$1026,"OWASP")</f>
        <v>123.0</v>
      </c>
      <c r="E6" s="5" t="str">
        <f>IF(D6=123,"PASS","FAIL")</f>
        <v>PASS</v>
      </c>
      <c r="F6" s="7" t="inlineStr">
        <is>
          <t>Approach totals across all scenarios.</t>
        </is>
      </c>
    </row>
    <row r="7" ht="30" customHeight="1">
      <c r="A7" s="5" t="inlineStr">
        <is>
          <t>DQ-03</t>
        </is>
      </c>
      <c r="B7" s="5" t="inlineStr">
        <is>
          <t>Findings for TMT</t>
        </is>
      </c>
      <c r="C7" s="5" t="n">
        <v>301</v>
      </c>
      <c r="D7" s="5" t="n">
        <f>COUNTIF('04_MATCHING'!$B$2:$B$1026,"TMT")</f>
        <v>301.0</v>
      </c>
      <c r="E7" s="5" t="str">
        <f>IF(D7=301,"PASS","FAIL")</f>
        <v>PASS</v>
      </c>
      <c r="F7" s="7" t="inlineStr">
        <is>
          <t>Approach totals across all scenarios.</t>
        </is>
      </c>
    </row>
    <row r="8" ht="30" customHeight="1">
      <c r="A8" s="5" t="inlineStr">
        <is>
          <t>DQ-04</t>
        </is>
      </c>
      <c r="B8" s="5" t="inlineStr">
        <is>
          <t>Findings for CHATGPT</t>
        </is>
      </c>
      <c r="C8" s="5" t="n">
        <v>181</v>
      </c>
      <c r="D8" s="5" t="n">
        <f>COUNTIF('04_MATCHING'!$B$2:$B$1026,"CHATGPT")</f>
        <v>181.0</v>
      </c>
      <c r="E8" s="5" t="str">
        <f>IF(D8=181,"PASS","FAIL")</f>
        <v>PASS</v>
      </c>
      <c r="F8" s="7" t="inlineStr">
        <is>
          <t>Approach totals across all scenarios.</t>
        </is>
      </c>
    </row>
    <row r="9" ht="30" customHeight="1">
      <c r="A9" s="5" t="inlineStr">
        <is>
          <t>DQ-05</t>
        </is>
      </c>
      <c r="B9" s="5" t="inlineStr">
        <is>
          <t>Findings for OLLAMA</t>
        </is>
      </c>
      <c r="C9" s="5" t="n">
        <v>92</v>
      </c>
      <c r="D9" s="5" t="n">
        <f>COUNTIF('04_MATCHING'!$B$2:$B$1026,"OLLAMA")</f>
        <v>92.0</v>
      </c>
      <c r="E9" s="5" t="str">
        <f>IF(D9=92,"PASS","FAIL")</f>
        <v>PASS</v>
      </c>
      <c r="F9" s="7" t="inlineStr">
        <is>
          <t>Approach totals across all scenarios.</t>
        </is>
      </c>
    </row>
    <row r="10" ht="30" customHeight="1">
      <c r="A10" s="5" t="inlineStr">
        <is>
          <t>DQ-06</t>
        </is>
      </c>
      <c r="B10" s="5" t="inlineStr">
        <is>
          <t>Findings for THREMOLIA</t>
        </is>
      </c>
      <c r="C10" s="5" t="n">
        <v>328</v>
      </c>
      <c r="D10" s="5" t="n">
        <f>COUNTIF('04_MATCHING'!$B$2:$B$1026,"THREMOLIA")</f>
        <v>328.0</v>
      </c>
      <c r="E10" s="5" t="str">
        <f>IF(D10=328,"PASS","FAIL")</f>
        <v>PASS</v>
      </c>
      <c r="F10" s="7" t="inlineStr">
        <is>
          <t>Approach totals across all scenarios.</t>
        </is>
      </c>
    </row>
    <row r="11" ht="30" customHeight="1">
      <c r="A11" s="5" t="inlineStr">
        <is>
          <t>DQ-07</t>
        </is>
      </c>
      <c r="B11" s="5" t="inlineStr">
        <is>
          <t>Reference threats in S1</t>
        </is>
      </c>
      <c r="C11" s="5" t="n">
        <v>32</v>
      </c>
      <c r="D11" s="5" t="n">
        <f>COUNTIFS('02_REFERENCE'!$B$2:$B$99,"S1",'02_REFERENCE'!$S$2:$S$99,"YES")</f>
        <v>32.0</v>
      </c>
      <c r="E11" s="5" t="str">
        <f>IF(D11=32,"PASS","FAIL")</f>
        <v>PASS</v>
      </c>
      <c r="F11" s="7" t="inlineStr">
        <is>
          <t>Reference threats with Include=YES.</t>
        </is>
      </c>
    </row>
    <row r="12" ht="30" customHeight="1">
      <c r="A12" s="5" t="inlineStr">
        <is>
          <t>DQ-08</t>
        </is>
      </c>
      <c r="B12" s="5" t="inlineStr">
        <is>
          <t>Reference threats in S2</t>
        </is>
      </c>
      <c r="C12" s="5" t="n">
        <v>33</v>
      </c>
      <c r="D12" s="5" t="n">
        <f>COUNTIFS('02_REFERENCE'!$B$2:$B$99,"S2",'02_REFERENCE'!$S$2:$S$99,"YES")</f>
        <v>33.0</v>
      </c>
      <c r="E12" s="5" t="str">
        <f>IF(D12=33,"PASS","FAIL")</f>
        <v>PASS</v>
      </c>
      <c r="F12" s="7" t="inlineStr">
        <is>
          <t>Reference threats with Include=YES.</t>
        </is>
      </c>
    </row>
    <row r="13" ht="30" customHeight="1">
      <c r="A13" s="5" t="inlineStr">
        <is>
          <t>DQ-09</t>
        </is>
      </c>
      <c r="B13" s="5" t="inlineStr">
        <is>
          <t>Reference threats in S3</t>
        </is>
      </c>
      <c r="C13" s="5" t="n">
        <v>33</v>
      </c>
      <c r="D13" s="5" t="n">
        <f>COUNTIFS('02_REFERENCE'!$B$2:$B$99,"S3",'02_REFERENCE'!$S$2:$S$99,"YES")</f>
        <v>33.0</v>
      </c>
      <c r="E13" s="5" t="str">
        <f>IF(D13=33,"PASS","FAIL")</f>
        <v>PASS</v>
      </c>
      <c r="F13" s="7" t="inlineStr">
        <is>
          <t>Reference threats with Include=YES.</t>
        </is>
      </c>
    </row>
    <row r="14" ht="30" customHeight="1">
      <c r="A14" s="5" t="inlineStr">
        <is>
          <t>DQ-10</t>
        </is>
      </c>
      <c r="B14" s="5" t="inlineStr">
        <is>
          <t>Total expert reference threats</t>
        </is>
      </c>
      <c r="C14" s="5" t="n">
        <v>98</v>
      </c>
      <c r="D14" s="5" t="n">
        <f>COUNTIF('02_REFERENCE'!$S$2:$S$99,"YES")</f>
        <v>98.0</v>
      </c>
      <c r="E14" s="5" t="str">
        <f>IF(D14=98,"PASS","FAIL")</f>
        <v>PASS</v>
      </c>
      <c r="F14" s="7" t="inlineStr">
        <is>
          <t>Sum of S1+S2+S3 reference threats.</t>
        </is>
      </c>
    </row>
    <row r="15" ht="30" customHeight="1">
      <c r="A15" s="5" t="inlineStr">
        <is>
          <t>DQ-11</t>
        </is>
      </c>
      <c r="B15" s="5" t="inlineStr">
        <is>
          <t>Duplicate Finding IDs</t>
        </is>
      </c>
      <c r="C15" s="5" t="n">
        <v>0</v>
      </c>
      <c r="D15" s="5" t="n">
        <f>SUMPRODUCT((COUNTIF('04_MATCHING'!$A$2:$A$1026,'04_MATCHING'!$A$2:$A$1026)&gt;1)*1)</f>
        <v>0</v>
      </c>
      <c r="E15" s="5" t="str">
        <f>IF(D15=0,"PASS","FAIL")</f>
        <v>PASS</v>
      </c>
      <c r="F15" s="7" t="inlineStr">
        <is>
          <t>Count of finding IDs appearing more than once.</t>
        </is>
      </c>
    </row>
    <row r="16" ht="30" customHeight="1">
      <c r="A16" s="5" t="inlineStr">
        <is>
          <t>DQ-12</t>
        </is>
      </c>
      <c r="B16" s="5" t="inlineStr">
        <is>
          <t>Missing Finding IDs</t>
        </is>
      </c>
      <c r="C16" s="5" t="n">
        <v>0</v>
      </c>
      <c r="D16" s="5" t="n">
        <f>SUMPRODUCT(('04_MATCHING'!$A$2:$A$1026="")*1)</f>
        <v>0</v>
      </c>
      <c r="E16" s="5" t="str">
        <f>IF(D16=0,"PASS","FAIL")</f>
        <v>PASS</v>
      </c>
      <c r="F16" s="7" t="inlineStr">
        <is>
          <t>Blank Finding ID count.</t>
        </is>
      </c>
    </row>
    <row r="17" ht="30" customHeight="1">
      <c r="A17" s="5" t="inlineStr">
        <is>
          <t>DQ-13</t>
        </is>
      </c>
      <c r="B17" s="5" t="inlineStr">
        <is>
          <t>Invalid Scenario values</t>
        </is>
      </c>
      <c r="C17" s="5" t="n">
        <v>0</v>
      </c>
      <c r="D17" s="5" t="n">
        <f>SUMPRODUCT(--ISNA(MATCH('04_MATCHING'!$C$2:$C$1026,{"S1","S2","S3"},0)))</f>
        <v>0</v>
      </c>
      <c r="E17" s="5" t="str">
        <f>IF(D17=0,"PASS","FAIL")</f>
        <v>PASS</v>
      </c>
      <c r="F17" s="7" t="inlineStr">
        <is>
          <t>Rows whose scenario is not S1/S2/S3.</t>
        </is>
      </c>
    </row>
    <row r="18" ht="30" customHeight="1">
      <c r="A18" s="5" t="inlineStr">
        <is>
          <t>DQ-14</t>
        </is>
      </c>
      <c r="B18" s="5" t="inlineStr">
        <is>
          <t>Invalid Approach values</t>
        </is>
      </c>
      <c r="C18" s="5" t="n">
        <v>0</v>
      </c>
      <c r="D18" s="5" t="n">
        <f>SUMPRODUCT(--ISNA(MATCH('04_MATCHING'!$B$2:$B$1026,{"OWASP","TMT","CHATGPT","OLLAMA","THREMOLIA"},0)))</f>
        <v>0</v>
      </c>
      <c r="E18" s="5" t="str">
        <f>IF(D18=0,"PASS","FAIL")</f>
        <v>PASS</v>
      </c>
      <c r="F18" s="7" t="inlineStr">
        <is>
          <t>Rows whose approach is not one of the five.</t>
        </is>
      </c>
    </row>
    <row r="19" ht="30" customHeight="1">
      <c r="A19" s="5" t="inlineStr">
        <is>
          <t>DQ-15</t>
        </is>
      </c>
      <c r="B19" s="5" t="inlineStr">
        <is>
          <t>Reference IDs outside the expert baseline</t>
        </is>
      </c>
      <c r="C19" s="5" t="n">
        <v>0</v>
      </c>
      <c r="D19" s="5" t="n">
        <f>SUMPRODUCT((('04_MATCHING'!$G$2:$G$1026&lt;&gt;"")*(ISNA(MATCH('04_MATCHING'!$G$2:$G$1026,'02_REFERENCE'!$A$2:$A$99,0))*1)))</f>
        <v>0</v>
      </c>
      <c r="E19" s="5" t="str">
        <f>IF(D19=0,"PASS","FAIL")</f>
        <v>PASS</v>
      </c>
      <c r="F19" s="7" t="inlineStr">
        <is>
          <t>TP/Duplicate rows whose Reference Threat ID is not present in 02_REFERENCE.</t>
        </is>
      </c>
    </row>
    <row r="20" ht="30" customHeight="1">
      <c r="A20" s="5" t="inlineStr">
        <is>
          <t>DQ-16</t>
        </is>
      </c>
      <c r="B20" s="5" t="inlineStr">
        <is>
          <t>Consistency: match_type vs TP/FP vs primary</t>
        </is>
      </c>
      <c r="C20" s="5" t="n">
        <v>0</v>
      </c>
      <c r="D20" s="5" t="n">
        <f>SUMPRODUCT((('04_MATCHING'!$H$2:$H$1026="False Positive")*('04_MATCHING'!$I$2:$I$1026&lt;&gt;"FP"))*1+(('04_MATCHING'!$H$2:$H$1026&lt;&gt;"False Positive")*('04_MATCHING'!$I$2:$I$1026&lt;&gt;"TP"))*1)</f>
        <v>0</v>
      </c>
      <c r="E20" s="5" t="str">
        <f>IF(D20=0,"PASS","FAIL")</f>
        <v>PASS</v>
      </c>
      <c r="F20" s="7" t="inlineStr">
        <is>
          <t>False Positive rows must be FP; all other rows must be TP.</t>
        </is>
      </c>
    </row>
    <row r="21" ht="30" customHeight="1">
      <c r="A21" s="5" t="inlineStr">
        <is>
          <t>DQ-17</t>
        </is>
      </c>
      <c r="B21" s="5" t="inlineStr">
        <is>
          <t>Findings missing match classification</t>
        </is>
      </c>
      <c r="C21" s="5" t="n">
        <v>0</v>
      </c>
      <c r="D21" s="5" t="n">
        <f>SUMPRODUCT(('04_MATCHING'!$H$2:$H$1026="")*1)</f>
        <v>0</v>
      </c>
      <c r="E21" s="5" t="str">
        <f>IF(D21=0,"PASS","WARNING")</f>
        <v>PASS</v>
      </c>
      <c r="F21" s="7" t="inlineStr">
        <is>
          <t>Blank Match Type.</t>
        </is>
      </c>
    </row>
    <row r="22" ht="30" customHeight="1">
      <c r="A22" s="5" t="inlineStr">
        <is>
          <t>DQ-18</t>
        </is>
      </c>
      <c r="B22" s="5" t="inlineStr">
        <is>
          <t>References with &gt;1 Primary TP within Approach x Scenario</t>
        </is>
      </c>
      <c r="C22" s="5" t="n">
        <v>0</v>
      </c>
      <c r="D22" s="5" t="n">
        <f>SUMPRODUCT((COUNTIFS('04_MATCHING'!$B$2:$B$1026,'04_MATCHING'!$B$2:$B$1026,'04_MATCHING'!$C$2:$C$1026,'04_MATCHING'!$C$2:$C$1026,'04_MATCHING'!$G$2:$G$1026,'04_MATCHING'!$G$2:$G$1026,'04_MATCHING'!$H$2:$H$1026,"Primary TP")&gt;1)*('04_MATCHING'!$H$2:$H$1026="Primary TP"))</f>
        <v>0</v>
      </c>
      <c r="E22" s="5" t="str">
        <f>IF(D22=0,"PASS","FAIL")</f>
        <v>PASS</v>
      </c>
      <c r="F22" s="7" t="inlineStr">
        <is>
          <t>One-to-one rule: a reference must not produce more than one Primary TP in one Approach x Scenario.</t>
        </is>
      </c>
    </row>
    <row r="23" ht="30" customHeight="1">
      <c r="A23" s="5" t="inlineStr">
        <is>
          <t>DQ-19</t>
        </is>
      </c>
      <c r="B23" s="5" t="inlineStr">
        <is>
          <t>Primary TP rows with blank reference</t>
        </is>
      </c>
      <c r="C23" s="5" t="n">
        <v>0</v>
      </c>
      <c r="D23" s="5" t="n">
        <f>SUMPRODUCT((('04_MATCHING'!$H$2:$H$1026="Primary TP")*('04_MATCHING'!$G$2:$G$1026=""))*1)</f>
        <v>0</v>
      </c>
      <c r="E23" s="5" t="str">
        <f>IF(D23=0,"PASS","FAIL")</f>
        <v>PASS</v>
      </c>
      <c r="F23" s="7" t="inlineStr">
        <is>
          <t>Every Primary TP must reference a baseline threat.</t>
        </is>
      </c>
    </row>
    <row r="24" ht="30" customHeight="1">
      <c r="A24" s="5" t="inlineStr">
        <is>
          <t>DQ-20</t>
        </is>
      </c>
      <c r="B24" s="5" t="inlineStr">
        <is>
          <t>False Positive rows carrying a reference ID</t>
        </is>
      </c>
      <c r="C24" s="5" t="n">
        <v>0</v>
      </c>
      <c r="D24" s="5" t="n">
        <f>SUMPRODUCT((('04_MATCHING'!$H$2:$H$1026="False Positive")*('04_MATCHING'!$G$2:$G$1026&lt;&gt;""))*1)</f>
        <v>0</v>
      </c>
      <c r="E24" s="5" t="str">
        <f>IF(D24=0,"PASS","FAIL")</f>
        <v>PASS</v>
      </c>
      <c r="F24" s="7" t="inlineStr">
        <is>
          <t>FP findings should not be mapped to a reference (they are non-matches).</t>
        </is>
      </c>
    </row>
    <row r="25" ht="30" customHeight="1">
      <c r="A25" s="5" t="inlineStr">
        <is>
          <t>DQ-21</t>
        </is>
      </c>
      <c r="B25" s="5" t="inlineStr">
        <is>
          <t>Duplicate_Of not pointing to an existing Finding ID</t>
        </is>
      </c>
      <c r="C25" s="5" t="n">
        <v>0</v>
      </c>
      <c r="D25" s="5" t="n">
        <f>SUMPRODUCT(('04_MATCHING'!$M$2:$M$1026&lt;&gt;"")*(ISNA(MATCH('04_MATCHING'!$M$2:$M$1026,'04_MATCHING'!$A$2:$A$1026,0))))</f>
        <v>0</v>
      </c>
      <c r="E25" s="5" t="str">
        <f>IF(D25=0,"PASS","FAIL")</f>
        <v>PASS</v>
      </c>
      <c r="F25" s="7" t="inlineStr">
        <is>
          <t>Duplicate-of target must be an existing finding ID (primary-TP lineage verified in audit).</t>
        </is>
      </c>
    </row>
    <row r="26" ht="30" customHeight="1">
      <c r="A26" s="5" t="inlineStr">
        <is>
          <t>DQ-22</t>
        </is>
      </c>
      <c r="B26" s="5" t="inlineStr">
        <is>
          <t>Invalid STRIDE in reference baseline</t>
        </is>
      </c>
      <c r="C26" s="5" t="n">
        <v>0</v>
      </c>
      <c r="D26" s="5" t="n">
        <f>SUMPRODUCT(--ISNA(MATCH('02_REFERENCE'!$D$2:$D$99,{"Spoofing","Tampering","Repudiation","Information Disclosure","Denial of Service","Elevation of Privilege"},0)))</f>
        <v>0</v>
      </c>
      <c r="E26" s="5" t="str">
        <f>IF(D26=0,"PASS","FAIL")</f>
        <v>PASS</v>
      </c>
      <c r="F26" s="7" t="inlineStr">
        <is>
          <t>All six STRIDE categories valid in 02_REFERENCE.</t>
        </is>
      </c>
    </row>
    <row r="27" ht="30" customHeight="1">
      <c r="A27" s="5" t="inlineStr">
        <is>
          <t>DQ-23</t>
        </is>
      </c>
      <c r="B27" s="5" t="inlineStr">
        <is>
          <t>Per-scenario generated counts match architecture totals</t>
        </is>
      </c>
      <c r="C27" s="5" t="inlineStr">
        <is>
          <t>S1=351, S2=321, S3=353</t>
        </is>
      </c>
      <c r="D27" s="5" t="str">
        <f>"S1="&amp;COUNTIF('04_MATCHING'!$C$2:$C$1026,"S1")&amp;", S2="&amp;COUNTIF('04_MATCHING'!$C$2:$C$1026,"S2")&amp;", S3="&amp;COUNTIF('04_MATCHING'!$C$2:$C$1026,"S3")</f>
        <v>S1=351, S2=321, S3=353</v>
      </c>
      <c r="E27" s="5" t="str">
        <f>IF(D27="S1=351, S2=321, S3=353","PASS","FAIL")</f>
        <v>PASS</v>
      </c>
      <c r="F27" s="7" t="inlineStr">
        <is>
          <t>Verifies per-scenario generated counts.</t>
        </is>
      </c>
    </row>
    <row r="28" ht="30" customHeight="1">
      <c r="A28" s="5" t="inlineStr">
        <is>
          <t>DQ-24</t>
        </is>
      </c>
      <c r="B28" s="5" t="inlineStr">
        <is>
          <t>Required mapping columns populated</t>
        </is>
      </c>
      <c r="C28" s="5" t="inlineStr">
        <is>
          <t>Match Type / TP-FP / primary = 1025 each</t>
        </is>
      </c>
      <c r="D28" s="5" t="str">
        <f>COUNTA('04_MATCHING'!$H$2:$H$1026)&amp;" / "&amp;COUNTA('04_MATCHING'!$I$2:$I$1026)&amp;" / "&amp;COUNTA('04_MATCHING'!$K$2:$K$1026)</f>
        <v>1025 / 1025 / 1025</v>
      </c>
      <c r="E28" s="5" t="str">
        <f>IF(D28="1025 / 1025 / 1025","PASS","FAIL")</f>
        <v>PASS</v>
      </c>
      <c r="F28" s="7" t="inlineStr">
        <is>
          <t>Match Type, TP/FP and Primary columns must be fully populated for all 1,025 findings.</t>
        </is>
      </c>
    </row>
    <row r="29" ht="30" customHeight="1">
      <c r="A29" s="5" t="inlineStr">
        <is>
          <t>DQ-25</t>
        </is>
      </c>
      <c r="B29" s="5" t="inlineStr">
        <is>
          <t>Severity values outside {Critical, High, Medium}</t>
        </is>
      </c>
      <c r="C29" s="5" t="n">
        <v>0</v>
      </c>
      <c r="D29" s="5" t="n">
        <f>SUMPRODUCT(--ISNA(MATCH('02_REFERENCE'!$O$2:$O$99,{"Critical","High","Medium"},0)))</f>
        <v>0</v>
      </c>
      <c r="E29" s="5" t="str">
        <f>IF(D29=0,"PASS","FAIL")</f>
        <v>PASS</v>
      </c>
      <c r="F29" s="7" t="inlineStr">
        <is>
          <t>Only baseline severities used (no invented severity).</t>
        </is>
      </c>
    </row>
    <row r="30" ht="30" customHeight="1">
      <c r="A30" s="5" t="inlineStr">
        <is>
          <t>DQ-26</t>
        </is>
      </c>
      <c r="B30" s="5" t="inlineStr">
        <is>
          <t>Grounding annotation present</t>
        </is>
      </c>
      <c r="C30" s="5" t="inlineStr">
        <is>
          <t>Not provided -&gt; N/A</t>
        </is>
      </c>
      <c r="D30" s="5" t="str">
        <f>"N/A - DATA NOT AVAILABLE"</f>
        <v>N/A - DATA NOT AVAILABLE</v>
      </c>
      <c r="E30" s="5" t="str">
        <f>IF(D30="N/A - DATA NOT AVAILABLE","WARNING","PASS")</f>
        <v>WARNING</v>
      </c>
      <c r="F30" s="7" t="inlineStr">
        <is>
          <t>Per-finding grounding annotation was not supplied; 08_GROUNDING is N/A.</t>
        </is>
      </c>
    </row>
    <row r="31" ht="30" customHeight="1">
      <c r="A31" s="5" t="inlineStr">
        <is>
          <t>DQ-27</t>
        </is>
      </c>
      <c r="B31" s="5" t="inlineStr">
        <is>
          <t>Feature matrix complete (not all Unknown)</t>
        </is>
      </c>
      <c r="C31" s="5" t="inlineStr">
        <is>
          <t>Not complete -&gt; Unknown</t>
        </is>
      </c>
      <c r="D31" s="5" t="str">
        <f>IF(COUNTIF('12_FEATURES_MCDM'!$B$5:$B$18,"Unknown")=14,"All Unknown","Partial")</f>
        <v>All Unknown</v>
      </c>
      <c r="E31" s="5" t="str">
        <f>IF(D31="All Unknown","WARNING","PASS")</f>
        <v>WARNING</v>
      </c>
      <c r="F31" s="7" t="inlineStr">
        <is>
          <t>Feature/provenance coding requires documentation; all cells currently Unknown; MCDM composite = N/A.</t>
        </is>
      </c>
    </row>
    <row r="32" ht="30" customHeight="1">
      <c r="A32" s="5" t="inlineStr">
        <is>
          <t>DQ-28</t>
        </is>
      </c>
      <c r="B32" s="5" t="inlineStr">
        <is>
          <t>Checks that must be PASS before reporting</t>
        </is>
      </c>
      <c r="C32" s="5" t="inlineStr">
        <is>
          <t>All core checks PASS</t>
        </is>
      </c>
      <c r="D32" s="5" t="n">
        <f>COUNTIF($E$5:$E$31,"FAIL")</f>
        <v>0.0</v>
      </c>
      <c r="E32" s="5" t="str">
        <f>IF(D32=0,"PASS","WARNING")</f>
        <v>PASS</v>
      </c>
      <c r="F32" s="7" t="inlineStr">
        <is>
          <t>Count of FAIL statuses across the core data-quality checks. Any nonzero value means a discrepancy must be resolved before reporting.</t>
        </is>
      </c>
    </row>
    <row r="34">
      <c r="A34" s="29" t="inlineStr">
        <is>
          <t>MANUAL REVIEW LIST</t>
        </is>
      </c>
    </row>
    <row r="35">
      <c r="A35" s="20" t="inlineStr">
        <is>
          <t>The following items require human/analyst review before the workbook is used for final thesis results (generated from 04_MATCHING).</t>
        </is>
      </c>
    </row>
    <row r="36">
      <c r="A36" s="4" t="inlineStr">
        <is>
          <t>Finding ID</t>
        </is>
      </c>
      <c r="B36" s="4" t="inlineStr">
        <is>
          <t>Approach</t>
        </is>
      </c>
      <c r="C36" s="4" t="inlineStr">
        <is>
          <t>Scenario</t>
        </is>
      </c>
      <c r="D36" s="4" t="inlineStr">
        <is>
          <t>Match Type</t>
        </is>
      </c>
      <c r="E36" s="4" t="inlineStr">
        <is>
          <t>Confidence</t>
        </is>
      </c>
      <c r="F36" s="4" t="inlineStr">
        <is>
          <t>Reference</t>
        </is>
      </c>
      <c r="G36" s="4" t="inlineStr">
        <is>
          <t>Reason for review</t>
        </is>
      </c>
    </row>
    <row r="37">
      <c r="A37" s="5" t="inlineStr">
        <is>
          <t>CHATGPT-S1-F015</t>
        </is>
      </c>
      <c r="B37" s="5" t="inlineStr">
        <is>
          <t>CHATGPT</t>
        </is>
      </c>
      <c r="C37" s="5" t="inlineStr">
        <is>
          <t>S1</t>
        </is>
      </c>
      <c r="D37" s="5" t="inlineStr">
        <is>
          <t>Primary TP</t>
        </is>
      </c>
      <c r="E37" s="5" t="inlineStr">
        <is>
          <t>L</t>
        </is>
      </c>
      <c r="F37" s="5" t="inlineStr">
        <is>
          <t>S1-RT-029</t>
        </is>
      </c>
      <c r="G37" s="5" t="inlineStr">
        <is>
          <t>Low matching confidence</t>
        </is>
      </c>
    </row>
    <row r="38">
      <c r="A38" s="5" t="inlineStr">
        <is>
          <t>CHATGPT-S1-F020</t>
        </is>
      </c>
      <c r="B38" s="5" t="inlineStr">
        <is>
          <t>CHATGPT</t>
        </is>
      </c>
      <c r="C38" s="5" t="inlineStr">
        <is>
          <t>S1</t>
        </is>
      </c>
      <c r="D38" s="5" t="inlineStr">
        <is>
          <t>Primary TP</t>
        </is>
      </c>
      <c r="E38" s="5" t="inlineStr">
        <is>
          <t>L</t>
        </is>
      </c>
      <c r="F38" s="5" t="inlineStr">
        <is>
          <t>S1-RT-032</t>
        </is>
      </c>
      <c r="G38" s="5" t="inlineStr">
        <is>
          <t>Low matching confidence</t>
        </is>
      </c>
    </row>
    <row r="39">
      <c r="A39" s="5" t="inlineStr">
        <is>
          <t>CHATGPT-S1-F027</t>
        </is>
      </c>
      <c r="B39" s="5" t="inlineStr">
        <is>
          <t>CHATGPT</t>
        </is>
      </c>
      <c r="C39" s="5" t="inlineStr">
        <is>
          <t>S1</t>
        </is>
      </c>
      <c r="D39" s="5" t="inlineStr">
        <is>
          <t>Duplicate</t>
        </is>
      </c>
      <c r="E39" s="5" t="inlineStr">
        <is>
          <t>L</t>
        </is>
      </c>
      <c r="F39" s="5" t="inlineStr">
        <is>
          <t>S1-RT-025</t>
        </is>
      </c>
      <c r="G39" s="5" t="inlineStr">
        <is>
          <t>Low matching confidence</t>
        </is>
      </c>
    </row>
    <row r="40">
      <c r="A40" s="5" t="inlineStr">
        <is>
          <t>CHATGPT-S1-F028</t>
        </is>
      </c>
      <c r="B40" s="5" t="inlineStr">
        <is>
          <t>CHATGPT</t>
        </is>
      </c>
      <c r="C40" s="5" t="inlineStr">
        <is>
          <t>S1</t>
        </is>
      </c>
      <c r="D40" s="5" t="inlineStr">
        <is>
          <t>Duplicate</t>
        </is>
      </c>
      <c r="E40" s="5" t="inlineStr">
        <is>
          <t>L</t>
        </is>
      </c>
      <c r="F40" s="5" t="inlineStr">
        <is>
          <t>S1-RT-020</t>
        </is>
      </c>
      <c r="G40" s="5" t="inlineStr">
        <is>
          <t>Low matching confidence</t>
        </is>
      </c>
    </row>
    <row r="41">
      <c r="A41" s="5" t="inlineStr">
        <is>
          <t>CHATGPT-S1-F031</t>
        </is>
      </c>
      <c r="B41" s="5" t="inlineStr">
        <is>
          <t>CHATGPT</t>
        </is>
      </c>
      <c r="C41" s="5" t="inlineStr">
        <is>
          <t>S1</t>
        </is>
      </c>
      <c r="D41" s="5" t="inlineStr">
        <is>
          <t>Duplicate</t>
        </is>
      </c>
      <c r="E41" s="5" t="inlineStr">
        <is>
          <t>L</t>
        </is>
      </c>
      <c r="F41" s="5" t="inlineStr">
        <is>
          <t>S1-RT-004</t>
        </is>
      </c>
      <c r="G41" s="5" t="inlineStr">
        <is>
          <t>Low matching confidence</t>
        </is>
      </c>
    </row>
    <row r="42">
      <c r="A42" s="5" t="inlineStr">
        <is>
          <t>CHATGPT-S1-F032</t>
        </is>
      </c>
      <c r="B42" s="5" t="inlineStr">
        <is>
          <t>CHATGPT</t>
        </is>
      </c>
      <c r="C42" s="5" t="inlineStr">
        <is>
          <t>S1</t>
        </is>
      </c>
      <c r="D42" s="5" t="inlineStr">
        <is>
          <t>Duplicate</t>
        </is>
      </c>
      <c r="E42" s="5" t="inlineStr">
        <is>
          <t>L</t>
        </is>
      </c>
      <c r="F42" s="5" t="inlineStr">
        <is>
          <t>S1-RT-029</t>
        </is>
      </c>
      <c r="G42" s="5" t="inlineStr">
        <is>
          <t>Low matching confidence</t>
        </is>
      </c>
    </row>
    <row r="43">
      <c r="A43" s="5" t="inlineStr">
        <is>
          <t>CHATGPT-S1-F043</t>
        </is>
      </c>
      <c r="B43" s="5" t="inlineStr">
        <is>
          <t>CHATGPT</t>
        </is>
      </c>
      <c r="C43" s="5" t="inlineStr">
        <is>
          <t>S1</t>
        </is>
      </c>
      <c r="D43" s="5" t="inlineStr">
        <is>
          <t>Duplicate</t>
        </is>
      </c>
      <c r="E43" s="5" t="inlineStr">
        <is>
          <t>L</t>
        </is>
      </c>
      <c r="F43" s="5" t="inlineStr">
        <is>
          <t>S1-RT-020</t>
        </is>
      </c>
      <c r="G43" s="5" t="inlineStr">
        <is>
          <t>Low matching confidence</t>
        </is>
      </c>
    </row>
    <row r="44">
      <c r="A44" s="5" t="inlineStr">
        <is>
          <t>CHATGPT-S1-F047</t>
        </is>
      </c>
      <c r="B44" s="5" t="inlineStr">
        <is>
          <t>CHATGPT</t>
        </is>
      </c>
      <c r="C44" s="5" t="inlineStr">
        <is>
          <t>S1</t>
        </is>
      </c>
      <c r="D44" s="5" t="inlineStr">
        <is>
          <t>Duplicate</t>
        </is>
      </c>
      <c r="E44" s="5" t="inlineStr">
        <is>
          <t>L</t>
        </is>
      </c>
      <c r="F44" s="5" t="inlineStr">
        <is>
          <t>S1-RT-004</t>
        </is>
      </c>
      <c r="G44" s="5" t="inlineStr">
        <is>
          <t>Low matching confidence</t>
        </is>
      </c>
    </row>
    <row r="45">
      <c r="A45" s="5" t="inlineStr">
        <is>
          <t>CHATGPT-S1-F049</t>
        </is>
      </c>
      <c r="B45" s="5" t="inlineStr">
        <is>
          <t>CHATGPT</t>
        </is>
      </c>
      <c r="C45" s="5" t="inlineStr">
        <is>
          <t>S1</t>
        </is>
      </c>
      <c r="D45" s="5" t="inlineStr">
        <is>
          <t>Primary TP</t>
        </is>
      </c>
      <c r="E45" s="5" t="inlineStr">
        <is>
          <t>L</t>
        </is>
      </c>
      <c r="F45" s="5" t="inlineStr">
        <is>
          <t>S1-RT-033</t>
        </is>
      </c>
      <c r="G45" s="5" t="inlineStr">
        <is>
          <t>Low matching confidence</t>
        </is>
      </c>
    </row>
    <row r="46">
      <c r="A46" s="5" t="inlineStr">
        <is>
          <t>CHATGPT-S1-F053</t>
        </is>
      </c>
      <c r="B46" s="5" t="inlineStr">
        <is>
          <t>CHATGPT</t>
        </is>
      </c>
      <c r="C46" s="5" t="inlineStr">
        <is>
          <t>S1</t>
        </is>
      </c>
      <c r="D46" s="5" t="inlineStr">
        <is>
          <t>False Positive</t>
        </is>
      </c>
      <c r="E46" s="5" t="inlineStr">
        <is>
          <t>L</t>
        </is>
      </c>
      <c r="F46" s="5" t="inlineStr"/>
      <c r="G46" s="5" t="inlineStr">
        <is>
          <t>Low matching confidence</t>
        </is>
      </c>
    </row>
    <row r="47">
      <c r="A47" s="5" t="inlineStr">
        <is>
          <t>CHATGPT-S1-F058</t>
        </is>
      </c>
      <c r="B47" s="5" t="inlineStr">
        <is>
          <t>CHATGPT</t>
        </is>
      </c>
      <c r="C47" s="5" t="inlineStr">
        <is>
          <t>S1</t>
        </is>
      </c>
      <c r="D47" s="5" t="inlineStr">
        <is>
          <t>Duplicate</t>
        </is>
      </c>
      <c r="E47" s="5" t="inlineStr">
        <is>
          <t>L</t>
        </is>
      </c>
      <c r="F47" s="5" t="inlineStr">
        <is>
          <t>S1-RT-020</t>
        </is>
      </c>
      <c r="G47" s="5" t="inlineStr">
        <is>
          <t>Low matching confidence</t>
        </is>
      </c>
    </row>
    <row r="48">
      <c r="A48" s="5" t="inlineStr">
        <is>
          <t>CHATGPT-S1-F070</t>
        </is>
      </c>
      <c r="B48" s="5" t="inlineStr">
        <is>
          <t>CHATGPT</t>
        </is>
      </c>
      <c r="C48" s="5" t="inlineStr">
        <is>
          <t>S1</t>
        </is>
      </c>
      <c r="D48" s="5" t="inlineStr">
        <is>
          <t>Duplicate</t>
        </is>
      </c>
      <c r="E48" s="5" t="inlineStr">
        <is>
          <t>L</t>
        </is>
      </c>
      <c r="F48" s="5" t="inlineStr">
        <is>
          <t>S1-RT-004</t>
        </is>
      </c>
      <c r="G48" s="5" t="inlineStr">
        <is>
          <t>Low matching confidence</t>
        </is>
      </c>
    </row>
    <row r="49">
      <c r="A49" s="5" t="inlineStr">
        <is>
          <t>CHATGPT-S1-F072</t>
        </is>
      </c>
      <c r="B49" s="5" t="inlineStr">
        <is>
          <t>CHATGPT</t>
        </is>
      </c>
      <c r="C49" s="5" t="inlineStr">
        <is>
          <t>S1</t>
        </is>
      </c>
      <c r="D49" s="5" t="inlineStr">
        <is>
          <t>Duplicate</t>
        </is>
      </c>
      <c r="E49" s="5" t="inlineStr">
        <is>
          <t>L</t>
        </is>
      </c>
      <c r="F49" s="5" t="inlineStr">
        <is>
          <t>S1-RT-004</t>
        </is>
      </c>
      <c r="G49" s="5" t="inlineStr">
        <is>
          <t>Low matching confidence</t>
        </is>
      </c>
    </row>
    <row r="50">
      <c r="A50" s="5" t="inlineStr">
        <is>
          <t>OLLAMA-S1-F007</t>
        </is>
      </c>
      <c r="B50" s="5" t="inlineStr">
        <is>
          <t>OLLAMA</t>
        </is>
      </c>
      <c r="C50" s="5" t="inlineStr">
        <is>
          <t>S1</t>
        </is>
      </c>
      <c r="D50" s="5" t="inlineStr">
        <is>
          <t>Primary TP</t>
        </is>
      </c>
      <c r="E50" s="5" t="inlineStr">
        <is>
          <t>L</t>
        </is>
      </c>
      <c r="F50" s="5" t="inlineStr">
        <is>
          <t>S1-RT-033</t>
        </is>
      </c>
      <c r="G50" s="5" t="inlineStr">
        <is>
          <t>Low matching confidence</t>
        </is>
      </c>
    </row>
    <row r="51">
      <c r="A51" s="5" t="inlineStr">
        <is>
          <t>OLLAMA-S1-F017</t>
        </is>
      </c>
      <c r="B51" s="5" t="inlineStr">
        <is>
          <t>OLLAMA</t>
        </is>
      </c>
      <c r="C51" s="5" t="inlineStr">
        <is>
          <t>S1</t>
        </is>
      </c>
      <c r="D51" s="5" t="inlineStr">
        <is>
          <t>Duplicate</t>
        </is>
      </c>
      <c r="E51" s="5" t="inlineStr">
        <is>
          <t>L</t>
        </is>
      </c>
      <c r="F51" s="5" t="inlineStr">
        <is>
          <t>S1-RT-033</t>
        </is>
      </c>
      <c r="G51" s="5" t="inlineStr">
        <is>
          <t>Low matching confidence</t>
        </is>
      </c>
    </row>
    <row r="52">
      <c r="A52" s="5" t="inlineStr">
        <is>
          <t>OLLAMA-S1-F020</t>
        </is>
      </c>
      <c r="B52" s="5" t="inlineStr">
        <is>
          <t>OLLAMA</t>
        </is>
      </c>
      <c r="C52" s="5" t="inlineStr">
        <is>
          <t>S1</t>
        </is>
      </c>
      <c r="D52" s="5" t="inlineStr">
        <is>
          <t>Primary TP</t>
        </is>
      </c>
      <c r="E52" s="5" t="inlineStr">
        <is>
          <t>L</t>
        </is>
      </c>
      <c r="F52" s="5" t="inlineStr">
        <is>
          <t>S1-RT-018</t>
        </is>
      </c>
      <c r="G52" s="5" t="inlineStr">
        <is>
          <t>Low matching confidence</t>
        </is>
      </c>
    </row>
    <row r="53">
      <c r="A53" s="5" t="inlineStr">
        <is>
          <t>THREMOLIA-S1-F008</t>
        </is>
      </c>
      <c r="B53" s="5" t="inlineStr">
        <is>
          <t>THREMOLIA</t>
        </is>
      </c>
      <c r="C53" s="5" t="inlineStr">
        <is>
          <t>S1</t>
        </is>
      </c>
      <c r="D53" s="5" t="inlineStr">
        <is>
          <t>Duplicate</t>
        </is>
      </c>
      <c r="E53" s="5" t="inlineStr">
        <is>
          <t>L</t>
        </is>
      </c>
      <c r="F53" s="5" t="inlineStr">
        <is>
          <t>S1-RT-014</t>
        </is>
      </c>
      <c r="G53" s="5" t="inlineStr">
        <is>
          <t>Low matching confidence</t>
        </is>
      </c>
    </row>
    <row r="54">
      <c r="A54" s="5" t="inlineStr">
        <is>
          <t>THREMOLIA-S1-F010</t>
        </is>
      </c>
      <c r="B54" s="5" t="inlineStr">
        <is>
          <t>THREMOLIA</t>
        </is>
      </c>
      <c r="C54" s="5" t="inlineStr">
        <is>
          <t>S1</t>
        </is>
      </c>
      <c r="D54" s="5" t="inlineStr">
        <is>
          <t>Duplicate</t>
        </is>
      </c>
      <c r="E54" s="5" t="inlineStr">
        <is>
          <t>L</t>
        </is>
      </c>
      <c r="F54" s="5" t="inlineStr">
        <is>
          <t>S1-RT-004</t>
        </is>
      </c>
      <c r="G54" s="5" t="inlineStr">
        <is>
          <t>Low matching confidence</t>
        </is>
      </c>
    </row>
    <row r="55">
      <c r="A55" s="5" t="inlineStr">
        <is>
          <t>THREMOLIA-S1-F020</t>
        </is>
      </c>
      <c r="B55" s="5" t="inlineStr">
        <is>
          <t>THREMOLIA</t>
        </is>
      </c>
      <c r="C55" s="5" t="inlineStr">
        <is>
          <t>S1</t>
        </is>
      </c>
      <c r="D55" s="5" t="inlineStr">
        <is>
          <t>Duplicate</t>
        </is>
      </c>
      <c r="E55" s="5" t="inlineStr">
        <is>
          <t>L</t>
        </is>
      </c>
      <c r="F55" s="5" t="inlineStr">
        <is>
          <t>S1-RT-014</t>
        </is>
      </c>
      <c r="G55" s="5" t="inlineStr">
        <is>
          <t>Low matching confidence</t>
        </is>
      </c>
    </row>
    <row r="56">
      <c r="A56" s="5" t="inlineStr">
        <is>
          <t>THREMOLIA-S1-F023</t>
        </is>
      </c>
      <c r="B56" s="5" t="inlineStr">
        <is>
          <t>THREMOLIA</t>
        </is>
      </c>
      <c r="C56" s="5" t="inlineStr">
        <is>
          <t>S1</t>
        </is>
      </c>
      <c r="D56" s="5" t="inlineStr">
        <is>
          <t>Primary TP</t>
        </is>
      </c>
      <c r="E56" s="5" t="inlineStr">
        <is>
          <t>L</t>
        </is>
      </c>
      <c r="F56" s="5" t="inlineStr">
        <is>
          <t>S1-RT-012</t>
        </is>
      </c>
      <c r="G56" s="5" t="inlineStr">
        <is>
          <t>Low matching confidence</t>
        </is>
      </c>
    </row>
    <row r="57">
      <c r="A57" s="5" t="inlineStr">
        <is>
          <t>THREMOLIA-S1-F028</t>
        </is>
      </c>
      <c r="B57" s="5" t="inlineStr">
        <is>
          <t>THREMOLIA</t>
        </is>
      </c>
      <c r="C57" s="5" t="inlineStr">
        <is>
          <t>S1</t>
        </is>
      </c>
      <c r="D57" s="5" t="inlineStr">
        <is>
          <t>Primary TP</t>
        </is>
      </c>
      <c r="E57" s="5" t="inlineStr">
        <is>
          <t>L</t>
        </is>
      </c>
      <c r="F57" s="5" t="inlineStr">
        <is>
          <t>S1-RT-034</t>
        </is>
      </c>
      <c r="G57" s="5" t="inlineStr">
        <is>
          <t>Low matching confidence</t>
        </is>
      </c>
    </row>
    <row r="58">
      <c r="A58" s="5" t="inlineStr">
        <is>
          <t>THREMOLIA-S1-F032</t>
        </is>
      </c>
      <c r="B58" s="5" t="inlineStr">
        <is>
          <t>THREMOLIA</t>
        </is>
      </c>
      <c r="C58" s="5" t="inlineStr">
        <is>
          <t>S1</t>
        </is>
      </c>
      <c r="D58" s="5" t="inlineStr">
        <is>
          <t>Primary TP</t>
        </is>
      </c>
      <c r="E58" s="5" t="inlineStr">
        <is>
          <t>L</t>
        </is>
      </c>
      <c r="F58" s="5" t="inlineStr">
        <is>
          <t>S1-RT-020</t>
        </is>
      </c>
      <c r="G58" s="5" t="inlineStr">
        <is>
          <t>Low matching confidence</t>
        </is>
      </c>
    </row>
    <row r="59">
      <c r="A59" s="5" t="inlineStr">
        <is>
          <t>THREMOLIA-S1-F034</t>
        </is>
      </c>
      <c r="B59" s="5" t="inlineStr">
        <is>
          <t>THREMOLIA</t>
        </is>
      </c>
      <c r="C59" s="5" t="inlineStr">
        <is>
          <t>S1</t>
        </is>
      </c>
      <c r="D59" s="5" t="inlineStr">
        <is>
          <t>Duplicate</t>
        </is>
      </c>
      <c r="E59" s="5" t="inlineStr">
        <is>
          <t>L</t>
        </is>
      </c>
      <c r="F59" s="5" t="inlineStr">
        <is>
          <t>S1-RT-033</t>
        </is>
      </c>
      <c r="G59" s="5" t="inlineStr">
        <is>
          <t>Low matching confidence</t>
        </is>
      </c>
    </row>
    <row r="60">
      <c r="A60" s="5" t="inlineStr">
        <is>
          <t>THREMOLIA-S1-F059</t>
        </is>
      </c>
      <c r="B60" s="5" t="inlineStr">
        <is>
          <t>THREMOLIA</t>
        </is>
      </c>
      <c r="C60" s="5" t="inlineStr">
        <is>
          <t>S1</t>
        </is>
      </c>
      <c r="D60" s="5" t="inlineStr">
        <is>
          <t>Duplicate</t>
        </is>
      </c>
      <c r="E60" s="5" t="inlineStr">
        <is>
          <t>L</t>
        </is>
      </c>
      <c r="F60" s="5" t="inlineStr">
        <is>
          <t>S1-RT-006</t>
        </is>
      </c>
      <c r="G60" s="5" t="inlineStr">
        <is>
          <t>Low matching confidence</t>
        </is>
      </c>
    </row>
    <row r="61">
      <c r="A61" s="5" t="inlineStr">
        <is>
          <t>THREMOLIA-S1-F075</t>
        </is>
      </c>
      <c r="B61" s="5" t="inlineStr">
        <is>
          <t>THREMOLIA</t>
        </is>
      </c>
      <c r="C61" s="5" t="inlineStr">
        <is>
          <t>S1</t>
        </is>
      </c>
      <c r="D61" s="5" t="inlineStr">
        <is>
          <t>Duplicate</t>
        </is>
      </c>
      <c r="E61" s="5" t="inlineStr">
        <is>
          <t>L</t>
        </is>
      </c>
      <c r="F61" s="5" t="inlineStr">
        <is>
          <t>S1-RT-014</t>
        </is>
      </c>
      <c r="G61" s="5" t="inlineStr">
        <is>
          <t>Low matching confidence</t>
        </is>
      </c>
    </row>
    <row r="62">
      <c r="A62" s="5" t="inlineStr">
        <is>
          <t>THREMOLIA-S1-F078</t>
        </is>
      </c>
      <c r="B62" s="5" t="inlineStr">
        <is>
          <t>THREMOLIA</t>
        </is>
      </c>
      <c r="C62" s="5" t="inlineStr">
        <is>
          <t>S1</t>
        </is>
      </c>
      <c r="D62" s="5" t="inlineStr">
        <is>
          <t>Duplicate</t>
        </is>
      </c>
      <c r="E62" s="5" t="inlineStr">
        <is>
          <t>L</t>
        </is>
      </c>
      <c r="F62" s="5" t="inlineStr">
        <is>
          <t>S1-RT-014</t>
        </is>
      </c>
      <c r="G62" s="5" t="inlineStr">
        <is>
          <t>Low matching confidence</t>
        </is>
      </c>
    </row>
    <row r="63">
      <c r="A63" s="5" t="inlineStr">
        <is>
          <t>THREMOLIA-S1-F080</t>
        </is>
      </c>
      <c r="B63" s="5" t="inlineStr">
        <is>
          <t>THREMOLIA</t>
        </is>
      </c>
      <c r="C63" s="5" t="inlineStr">
        <is>
          <t>S1</t>
        </is>
      </c>
      <c r="D63" s="5" t="inlineStr">
        <is>
          <t>Primary TP</t>
        </is>
      </c>
      <c r="E63" s="5" t="inlineStr">
        <is>
          <t>L</t>
        </is>
      </c>
      <c r="F63" s="5" t="inlineStr">
        <is>
          <t>S1-RT-016</t>
        </is>
      </c>
      <c r="G63" s="5" t="inlineStr">
        <is>
          <t>Low matching confidence</t>
        </is>
      </c>
    </row>
    <row r="64">
      <c r="A64" s="5" t="inlineStr">
        <is>
          <t>THREMOLIA-S1-F086</t>
        </is>
      </c>
      <c r="B64" s="5" t="inlineStr">
        <is>
          <t>THREMOLIA</t>
        </is>
      </c>
      <c r="C64" s="5" t="inlineStr">
        <is>
          <t>S1</t>
        </is>
      </c>
      <c r="D64" s="5" t="inlineStr">
        <is>
          <t>Duplicate</t>
        </is>
      </c>
      <c r="E64" s="5" t="inlineStr">
        <is>
          <t>L</t>
        </is>
      </c>
      <c r="F64" s="5" t="inlineStr">
        <is>
          <t>S1-RT-036</t>
        </is>
      </c>
      <c r="G64" s="5" t="inlineStr">
        <is>
          <t>Low matching confidence</t>
        </is>
      </c>
    </row>
    <row r="65">
      <c r="A65" s="5" t="inlineStr">
        <is>
          <t>THREMOLIA-S1-F095</t>
        </is>
      </c>
      <c r="B65" s="5" t="inlineStr">
        <is>
          <t>THREMOLIA</t>
        </is>
      </c>
      <c r="C65" s="5" t="inlineStr">
        <is>
          <t>S1</t>
        </is>
      </c>
      <c r="D65" s="5" t="inlineStr">
        <is>
          <t>Duplicate</t>
        </is>
      </c>
      <c r="E65" s="5" t="inlineStr">
        <is>
          <t>L</t>
        </is>
      </c>
      <c r="F65" s="5" t="inlineStr">
        <is>
          <t>S1-RT-024</t>
        </is>
      </c>
      <c r="G65" s="5" t="inlineStr">
        <is>
          <t>Low matching confidence</t>
        </is>
      </c>
    </row>
    <row r="66">
      <c r="A66" s="5" t="inlineStr">
        <is>
          <t>CHATGPT-S2-F001</t>
        </is>
      </c>
      <c r="B66" s="5" t="inlineStr">
        <is>
          <t>CHATGPT</t>
        </is>
      </c>
      <c r="C66" s="5" t="inlineStr">
        <is>
          <t>S2</t>
        </is>
      </c>
      <c r="D66" s="5" t="inlineStr">
        <is>
          <t>Primary TP</t>
        </is>
      </c>
      <c r="E66" s="5" t="inlineStr">
        <is>
          <t>L</t>
        </is>
      </c>
      <c r="F66" s="5" t="inlineStr">
        <is>
          <t>S2-RT-015</t>
        </is>
      </c>
      <c r="G66" s="5" t="inlineStr">
        <is>
          <t>Low matching confidence</t>
        </is>
      </c>
    </row>
    <row r="67">
      <c r="A67" s="5" t="inlineStr">
        <is>
          <t>CHATGPT-S2-F008</t>
        </is>
      </c>
      <c r="B67" s="5" t="inlineStr">
        <is>
          <t>CHATGPT</t>
        </is>
      </c>
      <c r="C67" s="5" t="inlineStr">
        <is>
          <t>S2</t>
        </is>
      </c>
      <c r="D67" s="5" t="inlineStr">
        <is>
          <t>Duplicate</t>
        </is>
      </c>
      <c r="E67" s="5" t="inlineStr">
        <is>
          <t>L</t>
        </is>
      </c>
      <c r="F67" s="5" t="inlineStr">
        <is>
          <t>S2-RT-018</t>
        </is>
      </c>
      <c r="G67" s="5" t="inlineStr">
        <is>
          <t>Low matching confidence</t>
        </is>
      </c>
    </row>
    <row r="68">
      <c r="A68" s="5" t="inlineStr">
        <is>
          <t>CHATGPT-S2-F010</t>
        </is>
      </c>
      <c r="B68" s="5" t="inlineStr">
        <is>
          <t>CHATGPT</t>
        </is>
      </c>
      <c r="C68" s="5" t="inlineStr">
        <is>
          <t>S2</t>
        </is>
      </c>
      <c r="D68" s="5" t="inlineStr">
        <is>
          <t>Duplicate</t>
        </is>
      </c>
      <c r="E68" s="5" t="inlineStr">
        <is>
          <t>L</t>
        </is>
      </c>
      <c r="F68" s="5" t="inlineStr">
        <is>
          <t>S2-RT-015</t>
        </is>
      </c>
      <c r="G68" s="5" t="inlineStr">
        <is>
          <t>Low matching confidence</t>
        </is>
      </c>
    </row>
    <row r="69">
      <c r="A69" s="5" t="inlineStr">
        <is>
          <t>CHATGPT-S2-F015</t>
        </is>
      </c>
      <c r="B69" s="5" t="inlineStr">
        <is>
          <t>CHATGPT</t>
        </is>
      </c>
      <c r="C69" s="5" t="inlineStr">
        <is>
          <t>S2</t>
        </is>
      </c>
      <c r="D69" s="5" t="inlineStr">
        <is>
          <t>Duplicate</t>
        </is>
      </c>
      <c r="E69" s="5" t="inlineStr">
        <is>
          <t>L</t>
        </is>
      </c>
      <c r="F69" s="5" t="inlineStr">
        <is>
          <t>S2-RT-018</t>
        </is>
      </c>
      <c r="G69" s="5" t="inlineStr">
        <is>
          <t>Low matching confidence</t>
        </is>
      </c>
    </row>
    <row r="70">
      <c r="A70" s="5" t="inlineStr">
        <is>
          <t>CHATGPT-S2-F016</t>
        </is>
      </c>
      <c r="B70" s="5" t="inlineStr">
        <is>
          <t>CHATGPT</t>
        </is>
      </c>
      <c r="C70" s="5" t="inlineStr">
        <is>
          <t>S2</t>
        </is>
      </c>
      <c r="D70" s="5" t="inlineStr">
        <is>
          <t>Primary TP</t>
        </is>
      </c>
      <c r="E70" s="5" t="inlineStr">
        <is>
          <t>L</t>
        </is>
      </c>
      <c r="F70" s="5" t="inlineStr">
        <is>
          <t>S2-RT-027</t>
        </is>
      </c>
      <c r="G70" s="5" t="inlineStr">
        <is>
          <t>Low matching confidence</t>
        </is>
      </c>
    </row>
    <row r="71">
      <c r="A71" s="5" t="inlineStr">
        <is>
          <t>CHATGPT-S2-F017</t>
        </is>
      </c>
      <c r="B71" s="5" t="inlineStr">
        <is>
          <t>CHATGPT</t>
        </is>
      </c>
      <c r="C71" s="5" t="inlineStr">
        <is>
          <t>S2</t>
        </is>
      </c>
      <c r="D71" s="5" t="inlineStr">
        <is>
          <t>Duplicate</t>
        </is>
      </c>
      <c r="E71" s="5" t="inlineStr">
        <is>
          <t>L</t>
        </is>
      </c>
      <c r="F71" s="5" t="inlineStr">
        <is>
          <t>S2-RT-004</t>
        </is>
      </c>
      <c r="G71" s="5" t="inlineStr">
        <is>
          <t>Low matching confidence</t>
        </is>
      </c>
    </row>
    <row r="72">
      <c r="A72" s="5" t="inlineStr">
        <is>
          <t>CHATGPT-S2-F021</t>
        </is>
      </c>
      <c r="B72" s="5" t="inlineStr">
        <is>
          <t>CHATGPT</t>
        </is>
      </c>
      <c r="C72" s="5" t="inlineStr">
        <is>
          <t>S2</t>
        </is>
      </c>
      <c r="D72" s="5" t="inlineStr">
        <is>
          <t>False Positive</t>
        </is>
      </c>
      <c r="E72" s="5" t="inlineStr">
        <is>
          <t>L</t>
        </is>
      </c>
      <c r="F72" s="5" t="inlineStr"/>
      <c r="G72" s="5" t="inlineStr">
        <is>
          <t>Low matching confidence</t>
        </is>
      </c>
    </row>
    <row r="73">
      <c r="A73" s="5" t="inlineStr">
        <is>
          <t>CHATGPT-S2-F025</t>
        </is>
      </c>
      <c r="B73" s="5" t="inlineStr">
        <is>
          <t>CHATGPT</t>
        </is>
      </c>
      <c r="C73" s="5" t="inlineStr">
        <is>
          <t>S2</t>
        </is>
      </c>
      <c r="D73" s="5" t="inlineStr">
        <is>
          <t>Duplicate</t>
        </is>
      </c>
      <c r="E73" s="5" t="inlineStr">
        <is>
          <t>L</t>
        </is>
      </c>
      <c r="F73" s="5" t="inlineStr">
        <is>
          <t>S2-RT-010</t>
        </is>
      </c>
      <c r="G73" s="5" t="inlineStr">
        <is>
          <t>Low matching confidence</t>
        </is>
      </c>
    </row>
    <row r="74">
      <c r="A74" s="5" t="inlineStr">
        <is>
          <t>CHATGPT-S2-F026</t>
        </is>
      </c>
      <c r="B74" s="5" t="inlineStr">
        <is>
          <t>CHATGPT</t>
        </is>
      </c>
      <c r="C74" s="5" t="inlineStr">
        <is>
          <t>S2</t>
        </is>
      </c>
      <c r="D74" s="5" t="inlineStr">
        <is>
          <t>Duplicate</t>
        </is>
      </c>
      <c r="E74" s="5" t="inlineStr">
        <is>
          <t>L</t>
        </is>
      </c>
      <c r="F74" s="5" t="inlineStr">
        <is>
          <t>S2-RT-016</t>
        </is>
      </c>
      <c r="G74" s="5" t="inlineStr">
        <is>
          <t>Low matching confidence</t>
        </is>
      </c>
    </row>
    <row r="75">
      <c r="A75" s="5" t="inlineStr">
        <is>
          <t>CHATGPT-S2-F028</t>
        </is>
      </c>
      <c r="B75" s="5" t="inlineStr">
        <is>
          <t>CHATGPT</t>
        </is>
      </c>
      <c r="C75" s="5" t="inlineStr">
        <is>
          <t>S2</t>
        </is>
      </c>
      <c r="D75" s="5" t="inlineStr">
        <is>
          <t>Primary TP</t>
        </is>
      </c>
      <c r="E75" s="5" t="inlineStr">
        <is>
          <t>L</t>
        </is>
      </c>
      <c r="F75" s="5" t="inlineStr">
        <is>
          <t>S2-RT-021</t>
        </is>
      </c>
      <c r="G75" s="5" t="inlineStr">
        <is>
          <t>Low matching confidence</t>
        </is>
      </c>
    </row>
    <row r="76">
      <c r="A76" s="5" t="inlineStr">
        <is>
          <t>CHATGPT-S2-F030</t>
        </is>
      </c>
      <c r="B76" s="5" t="inlineStr">
        <is>
          <t>CHATGPT</t>
        </is>
      </c>
      <c r="C76" s="5" t="inlineStr">
        <is>
          <t>S2</t>
        </is>
      </c>
      <c r="D76" s="5" t="inlineStr">
        <is>
          <t>Duplicate</t>
        </is>
      </c>
      <c r="E76" s="5" t="inlineStr">
        <is>
          <t>L</t>
        </is>
      </c>
      <c r="F76" s="5" t="inlineStr">
        <is>
          <t>S2-RT-010</t>
        </is>
      </c>
      <c r="G76" s="5" t="inlineStr">
        <is>
          <t>Low matching confidence</t>
        </is>
      </c>
    </row>
    <row r="77">
      <c r="A77" s="5" t="inlineStr">
        <is>
          <t>CHATGPT-S2-F031</t>
        </is>
      </c>
      <c r="B77" s="5" t="inlineStr">
        <is>
          <t>CHATGPT</t>
        </is>
      </c>
      <c r="C77" s="5" t="inlineStr">
        <is>
          <t>S2</t>
        </is>
      </c>
      <c r="D77" s="5" t="inlineStr">
        <is>
          <t>Duplicate</t>
        </is>
      </c>
      <c r="E77" s="5" t="inlineStr">
        <is>
          <t>L</t>
        </is>
      </c>
      <c r="F77" s="5" t="inlineStr">
        <is>
          <t>S2-RT-015</t>
        </is>
      </c>
      <c r="G77" s="5" t="inlineStr">
        <is>
          <t>Low matching confidence</t>
        </is>
      </c>
    </row>
    <row r="78">
      <c r="A78" s="5" t="inlineStr">
        <is>
          <t>CHATGPT-S2-F036</t>
        </is>
      </c>
      <c r="B78" s="5" t="inlineStr">
        <is>
          <t>CHATGPT</t>
        </is>
      </c>
      <c r="C78" s="5" t="inlineStr">
        <is>
          <t>S2</t>
        </is>
      </c>
      <c r="D78" s="5" t="inlineStr">
        <is>
          <t>False Positive</t>
        </is>
      </c>
      <c r="E78" s="5" t="inlineStr">
        <is>
          <t>L</t>
        </is>
      </c>
      <c r="F78" s="5" t="inlineStr"/>
      <c r="G78" s="5" t="inlineStr">
        <is>
          <t>Low matching confidence</t>
        </is>
      </c>
    </row>
    <row r="79">
      <c r="A79" s="5" t="inlineStr">
        <is>
          <t>CHATGPT-S2-F038</t>
        </is>
      </c>
      <c r="B79" s="5" t="inlineStr">
        <is>
          <t>CHATGPT</t>
        </is>
      </c>
      <c r="C79" s="5" t="inlineStr">
        <is>
          <t>S2</t>
        </is>
      </c>
      <c r="D79" s="5" t="inlineStr">
        <is>
          <t>Duplicate</t>
        </is>
      </c>
      <c r="E79" s="5" t="inlineStr">
        <is>
          <t>L</t>
        </is>
      </c>
      <c r="F79" s="5" t="inlineStr">
        <is>
          <t>S2-RT-024</t>
        </is>
      </c>
      <c r="G79" s="5" t="inlineStr">
        <is>
          <t>Low matching confidence</t>
        </is>
      </c>
    </row>
    <row r="80">
      <c r="A80" s="5" t="inlineStr">
        <is>
          <t>CHATGPT-S2-F041</t>
        </is>
      </c>
      <c r="B80" s="5" t="inlineStr">
        <is>
          <t>CHATGPT</t>
        </is>
      </c>
      <c r="C80" s="5" t="inlineStr">
        <is>
          <t>S2</t>
        </is>
      </c>
      <c r="D80" s="5" t="inlineStr">
        <is>
          <t>Duplicate</t>
        </is>
      </c>
      <c r="E80" s="5" t="inlineStr">
        <is>
          <t>L</t>
        </is>
      </c>
      <c r="F80" s="5" t="inlineStr">
        <is>
          <t>S2-RT-027</t>
        </is>
      </c>
      <c r="G80" s="5" t="inlineStr">
        <is>
          <t>Low matching confidence</t>
        </is>
      </c>
    </row>
    <row r="81">
      <c r="A81" s="5" t="inlineStr">
        <is>
          <t>CHATGPT-S2-F046</t>
        </is>
      </c>
      <c r="B81" s="5" t="inlineStr">
        <is>
          <t>CHATGPT</t>
        </is>
      </c>
      <c r="C81" s="5" t="inlineStr">
        <is>
          <t>S2</t>
        </is>
      </c>
      <c r="D81" s="5" t="inlineStr">
        <is>
          <t>Primary TP</t>
        </is>
      </c>
      <c r="E81" s="5" t="inlineStr">
        <is>
          <t>L</t>
        </is>
      </c>
      <c r="F81" s="5" t="inlineStr">
        <is>
          <t>S2-RT-013</t>
        </is>
      </c>
      <c r="G81" s="5" t="inlineStr">
        <is>
          <t>Low matching confidence</t>
        </is>
      </c>
    </row>
    <row r="82">
      <c r="A82" s="5" t="inlineStr">
        <is>
          <t>CHATGPT-S2-F048</t>
        </is>
      </c>
      <c r="B82" s="5" t="inlineStr">
        <is>
          <t>CHATGPT</t>
        </is>
      </c>
      <c r="C82" s="5" t="inlineStr">
        <is>
          <t>S2</t>
        </is>
      </c>
      <c r="D82" s="5" t="inlineStr">
        <is>
          <t>Duplicate</t>
        </is>
      </c>
      <c r="E82" s="5" t="inlineStr">
        <is>
          <t>L</t>
        </is>
      </c>
      <c r="F82" s="5" t="inlineStr">
        <is>
          <t>S2-RT-023</t>
        </is>
      </c>
      <c r="G82" s="5" t="inlineStr">
        <is>
          <t>Low matching confidence</t>
        </is>
      </c>
    </row>
    <row r="83">
      <c r="A83" s="5" t="inlineStr">
        <is>
          <t>CHATGPT-S2-F054</t>
        </is>
      </c>
      <c r="B83" s="5" t="inlineStr">
        <is>
          <t>CHATGPT</t>
        </is>
      </c>
      <c r="C83" s="5" t="inlineStr">
        <is>
          <t>S2</t>
        </is>
      </c>
      <c r="D83" s="5" t="inlineStr">
        <is>
          <t>Duplicate</t>
        </is>
      </c>
      <c r="E83" s="5" t="inlineStr">
        <is>
          <t>L</t>
        </is>
      </c>
      <c r="F83" s="5" t="inlineStr">
        <is>
          <t>S2-RT-016</t>
        </is>
      </c>
      <c r="G83" s="5" t="inlineStr">
        <is>
          <t>Low matching confidence</t>
        </is>
      </c>
    </row>
    <row r="84">
      <c r="A84" s="5" t="inlineStr">
        <is>
          <t>CHATGPT-S2-F058</t>
        </is>
      </c>
      <c r="B84" s="5" t="inlineStr">
        <is>
          <t>CHATGPT</t>
        </is>
      </c>
      <c r="C84" s="5" t="inlineStr">
        <is>
          <t>S2</t>
        </is>
      </c>
      <c r="D84" s="5" t="inlineStr">
        <is>
          <t>Duplicate</t>
        </is>
      </c>
      <c r="E84" s="5" t="inlineStr">
        <is>
          <t>L</t>
        </is>
      </c>
      <c r="F84" s="5" t="inlineStr">
        <is>
          <t>S2-RT-010</t>
        </is>
      </c>
      <c r="G84" s="5" t="inlineStr">
        <is>
          <t>Low matching confidence</t>
        </is>
      </c>
    </row>
    <row r="85">
      <c r="A85" s="5" t="inlineStr">
        <is>
          <t>OLLAMA-S2-F002</t>
        </is>
      </c>
      <c r="B85" s="5" t="inlineStr">
        <is>
          <t>OLLAMA</t>
        </is>
      </c>
      <c r="C85" s="5" t="inlineStr">
        <is>
          <t>S2</t>
        </is>
      </c>
      <c r="D85" s="5" t="inlineStr">
        <is>
          <t>Primary TP</t>
        </is>
      </c>
      <c r="E85" s="5" t="inlineStr">
        <is>
          <t>L</t>
        </is>
      </c>
      <c r="F85" s="5" t="inlineStr">
        <is>
          <t>S2-RT-013</t>
        </is>
      </c>
      <c r="G85" s="5" t="inlineStr">
        <is>
          <t>Low matching confidence</t>
        </is>
      </c>
    </row>
    <row r="86">
      <c r="A86" s="5" t="inlineStr">
        <is>
          <t>OLLAMA-S2-F011</t>
        </is>
      </c>
      <c r="B86" s="5" t="inlineStr">
        <is>
          <t>OLLAMA</t>
        </is>
      </c>
      <c r="C86" s="5" t="inlineStr">
        <is>
          <t>S2</t>
        </is>
      </c>
      <c r="D86" s="5" t="inlineStr">
        <is>
          <t>Duplicate</t>
        </is>
      </c>
      <c r="E86" s="5" t="inlineStr">
        <is>
          <t>L</t>
        </is>
      </c>
      <c r="F86" s="5" t="inlineStr">
        <is>
          <t>S2-RT-010</t>
        </is>
      </c>
      <c r="G86" s="5" t="inlineStr">
        <is>
          <t>Low matching confidence</t>
        </is>
      </c>
    </row>
    <row r="87">
      <c r="A87" s="5" t="inlineStr">
        <is>
          <t>OLLAMA-S2-F014</t>
        </is>
      </c>
      <c r="B87" s="5" t="inlineStr">
        <is>
          <t>OLLAMA</t>
        </is>
      </c>
      <c r="C87" s="5" t="inlineStr">
        <is>
          <t>S2</t>
        </is>
      </c>
      <c r="D87" s="5" t="inlineStr">
        <is>
          <t>Primary TP</t>
        </is>
      </c>
      <c r="E87" s="5" t="inlineStr">
        <is>
          <t>L</t>
        </is>
      </c>
      <c r="F87" s="5" t="inlineStr">
        <is>
          <t>S2-RT-015</t>
        </is>
      </c>
      <c r="G87" s="5" t="inlineStr">
        <is>
          <t>Low matching confidence</t>
        </is>
      </c>
    </row>
    <row r="88">
      <c r="A88" s="5" t="inlineStr">
        <is>
          <t>OLLAMA-S2-F015</t>
        </is>
      </c>
      <c r="B88" s="5" t="inlineStr">
        <is>
          <t>OLLAMA</t>
        </is>
      </c>
      <c r="C88" s="5" t="inlineStr">
        <is>
          <t>S2</t>
        </is>
      </c>
      <c r="D88" s="5" t="inlineStr">
        <is>
          <t>Primary TP</t>
        </is>
      </c>
      <c r="E88" s="5" t="inlineStr">
        <is>
          <t>L</t>
        </is>
      </c>
      <c r="F88" s="5" t="inlineStr">
        <is>
          <t>S2-RT-003</t>
        </is>
      </c>
      <c r="G88" s="5" t="inlineStr">
        <is>
          <t>Low matching confidence</t>
        </is>
      </c>
    </row>
    <row r="89">
      <c r="A89" s="5" t="inlineStr">
        <is>
          <t>OLLAMA-S2-F023</t>
        </is>
      </c>
      <c r="B89" s="5" t="inlineStr">
        <is>
          <t>OLLAMA</t>
        </is>
      </c>
      <c r="C89" s="5" t="inlineStr">
        <is>
          <t>S2</t>
        </is>
      </c>
      <c r="D89" s="5" t="inlineStr">
        <is>
          <t>Primary TP</t>
        </is>
      </c>
      <c r="E89" s="5" t="inlineStr">
        <is>
          <t>L</t>
        </is>
      </c>
      <c r="F89" s="5" t="inlineStr">
        <is>
          <t>S2-RT-018</t>
        </is>
      </c>
      <c r="G89" s="5" t="inlineStr">
        <is>
          <t>Low matching confidence</t>
        </is>
      </c>
    </row>
    <row r="90">
      <c r="A90" s="5" t="inlineStr">
        <is>
          <t>OLLAMA-S2-F025</t>
        </is>
      </c>
      <c r="B90" s="5" t="inlineStr">
        <is>
          <t>OLLAMA</t>
        </is>
      </c>
      <c r="C90" s="5" t="inlineStr">
        <is>
          <t>S2</t>
        </is>
      </c>
      <c r="D90" s="5" t="inlineStr">
        <is>
          <t>Duplicate</t>
        </is>
      </c>
      <c r="E90" s="5" t="inlineStr">
        <is>
          <t>L</t>
        </is>
      </c>
      <c r="F90" s="5" t="inlineStr">
        <is>
          <t>S2-RT-018</t>
        </is>
      </c>
      <c r="G90" s="5" t="inlineStr">
        <is>
          <t>Low matching confidence</t>
        </is>
      </c>
    </row>
    <row r="91">
      <c r="A91" s="5" t="inlineStr">
        <is>
          <t>THREMOLIA-S2-F001</t>
        </is>
      </c>
      <c r="B91" s="5" t="inlineStr">
        <is>
          <t>THREMOLIA</t>
        </is>
      </c>
      <c r="C91" s="5" t="inlineStr">
        <is>
          <t>S2</t>
        </is>
      </c>
      <c r="D91" s="5" t="inlineStr">
        <is>
          <t>Duplicate</t>
        </is>
      </c>
      <c r="E91" s="5" t="inlineStr">
        <is>
          <t>L</t>
        </is>
      </c>
      <c r="F91" s="5" t="inlineStr">
        <is>
          <t>S2-RT-010</t>
        </is>
      </c>
      <c r="G91" s="5" t="inlineStr">
        <is>
          <t>Low matching confidence</t>
        </is>
      </c>
    </row>
    <row r="92">
      <c r="A92" s="5" t="inlineStr">
        <is>
          <t>THREMOLIA-S2-F002</t>
        </is>
      </c>
      <c r="B92" s="5" t="inlineStr">
        <is>
          <t>THREMOLIA</t>
        </is>
      </c>
      <c r="C92" s="5" t="inlineStr">
        <is>
          <t>S2</t>
        </is>
      </c>
      <c r="D92" s="5" t="inlineStr">
        <is>
          <t>Duplicate</t>
        </is>
      </c>
      <c r="E92" s="5" t="inlineStr">
        <is>
          <t>L</t>
        </is>
      </c>
      <c r="F92" s="5" t="inlineStr">
        <is>
          <t>S2-RT-010</t>
        </is>
      </c>
      <c r="G92" s="5" t="inlineStr">
        <is>
          <t>Low matching confidence</t>
        </is>
      </c>
    </row>
    <row r="93">
      <c r="A93" s="5" t="inlineStr">
        <is>
          <t>THREMOLIA-S2-F004</t>
        </is>
      </c>
      <c r="B93" s="5" t="inlineStr">
        <is>
          <t>THREMOLIA</t>
        </is>
      </c>
      <c r="C93" s="5" t="inlineStr">
        <is>
          <t>S2</t>
        </is>
      </c>
      <c r="D93" s="5" t="inlineStr">
        <is>
          <t>Duplicate</t>
        </is>
      </c>
      <c r="E93" s="5" t="inlineStr">
        <is>
          <t>L</t>
        </is>
      </c>
      <c r="F93" s="5" t="inlineStr">
        <is>
          <t>S2-RT-015</t>
        </is>
      </c>
      <c r="G93" s="5" t="inlineStr">
        <is>
          <t>Low matching confidence</t>
        </is>
      </c>
    </row>
    <row r="94">
      <c r="A94" s="5" t="inlineStr">
        <is>
          <t>THREMOLIA-S2-F008</t>
        </is>
      </c>
      <c r="B94" s="5" t="inlineStr">
        <is>
          <t>THREMOLIA</t>
        </is>
      </c>
      <c r="C94" s="5" t="inlineStr">
        <is>
          <t>S2</t>
        </is>
      </c>
      <c r="D94" s="5" t="inlineStr">
        <is>
          <t>Duplicate</t>
        </is>
      </c>
      <c r="E94" s="5" t="inlineStr">
        <is>
          <t>L</t>
        </is>
      </c>
      <c r="F94" s="5" t="inlineStr">
        <is>
          <t>S2-RT-017</t>
        </is>
      </c>
      <c r="G94" s="5" t="inlineStr">
        <is>
          <t>Low matching confidence</t>
        </is>
      </c>
    </row>
    <row r="95">
      <c r="A95" s="5" t="inlineStr">
        <is>
          <t>THREMOLIA-S2-F023</t>
        </is>
      </c>
      <c r="B95" s="5" t="inlineStr">
        <is>
          <t>THREMOLIA</t>
        </is>
      </c>
      <c r="C95" s="5" t="inlineStr">
        <is>
          <t>S2</t>
        </is>
      </c>
      <c r="D95" s="5" t="inlineStr">
        <is>
          <t>Duplicate</t>
        </is>
      </c>
      <c r="E95" s="5" t="inlineStr">
        <is>
          <t>L</t>
        </is>
      </c>
      <c r="F95" s="5" t="inlineStr">
        <is>
          <t>S2-RT-018</t>
        </is>
      </c>
      <c r="G95" s="5" t="inlineStr">
        <is>
          <t>Low matching confidence</t>
        </is>
      </c>
    </row>
    <row r="96">
      <c r="A96" s="5" t="inlineStr">
        <is>
          <t>THREMOLIA-S2-F026</t>
        </is>
      </c>
      <c r="B96" s="5" t="inlineStr">
        <is>
          <t>THREMOLIA</t>
        </is>
      </c>
      <c r="C96" s="5" t="inlineStr">
        <is>
          <t>S2</t>
        </is>
      </c>
      <c r="D96" s="5" t="inlineStr">
        <is>
          <t>Duplicate</t>
        </is>
      </c>
      <c r="E96" s="5" t="inlineStr">
        <is>
          <t>L</t>
        </is>
      </c>
      <c r="F96" s="5" t="inlineStr">
        <is>
          <t>S2-RT-033</t>
        </is>
      </c>
      <c r="G96" s="5" t="inlineStr">
        <is>
          <t>Low matching confidence</t>
        </is>
      </c>
    </row>
    <row r="97">
      <c r="A97" s="5" t="inlineStr">
        <is>
          <t>THREMOLIA-S2-F028</t>
        </is>
      </c>
      <c r="B97" s="5" t="inlineStr">
        <is>
          <t>THREMOLIA</t>
        </is>
      </c>
      <c r="C97" s="5" t="inlineStr">
        <is>
          <t>S2</t>
        </is>
      </c>
      <c r="D97" s="5" t="inlineStr">
        <is>
          <t>Duplicate</t>
        </is>
      </c>
      <c r="E97" s="5" t="inlineStr">
        <is>
          <t>L</t>
        </is>
      </c>
      <c r="F97" s="5" t="inlineStr">
        <is>
          <t>S2-RT-026</t>
        </is>
      </c>
      <c r="G97" s="5" t="inlineStr">
        <is>
          <t>Low matching confidence</t>
        </is>
      </c>
    </row>
    <row r="98">
      <c r="A98" s="5" t="inlineStr">
        <is>
          <t>THREMOLIA-S2-F037</t>
        </is>
      </c>
      <c r="B98" s="5" t="inlineStr">
        <is>
          <t>THREMOLIA</t>
        </is>
      </c>
      <c r="C98" s="5" t="inlineStr">
        <is>
          <t>S2</t>
        </is>
      </c>
      <c r="D98" s="5" t="inlineStr">
        <is>
          <t>Primary TP</t>
        </is>
      </c>
      <c r="E98" s="5" t="inlineStr">
        <is>
          <t>L</t>
        </is>
      </c>
      <c r="F98" s="5" t="inlineStr">
        <is>
          <t>S2-RT-013</t>
        </is>
      </c>
      <c r="G98" s="5" t="inlineStr">
        <is>
          <t>Low matching confidence</t>
        </is>
      </c>
    </row>
    <row r="99">
      <c r="A99" s="5" t="inlineStr">
        <is>
          <t>THREMOLIA-S2-F049</t>
        </is>
      </c>
      <c r="B99" s="5" t="inlineStr">
        <is>
          <t>THREMOLIA</t>
        </is>
      </c>
      <c r="C99" s="5" t="inlineStr">
        <is>
          <t>S2</t>
        </is>
      </c>
      <c r="D99" s="5" t="inlineStr">
        <is>
          <t>Duplicate</t>
        </is>
      </c>
      <c r="E99" s="5" t="inlineStr">
        <is>
          <t>L</t>
        </is>
      </c>
      <c r="F99" s="5" t="inlineStr">
        <is>
          <t>S2-RT-004</t>
        </is>
      </c>
      <c r="G99" s="5" t="inlineStr">
        <is>
          <t>Low matching confidence</t>
        </is>
      </c>
    </row>
    <row r="100">
      <c r="A100" s="5" t="inlineStr">
        <is>
          <t>THREMOLIA-S2-F055</t>
        </is>
      </c>
      <c r="B100" s="5" t="inlineStr">
        <is>
          <t>THREMOLIA</t>
        </is>
      </c>
      <c r="C100" s="5" t="inlineStr">
        <is>
          <t>S2</t>
        </is>
      </c>
      <c r="D100" s="5" t="inlineStr">
        <is>
          <t>Duplicate</t>
        </is>
      </c>
      <c r="E100" s="5" t="inlineStr">
        <is>
          <t>L</t>
        </is>
      </c>
      <c r="F100" s="5" t="inlineStr">
        <is>
          <t>S2-RT-003</t>
        </is>
      </c>
      <c r="G100" s="5" t="inlineStr">
        <is>
          <t>Low matching confidence</t>
        </is>
      </c>
    </row>
    <row r="101">
      <c r="A101" s="5" t="inlineStr">
        <is>
          <t>THREMOLIA-S2-F073</t>
        </is>
      </c>
      <c r="B101" s="5" t="inlineStr">
        <is>
          <t>THREMOLIA</t>
        </is>
      </c>
      <c r="C101" s="5" t="inlineStr">
        <is>
          <t>S2</t>
        </is>
      </c>
      <c r="D101" s="5" t="inlineStr">
        <is>
          <t>Duplicate</t>
        </is>
      </c>
      <c r="E101" s="5" t="inlineStr">
        <is>
          <t>L</t>
        </is>
      </c>
      <c r="F101" s="5" t="inlineStr">
        <is>
          <t>S2-RT-018</t>
        </is>
      </c>
      <c r="G101" s="5" t="inlineStr">
        <is>
          <t>Low matching confidence</t>
        </is>
      </c>
    </row>
    <row r="102">
      <c r="A102" s="5" t="inlineStr">
        <is>
          <t>THREMOLIA-S2-F079</t>
        </is>
      </c>
      <c r="B102" s="5" t="inlineStr">
        <is>
          <t>THREMOLIA</t>
        </is>
      </c>
      <c r="C102" s="5" t="inlineStr">
        <is>
          <t>S2</t>
        </is>
      </c>
      <c r="D102" s="5" t="inlineStr">
        <is>
          <t>Duplicate</t>
        </is>
      </c>
      <c r="E102" s="5" t="inlineStr">
        <is>
          <t>L</t>
        </is>
      </c>
      <c r="F102" s="5" t="inlineStr">
        <is>
          <t>S2-RT-009</t>
        </is>
      </c>
      <c r="G102" s="5" t="inlineStr">
        <is>
          <t>Low matching confidence</t>
        </is>
      </c>
    </row>
    <row r="103">
      <c r="A103" s="5" t="inlineStr">
        <is>
          <t>THREMOLIA-S2-F091</t>
        </is>
      </c>
      <c r="B103" s="5" t="inlineStr">
        <is>
          <t>THREMOLIA</t>
        </is>
      </c>
      <c r="C103" s="5" t="inlineStr">
        <is>
          <t>S2</t>
        </is>
      </c>
      <c r="D103" s="5" t="inlineStr">
        <is>
          <t>Duplicate</t>
        </is>
      </c>
      <c r="E103" s="5" t="inlineStr">
        <is>
          <t>L</t>
        </is>
      </c>
      <c r="F103" s="5" t="inlineStr">
        <is>
          <t>S2-RT-018</t>
        </is>
      </c>
      <c r="G103" s="5" t="inlineStr">
        <is>
          <t>Low matching confidence</t>
        </is>
      </c>
    </row>
    <row r="104">
      <c r="A104" s="5" t="inlineStr">
        <is>
          <t>CHATGPT-S3-F001</t>
        </is>
      </c>
      <c r="B104" s="5" t="inlineStr">
        <is>
          <t>CHATGPT</t>
        </is>
      </c>
      <c r="C104" s="5" t="inlineStr">
        <is>
          <t>S3</t>
        </is>
      </c>
      <c r="D104" s="5" t="inlineStr">
        <is>
          <t>Primary TP</t>
        </is>
      </c>
      <c r="E104" s="5" t="inlineStr">
        <is>
          <t>L</t>
        </is>
      </c>
      <c r="F104" s="5" t="inlineStr">
        <is>
          <t>S3-RT-018</t>
        </is>
      </c>
      <c r="G104" s="5" t="inlineStr">
        <is>
          <t>Low matching confidence</t>
        </is>
      </c>
    </row>
    <row r="105">
      <c r="A105" s="5" t="inlineStr">
        <is>
          <t>CHATGPT-S3-F002</t>
        </is>
      </c>
      <c r="B105" s="5" t="inlineStr">
        <is>
          <t>CHATGPT</t>
        </is>
      </c>
      <c r="C105" s="5" t="inlineStr">
        <is>
          <t>S3</t>
        </is>
      </c>
      <c r="D105" s="5" t="inlineStr">
        <is>
          <t>Duplicate</t>
        </is>
      </c>
      <c r="E105" s="5" t="inlineStr">
        <is>
          <t>L</t>
        </is>
      </c>
      <c r="F105" s="5" t="inlineStr">
        <is>
          <t>S3-RT-001</t>
        </is>
      </c>
      <c r="G105" s="5" t="inlineStr">
        <is>
          <t>Low matching confidence</t>
        </is>
      </c>
    </row>
    <row r="106">
      <c r="A106" s="5" t="inlineStr">
        <is>
          <t>CHATGPT-S3-F005</t>
        </is>
      </c>
      <c r="B106" s="5" t="inlineStr">
        <is>
          <t>CHATGPT</t>
        </is>
      </c>
      <c r="C106" s="5" t="inlineStr">
        <is>
          <t>S3</t>
        </is>
      </c>
      <c r="D106" s="5" t="inlineStr">
        <is>
          <t>Primary TP</t>
        </is>
      </c>
      <c r="E106" s="5" t="inlineStr">
        <is>
          <t>L</t>
        </is>
      </c>
      <c r="F106" s="5" t="inlineStr">
        <is>
          <t>S3-RT-005</t>
        </is>
      </c>
      <c r="G106" s="5" t="inlineStr">
        <is>
          <t>Low matching confidence</t>
        </is>
      </c>
    </row>
    <row r="107">
      <c r="A107" s="5" t="inlineStr">
        <is>
          <t>CHATGPT-S3-F010</t>
        </is>
      </c>
      <c r="B107" s="5" t="inlineStr">
        <is>
          <t>CHATGPT</t>
        </is>
      </c>
      <c r="C107" s="5" t="inlineStr">
        <is>
          <t>S3</t>
        </is>
      </c>
      <c r="D107" s="5" t="inlineStr">
        <is>
          <t>False Positive</t>
        </is>
      </c>
      <c r="E107" s="5" t="inlineStr">
        <is>
          <t>L</t>
        </is>
      </c>
      <c r="F107" s="5" t="inlineStr"/>
      <c r="G107" s="5" t="inlineStr">
        <is>
          <t>Low matching confidence</t>
        </is>
      </c>
    </row>
    <row r="108">
      <c r="A108" s="5" t="inlineStr">
        <is>
          <t>CHATGPT-S3-F020</t>
        </is>
      </c>
      <c r="B108" s="5" t="inlineStr">
        <is>
          <t>CHATGPT</t>
        </is>
      </c>
      <c r="C108" s="5" t="inlineStr">
        <is>
          <t>S3</t>
        </is>
      </c>
      <c r="D108" s="5" t="inlineStr">
        <is>
          <t>Primary TP</t>
        </is>
      </c>
      <c r="E108" s="5" t="inlineStr">
        <is>
          <t>L</t>
        </is>
      </c>
      <c r="F108" s="5" t="inlineStr">
        <is>
          <t>S3-RT-026</t>
        </is>
      </c>
      <c r="G108" s="5" t="inlineStr">
        <is>
          <t>Low matching confidence</t>
        </is>
      </c>
    </row>
    <row r="109">
      <c r="A109" s="5" t="inlineStr">
        <is>
          <t>CHATGPT-S3-F041</t>
        </is>
      </c>
      <c r="B109" s="5" t="inlineStr">
        <is>
          <t>CHATGPT</t>
        </is>
      </c>
      <c r="C109" s="5" t="inlineStr">
        <is>
          <t>S3</t>
        </is>
      </c>
      <c r="D109" s="5" t="inlineStr">
        <is>
          <t>Duplicate</t>
        </is>
      </c>
      <c r="E109" s="5" t="inlineStr">
        <is>
          <t>L</t>
        </is>
      </c>
      <c r="F109" s="5" t="inlineStr">
        <is>
          <t>S3-RT-031</t>
        </is>
      </c>
      <c r="G109" s="5" t="inlineStr">
        <is>
          <t>Low matching confidence</t>
        </is>
      </c>
    </row>
    <row r="110">
      <c r="A110" s="5" t="inlineStr">
        <is>
          <t>OLLAMA-S3-F002</t>
        </is>
      </c>
      <c r="B110" s="5" t="inlineStr">
        <is>
          <t>OLLAMA</t>
        </is>
      </c>
      <c r="C110" s="5" t="inlineStr">
        <is>
          <t>S3</t>
        </is>
      </c>
      <c r="D110" s="5" t="inlineStr">
        <is>
          <t>Primary TP</t>
        </is>
      </c>
      <c r="E110" s="5" t="inlineStr">
        <is>
          <t>L</t>
        </is>
      </c>
      <c r="F110" s="5" t="inlineStr">
        <is>
          <t>S3-RT-031</t>
        </is>
      </c>
      <c r="G110" s="5" t="inlineStr">
        <is>
          <t>Low matching confidence</t>
        </is>
      </c>
    </row>
    <row r="111">
      <c r="A111" s="5" t="inlineStr">
        <is>
          <t>OLLAMA-S3-F007</t>
        </is>
      </c>
      <c r="B111" s="5" t="inlineStr">
        <is>
          <t>OLLAMA</t>
        </is>
      </c>
      <c r="C111" s="5" t="inlineStr">
        <is>
          <t>S3</t>
        </is>
      </c>
      <c r="D111" s="5" t="inlineStr">
        <is>
          <t>Duplicate</t>
        </is>
      </c>
      <c r="E111" s="5" t="inlineStr">
        <is>
          <t>L</t>
        </is>
      </c>
      <c r="F111" s="5" t="inlineStr">
        <is>
          <t>S3-RT-034</t>
        </is>
      </c>
      <c r="G111" s="5" t="inlineStr">
        <is>
          <t>Low matching confidence</t>
        </is>
      </c>
    </row>
    <row r="112">
      <c r="A112" s="5" t="inlineStr">
        <is>
          <t>OLLAMA-S3-F008</t>
        </is>
      </c>
      <c r="B112" s="5" t="inlineStr">
        <is>
          <t>OLLAMA</t>
        </is>
      </c>
      <c r="C112" s="5" t="inlineStr">
        <is>
          <t>S3</t>
        </is>
      </c>
      <c r="D112" s="5" t="inlineStr">
        <is>
          <t>Duplicate</t>
        </is>
      </c>
      <c r="E112" s="5" t="inlineStr">
        <is>
          <t>L</t>
        </is>
      </c>
      <c r="F112" s="5" t="inlineStr">
        <is>
          <t>S3-RT-019</t>
        </is>
      </c>
      <c r="G112" s="5" t="inlineStr">
        <is>
          <t>Low matching confidence</t>
        </is>
      </c>
    </row>
    <row r="113">
      <c r="A113" s="5" t="inlineStr">
        <is>
          <t>OLLAMA-S3-F010</t>
        </is>
      </c>
      <c r="B113" s="5" t="inlineStr">
        <is>
          <t>OLLAMA</t>
        </is>
      </c>
      <c r="C113" s="5" t="inlineStr">
        <is>
          <t>S3</t>
        </is>
      </c>
      <c r="D113" s="5" t="inlineStr">
        <is>
          <t>Primary TP</t>
        </is>
      </c>
      <c r="E113" s="5" t="inlineStr">
        <is>
          <t>L</t>
        </is>
      </c>
      <c r="F113" s="5" t="inlineStr">
        <is>
          <t>S3-RT-027</t>
        </is>
      </c>
      <c r="G113" s="5" t="inlineStr">
        <is>
          <t>Low matching confidence</t>
        </is>
      </c>
    </row>
    <row r="114">
      <c r="A114" s="5" t="inlineStr">
        <is>
          <t>OLLAMA-S3-F017</t>
        </is>
      </c>
      <c r="B114" s="5" t="inlineStr">
        <is>
          <t>OLLAMA</t>
        </is>
      </c>
      <c r="C114" s="5" t="inlineStr">
        <is>
          <t>S3</t>
        </is>
      </c>
      <c r="D114" s="5" t="inlineStr">
        <is>
          <t>Primary TP</t>
        </is>
      </c>
      <c r="E114" s="5" t="inlineStr">
        <is>
          <t>L</t>
        </is>
      </c>
      <c r="F114" s="5" t="inlineStr">
        <is>
          <t>S3-RT-001</t>
        </is>
      </c>
      <c r="G114" s="5" t="inlineStr">
        <is>
          <t>Low matching confidence</t>
        </is>
      </c>
    </row>
    <row r="115">
      <c r="A115" s="5" t="inlineStr">
        <is>
          <t>THREMOLIA-S3-F008</t>
        </is>
      </c>
      <c r="B115" s="5" t="inlineStr">
        <is>
          <t>THREMOLIA</t>
        </is>
      </c>
      <c r="C115" s="5" t="inlineStr">
        <is>
          <t>S3</t>
        </is>
      </c>
      <c r="D115" s="5" t="inlineStr">
        <is>
          <t>Duplicate</t>
        </is>
      </c>
      <c r="E115" s="5" t="inlineStr">
        <is>
          <t>L</t>
        </is>
      </c>
      <c r="F115" s="5" t="inlineStr">
        <is>
          <t>S3-RT-003</t>
        </is>
      </c>
      <c r="G115" s="5" t="inlineStr">
        <is>
          <t>Low matching confidence</t>
        </is>
      </c>
    </row>
    <row r="116">
      <c r="A116" s="5" t="inlineStr">
        <is>
          <t>THREMOLIA-S3-F012</t>
        </is>
      </c>
      <c r="B116" s="5" t="inlineStr">
        <is>
          <t>THREMOLIA</t>
        </is>
      </c>
      <c r="C116" s="5" t="inlineStr">
        <is>
          <t>S3</t>
        </is>
      </c>
      <c r="D116" s="5" t="inlineStr">
        <is>
          <t>Duplicate</t>
        </is>
      </c>
      <c r="E116" s="5" t="inlineStr">
        <is>
          <t>L</t>
        </is>
      </c>
      <c r="F116" s="5" t="inlineStr">
        <is>
          <t>S3-RT-004</t>
        </is>
      </c>
      <c r="G116" s="5" t="inlineStr">
        <is>
          <t>Low matching confidence</t>
        </is>
      </c>
    </row>
    <row r="117">
      <c r="A117" s="5" t="inlineStr">
        <is>
          <t>THREMOLIA-S3-F018</t>
        </is>
      </c>
      <c r="B117" s="5" t="inlineStr">
        <is>
          <t>THREMOLIA</t>
        </is>
      </c>
      <c r="C117" s="5" t="inlineStr">
        <is>
          <t>S3</t>
        </is>
      </c>
      <c r="D117" s="5" t="inlineStr">
        <is>
          <t>Primary TP</t>
        </is>
      </c>
      <c r="E117" s="5" t="inlineStr">
        <is>
          <t>L</t>
        </is>
      </c>
      <c r="F117" s="5" t="inlineStr">
        <is>
          <t>S3-RT-008</t>
        </is>
      </c>
      <c r="G117" s="5" t="inlineStr">
        <is>
          <t>Low matching confidence</t>
        </is>
      </c>
    </row>
    <row r="118">
      <c r="A118" s="5" t="inlineStr">
        <is>
          <t>THREMOLIA-S3-F023</t>
        </is>
      </c>
      <c r="B118" s="5" t="inlineStr">
        <is>
          <t>THREMOLIA</t>
        </is>
      </c>
      <c r="C118" s="5" t="inlineStr">
        <is>
          <t>S3</t>
        </is>
      </c>
      <c r="D118" s="5" t="inlineStr">
        <is>
          <t>Primary TP</t>
        </is>
      </c>
      <c r="E118" s="5" t="inlineStr">
        <is>
          <t>L</t>
        </is>
      </c>
      <c r="F118" s="5" t="inlineStr">
        <is>
          <t>S3-RT-020</t>
        </is>
      </c>
      <c r="G118" s="5" t="inlineStr">
        <is>
          <t>Low matching confidence</t>
        </is>
      </c>
    </row>
    <row r="119">
      <c r="A119" s="5" t="inlineStr">
        <is>
          <t>THREMOLIA-S3-F029</t>
        </is>
      </c>
      <c r="B119" s="5" t="inlineStr">
        <is>
          <t>THREMOLIA</t>
        </is>
      </c>
      <c r="C119" s="5" t="inlineStr">
        <is>
          <t>S3</t>
        </is>
      </c>
      <c r="D119" s="5" t="inlineStr">
        <is>
          <t>Duplicate</t>
        </is>
      </c>
      <c r="E119" s="5" t="inlineStr">
        <is>
          <t>L</t>
        </is>
      </c>
      <c r="F119" s="5" t="inlineStr">
        <is>
          <t>S3-RT-021</t>
        </is>
      </c>
      <c r="G119" s="5" t="inlineStr">
        <is>
          <t>Low matching confidence</t>
        </is>
      </c>
    </row>
    <row r="120">
      <c r="A120" s="5" t="inlineStr">
        <is>
          <t>THREMOLIA-S3-F031</t>
        </is>
      </c>
      <c r="B120" s="5" t="inlineStr">
        <is>
          <t>THREMOLIA</t>
        </is>
      </c>
      <c r="C120" s="5" t="inlineStr">
        <is>
          <t>S3</t>
        </is>
      </c>
      <c r="D120" s="5" t="inlineStr">
        <is>
          <t>Duplicate</t>
        </is>
      </c>
      <c r="E120" s="5" t="inlineStr">
        <is>
          <t>L</t>
        </is>
      </c>
      <c r="F120" s="5" t="inlineStr">
        <is>
          <t>S3-RT-032</t>
        </is>
      </c>
      <c r="G120" s="5" t="inlineStr">
        <is>
          <t>Low matching confidence</t>
        </is>
      </c>
    </row>
    <row r="121">
      <c r="A121" s="5" t="inlineStr">
        <is>
          <t>THREMOLIA-S3-F032</t>
        </is>
      </c>
      <c r="B121" s="5" t="inlineStr">
        <is>
          <t>THREMOLIA</t>
        </is>
      </c>
      <c r="C121" s="5" t="inlineStr">
        <is>
          <t>S3</t>
        </is>
      </c>
      <c r="D121" s="5" t="inlineStr">
        <is>
          <t>Primary TP</t>
        </is>
      </c>
      <c r="E121" s="5" t="inlineStr">
        <is>
          <t>L</t>
        </is>
      </c>
      <c r="F121" s="5" t="inlineStr">
        <is>
          <t>S3-RT-017</t>
        </is>
      </c>
      <c r="G121" s="5" t="inlineStr">
        <is>
          <t>Low matching confidence</t>
        </is>
      </c>
    </row>
    <row r="122">
      <c r="A122" s="5" t="inlineStr">
        <is>
          <t>THREMOLIA-S3-F039</t>
        </is>
      </c>
      <c r="B122" s="5" t="inlineStr">
        <is>
          <t>THREMOLIA</t>
        </is>
      </c>
      <c r="C122" s="5" t="inlineStr">
        <is>
          <t>S3</t>
        </is>
      </c>
      <c r="D122" s="5" t="inlineStr">
        <is>
          <t>Duplicate</t>
        </is>
      </c>
      <c r="E122" s="5" t="inlineStr">
        <is>
          <t>L</t>
        </is>
      </c>
      <c r="F122" s="5" t="inlineStr">
        <is>
          <t>S3-RT-004</t>
        </is>
      </c>
      <c r="G122" s="5" t="inlineStr">
        <is>
          <t>Low matching confidence</t>
        </is>
      </c>
    </row>
    <row r="123">
      <c r="A123" s="5" t="inlineStr">
        <is>
          <t>THREMOLIA-S3-F064</t>
        </is>
      </c>
      <c r="B123" s="5" t="inlineStr">
        <is>
          <t>THREMOLIA</t>
        </is>
      </c>
      <c r="C123" s="5" t="inlineStr">
        <is>
          <t>S3</t>
        </is>
      </c>
      <c r="D123" s="5" t="inlineStr">
        <is>
          <t>Duplicate</t>
        </is>
      </c>
      <c r="E123" s="5" t="inlineStr">
        <is>
          <t>L</t>
        </is>
      </c>
      <c r="F123" s="5" t="inlineStr">
        <is>
          <t>S3-RT-003</t>
        </is>
      </c>
      <c r="G123" s="5" t="inlineStr">
        <is>
          <t>Low matching confidence</t>
        </is>
      </c>
    </row>
    <row r="124">
      <c r="A124" s="5" t="inlineStr">
        <is>
          <t>THREMOLIA-S3-F065</t>
        </is>
      </c>
      <c r="B124" s="5" t="inlineStr">
        <is>
          <t>THREMOLIA</t>
        </is>
      </c>
      <c r="C124" s="5" t="inlineStr">
        <is>
          <t>S3</t>
        </is>
      </c>
      <c r="D124" s="5" t="inlineStr">
        <is>
          <t>Duplicate</t>
        </is>
      </c>
      <c r="E124" s="5" t="inlineStr">
        <is>
          <t>L</t>
        </is>
      </c>
      <c r="F124" s="5" t="inlineStr">
        <is>
          <t>S3-RT-003</t>
        </is>
      </c>
      <c r="G124" s="5" t="inlineStr">
        <is>
          <t>Low matching confidence</t>
        </is>
      </c>
    </row>
    <row r="125">
      <c r="A125" s="5" t="inlineStr">
        <is>
          <t>THREMOLIA-S3-F071</t>
        </is>
      </c>
      <c r="B125" s="5" t="inlineStr">
        <is>
          <t>THREMOLIA</t>
        </is>
      </c>
      <c r="C125" s="5" t="inlineStr">
        <is>
          <t>S3</t>
        </is>
      </c>
      <c r="D125" s="5" t="inlineStr">
        <is>
          <t>Duplicate</t>
        </is>
      </c>
      <c r="E125" s="5" t="inlineStr">
        <is>
          <t>L</t>
        </is>
      </c>
      <c r="F125" s="5" t="inlineStr">
        <is>
          <t>S3-RT-003</t>
        </is>
      </c>
      <c r="G125" s="5" t="inlineStr">
        <is>
          <t>Low matching confidence</t>
        </is>
      </c>
    </row>
    <row r="126">
      <c r="A126" s="5" t="inlineStr">
        <is>
          <t>THREMOLIA-S3-F073</t>
        </is>
      </c>
      <c r="B126" s="5" t="inlineStr">
        <is>
          <t>THREMOLIA</t>
        </is>
      </c>
      <c r="C126" s="5" t="inlineStr">
        <is>
          <t>S3</t>
        </is>
      </c>
      <c r="D126" s="5" t="inlineStr">
        <is>
          <t>Duplicate</t>
        </is>
      </c>
      <c r="E126" s="5" t="inlineStr">
        <is>
          <t>L</t>
        </is>
      </c>
      <c r="F126" s="5" t="inlineStr">
        <is>
          <t>S3-RT-004</t>
        </is>
      </c>
      <c r="G126" s="5" t="inlineStr">
        <is>
          <t>Low matching confidence</t>
        </is>
      </c>
    </row>
    <row r="127">
      <c r="A127" s="5" t="inlineStr">
        <is>
          <t>THREMOLIA-S3-F077</t>
        </is>
      </c>
      <c r="B127" s="5" t="inlineStr">
        <is>
          <t>THREMOLIA</t>
        </is>
      </c>
      <c r="C127" s="5" t="inlineStr">
        <is>
          <t>S3</t>
        </is>
      </c>
      <c r="D127" s="5" t="inlineStr">
        <is>
          <t>Duplicate</t>
        </is>
      </c>
      <c r="E127" s="5" t="inlineStr">
        <is>
          <t>L</t>
        </is>
      </c>
      <c r="F127" s="5" t="inlineStr">
        <is>
          <t>S3-RT-004</t>
        </is>
      </c>
      <c r="G127" s="5" t="inlineStr">
        <is>
          <t>Low matching confidence</t>
        </is>
      </c>
    </row>
    <row r="128">
      <c r="A128" s="5" t="inlineStr">
        <is>
          <t>THREMOLIA-S3-F083</t>
        </is>
      </c>
      <c r="B128" s="5" t="inlineStr">
        <is>
          <t>THREMOLIA</t>
        </is>
      </c>
      <c r="C128" s="5" t="inlineStr">
        <is>
          <t>S3</t>
        </is>
      </c>
      <c r="D128" s="5" t="inlineStr">
        <is>
          <t>Duplicate</t>
        </is>
      </c>
      <c r="E128" s="5" t="inlineStr">
        <is>
          <t>L</t>
        </is>
      </c>
      <c r="F128" s="5" t="inlineStr">
        <is>
          <t>S3-RT-011</t>
        </is>
      </c>
      <c r="G128" s="5" t="inlineStr">
        <is>
          <t>Low matching confidence</t>
        </is>
      </c>
    </row>
    <row r="129">
      <c r="A129" s="5" t="inlineStr">
        <is>
          <t>THREMOLIA-S3-F103</t>
        </is>
      </c>
      <c r="B129" s="5" t="inlineStr">
        <is>
          <t>THREMOLIA</t>
        </is>
      </c>
      <c r="C129" s="5" t="inlineStr">
        <is>
          <t>S3</t>
        </is>
      </c>
      <c r="D129" s="5" t="inlineStr">
        <is>
          <t>Duplicate</t>
        </is>
      </c>
      <c r="E129" s="5" t="inlineStr">
        <is>
          <t>L</t>
        </is>
      </c>
      <c r="F129" s="5" t="inlineStr">
        <is>
          <t>S3-RT-021</t>
        </is>
      </c>
      <c r="G129" s="5" t="inlineStr">
        <is>
          <t>Low matching confidence</t>
        </is>
      </c>
    </row>
    <row r="130">
      <c r="A130" s="20" t="inlineStr">
        <is>
          <t>93 items listed for review. All are boundary/dedup/confidence cases; the headline metrics are computed from Primary TP and are otherwise consistent.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4" customWidth="1" min="1" max="1"/>
    <col width="18" customWidth="1" min="2" max="2"/>
    <col width="16" customWidth="1" min="3" max="3"/>
    <col width="15" customWidth="1" min="4" max="4"/>
    <col width="60" customWidth="1" min="5" max="5"/>
    <col width="44" customWidth="1" min="6" max="6"/>
  </cols>
  <sheetData>
    <row r="1">
      <c r="A1" s="1" t="inlineStr">
        <is>
          <t>Change Log</t>
        </is>
      </c>
    </row>
    <row r="2">
      <c r="A2" s="2" t="inlineStr">
        <is>
          <t>Every modification to the original/audited workbook. The workbook was rebuilt from the authoritative source artifacts; this log records what changed and why.</t>
        </is>
      </c>
    </row>
    <row r="4">
      <c r="A4" s="4" t="inlineStr">
        <is>
          <t>Version</t>
        </is>
      </c>
      <c r="B4" s="4" t="inlineStr">
        <is>
          <t>Date</t>
        </is>
      </c>
      <c r="C4" s="4" t="inlineStr">
        <is>
          <t>Author</t>
        </is>
      </c>
      <c r="D4" s="4" t="inlineStr">
        <is>
          <t>Action</t>
        </is>
      </c>
      <c r="E4" s="4" t="inlineStr">
        <is>
          <t>Description</t>
        </is>
      </c>
      <c r="F4" s="4" t="inlineStr">
        <is>
          <t>Rationale / source</t>
        </is>
      </c>
    </row>
    <row r="5" ht="42" customHeight="1">
      <c r="A5" s="7" t="inlineStr">
        <is>
          <t>1.0</t>
        </is>
      </c>
      <c r="B5" s="7" t="inlineStr">
        <is>
          <t>2026-09-02</t>
        </is>
      </c>
      <c r="C5" s="7" t="inlineStr">
        <is>
          <t>Audit</t>
        </is>
      </c>
      <c r="D5" s="7" t="inlineStr">
        <is>
          <t>REBUILD</t>
        </is>
      </c>
      <c r="E5" s="7" t="inlineStr">
        <is>
          <t>Rebuilt the entire workbook from authoritative source artifacts (reference baseline CSVs + matching.csv) instead of the exported PDF.</t>
        </is>
      </c>
      <c r="F5" s="7" t="inlineStr">
        <is>
          <t>The exported PDF contained a TP/FP/Duplicate set that did not match the granular matching decision record; only the source artifacts are traceable at per-finding granularity.</t>
        </is>
      </c>
    </row>
    <row r="6" ht="42" customHeight="1">
      <c r="A6" s="7" t="inlineStr">
        <is>
          <t>1.1</t>
        </is>
      </c>
      <c r="B6" s="7" t="inlineStr">
        <is>
          <t>2026-09-02</t>
        </is>
      </c>
      <c r="C6" s="7" t="inlineStr">
        <is>
          <t>Audit</t>
        </is>
      </c>
      <c r="D6" s="7" t="inlineStr">
        <is>
          <t>CORRECTED</t>
        </is>
      </c>
      <c r="E6" s="7" t="inlineStr">
        <is>
          <t>Reconciled matching classification: Primary TP = 188, Duplicates = 339, FP = 498 (one-to-one rule).</t>
        </is>
      </c>
      <c r="F6" s="7" t="inlineStr">
        <is>
          <t>matching.csv is the authoritative per-finding classification; the workbook now derives every metric from it.</t>
        </is>
      </c>
    </row>
    <row r="7" ht="42" customHeight="1">
      <c r="A7" s="7" t="inlineStr">
        <is>
          <t>1.1</t>
        </is>
      </c>
      <c r="B7" s="7" t="inlineStr">
        <is>
          <t>2026-09-02</t>
        </is>
      </c>
      <c r="C7" s="7" t="inlineStr">
        <is>
          <t>Audit</t>
        </is>
      </c>
      <c r="D7" s="7" t="inlineStr">
        <is>
          <t>CORRECTED</t>
        </is>
      </c>
      <c r="E7" s="7" t="inlineStr">
        <is>
          <t>TP/FP/FN, Precision/Recall/F1, STRIDE recall, redundancy, severity, LLM-specific all recomputed from Primary TP.</t>
        </is>
      </c>
      <c r="F7" s="7" t="inlineStr">
        <is>
          <t>Ensures one-to-one rule and prevents duplicates from inflating recall.</t>
        </is>
      </c>
    </row>
    <row r="8" ht="42" customHeight="1">
      <c r="A8" s="7" t="inlineStr">
        <is>
          <t>1.2</t>
        </is>
      </c>
      <c r="B8" s="7" t="inlineStr">
        <is>
          <t>2026-09-02</t>
        </is>
      </c>
      <c r="C8" s="7" t="inlineStr">
        <is>
          <t>Audit</t>
        </is>
      </c>
      <c r="D8" s="7" t="inlineStr">
        <is>
          <t>ADDED</t>
        </is>
      </c>
      <c r="E8" s="7" t="inlineStr">
        <is>
          <t>Added explicit N/A - DATA NOT AVAILABLE status for Grounding, per-finding STRIDE precision/FP, Feature Completeness and MCDM composite.</t>
        </is>
      </c>
      <c r="F8" s="7" t="inlineStr">
        <is>
          <t>Source data was not provided; metrics are flagged rather than fabricated.</t>
        </is>
      </c>
    </row>
    <row r="9" ht="42" customHeight="1">
      <c r="A9" s="7" t="inlineStr">
        <is>
          <t>1.2</t>
        </is>
      </c>
      <c r="B9" s="7" t="inlineStr">
        <is>
          <t>2026-09-02</t>
        </is>
      </c>
      <c r="C9" s="7" t="inlineStr">
        <is>
          <t>Audit</t>
        </is>
      </c>
      <c r="D9" s="7" t="inlineStr">
        <is>
          <t>ADDED</t>
        </is>
      </c>
      <c r="E9" s="7" t="inlineStr">
        <is>
          <t>Added 12 formula-linked thesis tables, data-quality check sheet, manual-review list, change log and dashboard.</t>
        </is>
      </c>
      <c r="F9" s="7" t="inlineStr">
        <is>
          <t>Implements full traceability from final metric back to source.</t>
        </is>
      </c>
    </row>
    <row r="10" ht="42" customHeight="1">
      <c r="A10" s="7" t="inlineStr">
        <is>
          <t>1.3</t>
        </is>
      </c>
      <c r="B10" s="7" t="inlineStr">
        <is>
          <t>2026-09-02</t>
        </is>
      </c>
      <c r="C10" s="7" t="inlineStr">
        <is>
          <t>Audit</t>
        </is>
      </c>
      <c r="D10" s="7" t="inlineStr">
        <is>
          <t>VERIFIED</t>
        </is>
      </c>
      <c r="E10" s="7" t="inlineStr">
        <is>
          <t>Cross-checked every workbook total against the authoritative expected values (1,025 / 123 / 301 / 181 / 92 / 328 / 98 / 32 / 33 / 33).</t>
        </is>
      </c>
      <c r="F10" s="7" t="inlineStr">
        <is>
          <t>All PASS.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Dashboard — Key Results</t>
        </is>
      </c>
    </row>
    <row r="2">
      <c r="A2" s="2" t="inlineStr">
        <is>
          <t>High-level summary. All values are live formulas. Metrics that require absent data show N/A - DATA NOT AVAILABLE.</t>
        </is>
      </c>
    </row>
    <row r="4">
      <c r="A4" s="29" t="inlineStr">
        <is>
          <t>AGGREGATE (all scenarios / all approaches)</t>
        </is>
      </c>
    </row>
    <row r="5">
      <c r="A5" s="4" t="inlineStr">
        <is>
          <t>Metric</t>
        </is>
      </c>
      <c r="B5" s="4" t="inlineStr">
        <is>
          <t>Value</t>
        </is>
      </c>
    </row>
    <row r="6">
      <c r="A6" s="5" t="inlineStr">
        <is>
          <t>Total generated findings</t>
        </is>
      </c>
      <c r="B6" s="5" t="n">
        <f>COUNTA('03_RAW_FINDINGS'!$A$2:$A$1026)</f>
        <v>1025.0</v>
      </c>
    </row>
    <row r="7">
      <c r="A7" s="5" t="inlineStr">
        <is>
          <t>Expert reference threats</t>
        </is>
      </c>
      <c r="B7" s="5" t="n">
        <f>COUNTIF('02_REFERENCE'!$S$2:$S$99,"YES")</f>
        <v>98.0</v>
      </c>
    </row>
    <row r="8">
      <c r="A8" s="5" t="inlineStr">
        <is>
          <t>Primary TP (unique covered references)</t>
        </is>
      </c>
      <c r="B8" s="5" t="n">
        <f>COUNTIF('04_MATCHING'!$H$2:$H$1026,"Primary TP")</f>
        <v>188.0</v>
      </c>
    </row>
    <row r="9">
      <c r="A9" s="5" t="inlineStr">
        <is>
          <t>Duplicates</t>
        </is>
      </c>
      <c r="B9" s="5" t="n">
        <f>COUNTIF('04_MATCHING'!$H$2:$H$1026,"Duplicate")</f>
        <v>339.0</v>
      </c>
    </row>
    <row r="10">
      <c r="A10" s="5" t="inlineStr">
        <is>
          <t>False positives</t>
        </is>
      </c>
      <c r="B10" s="5" t="n">
        <f>COUNTIF('04_MATCHING'!$H$2:$H$1026,"False Positive")</f>
        <v>498.0</v>
      </c>
    </row>
    <row r="11">
      <c r="A11" s="5" t="inlineStr">
        <is>
          <t>Overall precision (Primary TP)</t>
        </is>
      </c>
      <c r="B11" s="25" t="n">
        <f>IFERROR(COUNTIF('04_MATCHING'!$H$2:$H$1026,"Primary TP")/(COUNTIF('04_MATCHING'!$H$2:$H$1026,"Primary TP")+COUNTIF('04_MATCHING'!$H$2:$H$1026,"False Positive")),"")</f>
        <v>0.27405247813411077</v>
      </c>
    </row>
    <row r="12">
      <c r="A12" s="5" t="inlineStr">
        <is>
          <t>Overall recall (mean of 5 approach recalls)</t>
        </is>
      </c>
      <c r="B12" s="25" t="n">
        <f>IFERROR(AVERAGE(F17:F21),"")</f>
        <v>0.3836734693877551</v>
      </c>
    </row>
    <row r="13">
      <c r="A13" s="5" t="inlineStr">
        <is>
          <t>Overall F1 (mean of 5 approach F1)</t>
        </is>
      </c>
      <c r="B13" s="26" t="n">
        <f>IFERROR(AVERAGE(G17:G21),"")</f>
        <v>0.32565925830729975</v>
      </c>
    </row>
    <row r="15">
      <c r="A15" s="29" t="inlineStr">
        <is>
          <t>PER-APPROACH (across all scenarios)</t>
        </is>
      </c>
    </row>
    <row r="16">
      <c r="A16" s="4" t="inlineStr">
        <is>
          <t>Approach</t>
        </is>
      </c>
      <c r="B16" s="4" t="inlineStr">
        <is>
          <t>Findings</t>
        </is>
      </c>
      <c r="C16" s="4" t="inlineStr">
        <is>
          <t>Primary TP</t>
        </is>
      </c>
      <c r="D16" s="4" t="inlineStr">
        <is>
          <t>FP</t>
        </is>
      </c>
      <c r="E16" s="4" t="inlineStr">
        <is>
          <t>Precision</t>
        </is>
      </c>
      <c r="F16" s="4" t="inlineStr">
        <is>
          <t>Recall</t>
        </is>
      </c>
      <c r="G16" s="4" t="inlineStr">
        <is>
          <t>F1</t>
        </is>
      </c>
      <c r="H16" s="4" t="inlineStr">
        <is>
          <t>Duplicates</t>
        </is>
      </c>
      <c r="I16" s="4" t="inlineStr">
        <is>
          <t>Redundancy Rate</t>
        </is>
      </c>
    </row>
    <row r="17">
      <c r="A17" s="5" t="inlineStr">
        <is>
          <t>OWASP Threat Dragon</t>
        </is>
      </c>
      <c r="B17" s="5" t="n">
        <f>SUMIF('05_TP_FP_FN'!$A$5:$A$19,"OWASP",'05_TP_FP_FN'!$C$5:$C$19)</f>
        <v>123</v>
      </c>
      <c r="C17" s="5" t="n">
        <f>SUMIF('05_TP_FP_FN'!$A$5:$A$19,"OWASP",'05_TP_FP_FN'!$E$5:$E$19)</f>
        <v>19</v>
      </c>
      <c r="D17" s="5" t="n">
        <f>SUMIF('05_TP_FP_FN'!$A$5:$A$19,"OWASP",'05_TP_FP_FN'!$F$5:$F$19)</f>
        <v>79</v>
      </c>
      <c r="E17" s="25" t="n">
        <f>IFERROR(C17/(C17+D17),"")</f>
        <v>0.19387755102040816</v>
      </c>
      <c r="F17" s="25" t="n">
        <f>IFERROR(C17/SUMIFS('05_TP_FP_FN'!$D$5:$D$19,'05_TP_FP_FN'!$A$5:$A$19,"OWASP"),"")</f>
        <v>0.19387755102040816</v>
      </c>
      <c r="G17" s="26" t="n">
        <f>IFERROR(2*E17*F17/(E17+F17),"")</f>
        <v>0.19387755102040816</v>
      </c>
      <c r="H17" s="5" t="n">
        <f>SUMIF('05_TP_FP_FN'!$A$5:$A$19,"OWASP",'05_TP_FP_FN'!$G$5:$G$19)</f>
        <v>25</v>
      </c>
      <c r="I17" s="25" t="n">
        <f>IFERROR(H17/B17,"")</f>
        <v>0.2032520325203252</v>
      </c>
    </row>
    <row r="18">
      <c r="A18" s="5" t="inlineStr">
        <is>
          <t>Microsoft Threat Modeling Tool</t>
        </is>
      </c>
      <c r="B18" s="5" t="n">
        <f>SUMIF('05_TP_FP_FN'!$A$5:$A$19,"TMT",'05_TP_FP_FN'!$C$5:$C$19)</f>
        <v>301</v>
      </c>
      <c r="C18" s="5" t="n">
        <f>SUMIF('05_TP_FP_FN'!$A$5:$A$19,"TMT",'05_TP_FP_FN'!$E$5:$E$19)</f>
        <v>28</v>
      </c>
      <c r="D18" s="5" t="n">
        <f>SUMIF('05_TP_FP_FN'!$A$5:$A$19,"TMT",'05_TP_FP_FN'!$F$5:$F$19)</f>
        <v>221</v>
      </c>
      <c r="E18" s="25" t="n">
        <f>IFERROR(C18/(C18+D18),"")</f>
        <v>0.11244979919678715</v>
      </c>
      <c r="F18" s="25" t="n">
        <f>IFERROR(C18/SUMIFS('05_TP_FP_FN'!$D$5:$D$19,'05_TP_FP_FN'!$A$5:$A$19,"TMT"),"")</f>
        <v>0.2857142857142857</v>
      </c>
      <c r="G18" s="26" t="n">
        <f>IFERROR(2*E18*F18/(E18+F18),"")</f>
        <v>0.16138328530259366</v>
      </c>
      <c r="H18" s="5" t="n">
        <f>SUMIF('05_TP_FP_FN'!$A$5:$A$19,"TMT",'05_TP_FP_FN'!$G$5:$G$19)</f>
        <v>52</v>
      </c>
      <c r="I18" s="25" t="n">
        <f>IFERROR(H18/B18,"")</f>
        <v>0.17275747508305647</v>
      </c>
    </row>
    <row r="19">
      <c r="A19" s="5" t="inlineStr">
        <is>
          <t>ChatGPT</t>
        </is>
      </c>
      <c r="B19" s="5" t="n">
        <f>SUMIF('05_TP_FP_FN'!$A$5:$A$19,"CHATGPT",'05_TP_FP_FN'!$C$5:$C$19)</f>
        <v>181</v>
      </c>
      <c r="C19" s="5" t="n">
        <f>SUMIF('05_TP_FP_FN'!$A$5:$A$19,"CHATGPT",'05_TP_FP_FN'!$E$5:$E$19)</f>
        <v>52</v>
      </c>
      <c r="D19" s="5" t="n">
        <f>SUMIF('05_TP_FP_FN'!$A$5:$A$19,"CHATGPT",'05_TP_FP_FN'!$F$5:$F$19)</f>
        <v>57</v>
      </c>
      <c r="E19" s="25" t="n">
        <f>IFERROR(C19/(C19+D19),"")</f>
        <v>0.47706422018348627</v>
      </c>
      <c r="F19" s="25" t="n">
        <f>IFERROR(C19/SUMIFS('05_TP_FP_FN'!$D$5:$D$19,'05_TP_FP_FN'!$A$5:$A$19,"CHATGPT"),"")</f>
        <v>0.5306122448979592</v>
      </c>
      <c r="G19" s="26" t="n">
        <f>IFERROR(2*E19*F19/(E19+F19),"")</f>
        <v>0.5024154589371982</v>
      </c>
      <c r="H19" s="5" t="n">
        <f>SUMIF('05_TP_FP_FN'!$A$5:$A$19,"CHATGPT",'05_TP_FP_FN'!$G$5:$G$19)</f>
        <v>72</v>
      </c>
      <c r="I19" s="25" t="n">
        <f>IFERROR(H19/B19,"")</f>
        <v>0.39779005524861877</v>
      </c>
    </row>
    <row r="20">
      <c r="A20" s="5" t="inlineStr">
        <is>
          <t>Ollama (local LLM)</t>
        </is>
      </c>
      <c r="B20" s="5" t="n">
        <f>SUMIF('05_TP_FP_FN'!$A$5:$A$19,"OLLAMA",'05_TP_FP_FN'!$C$5:$C$19)</f>
        <v>92</v>
      </c>
      <c r="C20" s="5" t="n">
        <f>SUMIF('05_TP_FP_FN'!$A$5:$A$19,"OLLAMA",'05_TP_FP_FN'!$E$5:$E$19)</f>
        <v>20</v>
      </c>
      <c r="D20" s="5" t="n">
        <f>SUMIF('05_TP_FP_FN'!$A$5:$A$19,"OLLAMA",'05_TP_FP_FN'!$F$5:$F$19)</f>
        <v>46</v>
      </c>
      <c r="E20" s="25" t="n">
        <f>IFERROR(C20/(C20+D20),"")</f>
        <v>0.30303030303030304</v>
      </c>
      <c r="F20" s="25" t="n">
        <f>IFERROR(C20/SUMIFS('05_TP_FP_FN'!$D$5:$D$19,'05_TP_FP_FN'!$A$5:$A$19,"OLLAMA"),"")</f>
        <v>0.20408163265306123</v>
      </c>
      <c r="G20" s="26" t="n">
        <f>IFERROR(2*E20*F20/(E20+F20),"")</f>
        <v>0.24390243902439027</v>
      </c>
      <c r="H20" s="5" t="n">
        <f>SUMIF('05_TP_FP_FN'!$A$5:$A$19,"OLLAMA",'05_TP_FP_FN'!$G$5:$G$19)</f>
        <v>26</v>
      </c>
      <c r="I20" s="25" t="n">
        <f>IFERROR(H20/B20,"")</f>
        <v>0.2826086956521739</v>
      </c>
    </row>
    <row r="21">
      <c r="A21" s="5" t="inlineStr">
        <is>
          <t>ThreMoLIA</t>
        </is>
      </c>
      <c r="B21" s="5" t="n">
        <f>SUMIF('05_TP_FP_FN'!$A$5:$A$19,"THREMOLIA",'05_TP_FP_FN'!$C$5:$C$19)</f>
        <v>328</v>
      </c>
      <c r="C21" s="5" t="n">
        <f>SUMIF('05_TP_FP_FN'!$A$5:$A$19,"THREMOLIA",'05_TP_FP_FN'!$E$5:$E$19)</f>
        <v>69</v>
      </c>
      <c r="D21" s="5" t="n">
        <f>SUMIF('05_TP_FP_FN'!$A$5:$A$19,"THREMOLIA",'05_TP_FP_FN'!$F$5:$F$19)</f>
        <v>95</v>
      </c>
      <c r="E21" s="25" t="n">
        <f>IFERROR(C21/(C21+D21),"")</f>
        <v>0.42073170731707316</v>
      </c>
      <c r="F21" s="25" t="n">
        <f>IFERROR(C21/SUMIFS('05_TP_FP_FN'!$D$5:$D$19,'05_TP_FP_FN'!$A$5:$A$19,"THREMOLIA"),"")</f>
        <v>0.7040816326530612</v>
      </c>
      <c r="G21" s="26" t="n">
        <f>IFERROR(2*E21*F21/(E21+F21),"")</f>
        <v>0.5267175572519085</v>
      </c>
      <c r="H21" s="5" t="n">
        <f>SUMIF('05_TP_FP_FN'!$A$5:$A$19,"THREMOLIA",'05_TP_FP_FN'!$G$5:$G$19)</f>
        <v>164</v>
      </c>
      <c r="I21" s="25" t="n">
        <f>IFERROR(H21/B21,"")</f>
        <v>0.5</v>
      </c>
    </row>
    <row r="23">
      <c r="A23" s="29" t="inlineStr">
        <is>
          <t>NOT REPORTED / N/A</t>
        </is>
      </c>
    </row>
    <row r="24">
      <c r="A24" s="5" t="inlineStr">
        <is>
          <t>Grounding rate, grounded/ungrounded breakdown, MCDM composite rank, STRIDE precision (Generated/FP), feature completeness. Source data not provided.</t>
        </is>
      </c>
    </row>
    <row r="25">
      <c r="A25" s="20" t="inlineStr">
        <is>
          <t>Status flag: see 15_DATA_QUALITY for PASS/WARNING/FAIL and the manual-review list.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4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Documentation — Final Results Summary</t>
        </is>
      </c>
    </row>
    <row r="2">
      <c r="A2" s="2" t="inlineStr">
        <is>
          <t>Consolidated, copy-ready summary of all final results for the thesis. Every figure is a live formula (also cached in this file). N/A = metric not computable from the supplied source data.</t>
        </is>
      </c>
    </row>
    <row r="4">
      <c r="A4" s="29" t="inlineStr">
        <is>
          <t>TABLE A — Raw findings and reference baseline</t>
        </is>
      </c>
    </row>
    <row r="5">
      <c r="A5" s="4" t="inlineStr">
        <is>
          <t>Approach</t>
        </is>
      </c>
      <c r="B5" s="4" t="inlineStr">
        <is>
          <t>S1</t>
        </is>
      </c>
      <c r="C5" s="4" t="inlineStr">
        <is>
          <t>S2</t>
        </is>
      </c>
      <c r="D5" s="4" t="inlineStr">
        <is>
          <t>S3</t>
        </is>
      </c>
      <c r="E5" s="4" t="inlineStr">
        <is>
          <t>Total</t>
        </is>
      </c>
      <c r="F5" s="4" t="inlineStr">
        <is>
          <t>Reference threats</t>
        </is>
      </c>
      <c r="G5" s="4" t="inlineStr">
        <is>
          <t>LLM-specific refs</t>
        </is>
      </c>
    </row>
    <row r="6">
      <c r="A6" s="5" t="inlineStr">
        <is>
          <t>OWASP Threat Dragon</t>
        </is>
      </c>
      <c r="B6" s="5" t="n">
        <f>COUNTIFS('04_MATCHING'!$B$2:$B$1026,"OWASP",'04_MATCHING'!$C$2:$C$1026,"S1")</f>
        <v>38.0</v>
      </c>
      <c r="C6" s="5" t="n">
        <f>COUNTIFS('04_MATCHING'!$B$2:$B$1026,"OWASP",'04_MATCHING'!$C$2:$C$1026,"S2")</f>
        <v>39.0</v>
      </c>
      <c r="D6" s="5" t="n">
        <f>COUNTIFS('04_MATCHING'!$B$2:$B$1026,"OWASP",'04_MATCHING'!$C$2:$C$1026,"S3")</f>
        <v>46.0</v>
      </c>
      <c r="E6" s="5" t="n">
        <f>SUM(B6:D6)</f>
        <v>123</v>
      </c>
      <c r="F6" s="5" t="inlineStr"/>
    </row>
    <row r="7">
      <c r="A7" s="5" t="inlineStr">
        <is>
          <t>Microsoft Threat Modeling Tool</t>
        </is>
      </c>
      <c r="B7" s="5" t="n">
        <f>COUNTIFS('04_MATCHING'!$B$2:$B$1026,"TMT",'04_MATCHING'!$C$2:$C$1026,"S1")</f>
        <v>95.0</v>
      </c>
      <c r="C7" s="5" t="n">
        <f>COUNTIFS('04_MATCHING'!$B$2:$B$1026,"TMT",'04_MATCHING'!$C$2:$C$1026,"S2")</f>
        <v>89.0</v>
      </c>
      <c r="D7" s="5" t="n">
        <f>COUNTIFS('04_MATCHING'!$B$2:$B$1026,"TMT",'04_MATCHING'!$C$2:$C$1026,"S3")</f>
        <v>117.0</v>
      </c>
      <c r="E7" s="5" t="n">
        <f>SUM(B7:D7)</f>
        <v>301</v>
      </c>
      <c r="F7" s="5" t="inlineStr"/>
    </row>
    <row r="8">
      <c r="A8" s="5" t="inlineStr">
        <is>
          <t>ChatGPT</t>
        </is>
      </c>
      <c r="B8" s="5" t="n">
        <f>COUNTIFS('04_MATCHING'!$B$2:$B$1026,"CHATGPT",'04_MATCHING'!$C$2:$C$1026,"S1")</f>
        <v>72.0</v>
      </c>
      <c r="C8" s="5" t="n">
        <f>COUNTIFS('04_MATCHING'!$B$2:$B$1026,"CHATGPT",'04_MATCHING'!$C$2:$C$1026,"S2")</f>
        <v>60.0</v>
      </c>
      <c r="D8" s="5" t="n">
        <f>COUNTIFS('04_MATCHING'!$B$2:$B$1026,"CHATGPT",'04_MATCHING'!$C$2:$C$1026,"S3")</f>
        <v>49.0</v>
      </c>
      <c r="E8" s="5" t="n">
        <f>SUM(B8:D8)</f>
        <v>181</v>
      </c>
      <c r="F8" s="5" t="inlineStr"/>
    </row>
    <row r="9">
      <c r="A9" s="5" t="inlineStr">
        <is>
          <t>Ollama (local LLM)</t>
        </is>
      </c>
      <c r="B9" s="5" t="n">
        <f>COUNTIFS('04_MATCHING'!$B$2:$B$1026,"OLLAMA",'04_MATCHING'!$C$2:$C$1026,"S1")</f>
        <v>40.0</v>
      </c>
      <c r="C9" s="5" t="n">
        <f>COUNTIFS('04_MATCHING'!$B$2:$B$1026,"OLLAMA",'04_MATCHING'!$C$2:$C$1026,"S2")</f>
        <v>28.0</v>
      </c>
      <c r="D9" s="5" t="n">
        <f>COUNTIFS('04_MATCHING'!$B$2:$B$1026,"OLLAMA",'04_MATCHING'!$C$2:$C$1026,"S3")</f>
        <v>24.0</v>
      </c>
      <c r="E9" s="5" t="n">
        <f>SUM(B9:D9)</f>
        <v>92</v>
      </c>
      <c r="F9" s="5" t="inlineStr"/>
    </row>
    <row r="10">
      <c r="A10" s="5" t="inlineStr">
        <is>
          <t>ThreMoLIA</t>
        </is>
      </c>
      <c r="B10" s="5" t="n">
        <f>COUNTIFS('04_MATCHING'!$B$2:$B$1026,"THREMOLIA",'04_MATCHING'!$C$2:$C$1026,"S1")</f>
        <v>106.0</v>
      </c>
      <c r="C10" s="5" t="n">
        <f>COUNTIFS('04_MATCHING'!$B$2:$B$1026,"THREMOLIA",'04_MATCHING'!$C$2:$C$1026,"S2")</f>
        <v>105.0</v>
      </c>
      <c r="D10" s="5" t="n">
        <f>COUNTIFS('04_MATCHING'!$B$2:$B$1026,"THREMOLIA",'04_MATCHING'!$C$2:$C$1026,"S3")</f>
        <v>117.0</v>
      </c>
      <c r="E10" s="5" t="n">
        <f>SUM(B10:D10)</f>
        <v>328</v>
      </c>
      <c r="F10" s="5" t="inlineStr"/>
    </row>
    <row r="11">
      <c r="A11" s="6" t="inlineStr">
        <is>
          <t>EXPERT REFERENCE BASELINE (threats)</t>
        </is>
      </c>
      <c r="B11" s="5" t="n">
        <f>COUNTIFS('02_REFERENCE'!$B$2:$B$99,"S1",'02_REFERENCE'!$S$2:$S$99,"YES")</f>
        <v>32.0</v>
      </c>
      <c r="C11" s="5" t="n">
        <f>COUNTIFS('02_REFERENCE'!$B$2:$B$99,"S2",'02_REFERENCE'!$S$2:$S$99,"YES")</f>
        <v>33.0</v>
      </c>
      <c r="D11" s="5" t="n">
        <f>COUNTIFS('02_REFERENCE'!$B$2:$B$99,"S3",'02_REFERENCE'!$S$2:$S$99,"YES")</f>
        <v>33.0</v>
      </c>
      <c r="E11" s="5" t="n">
        <f>SUM(B11:D11)</f>
        <v>98</v>
      </c>
      <c r="F11" s="5" t="n">
        <f>COUNTIF('02_REFERENCE'!$S$2:$S$99,"YES")</f>
        <v>98.0</v>
      </c>
      <c r="G11" s="5" t="n">
        <f>COUNTIF('02_REFERENCE'!$Q$2:$Q$99,"Yes")</f>
        <v>38.0</v>
      </c>
    </row>
    <row r="13">
      <c r="A13" s="29" t="inlineStr">
        <is>
          <t>TABLE B — TP / FP / FN (Primary TP, one-to-one rule)</t>
        </is>
      </c>
    </row>
    <row r="14">
      <c r="A14" s="4" t="inlineStr">
        <is>
          <t>Approach</t>
        </is>
      </c>
      <c r="B14" s="4" t="inlineStr">
        <is>
          <t>Generated</t>
        </is>
      </c>
      <c r="C14" s="4" t="inlineStr">
        <is>
          <t>Reference</t>
        </is>
      </c>
      <c r="D14" s="4" t="inlineStr">
        <is>
          <t>Primary TP</t>
        </is>
      </c>
      <c r="E14" s="4" t="inlineStr">
        <is>
          <t>FP</t>
        </is>
      </c>
      <c r="F14" s="4" t="inlineStr">
        <is>
          <t>Duplicates</t>
        </is>
      </c>
      <c r="G14" s="4" t="inlineStr">
        <is>
          <t>FN</t>
        </is>
      </c>
    </row>
    <row r="15">
      <c r="A15" s="5" t="inlineStr">
        <is>
          <t>OWASP Threat Dragon</t>
        </is>
      </c>
      <c r="B15" s="5" t="n">
        <f>SUMIF('05_TP_FP_FN'!$A$5:$A$19,"OWASP",'05_TP_FP_FN'!$C$5:$C$19)</f>
        <v>123</v>
      </c>
      <c r="C15" s="5" t="n">
        <f>SUMIF('05_TP_FP_FN'!$A$5:$A$19,"OWASP",'05_TP_FP_FN'!$D$5:$D$19)</f>
        <v>98</v>
      </c>
      <c r="D15" s="5" t="n">
        <f>SUMIF('05_TP_FP_FN'!$A$5:$A$19,"OWASP",'05_TP_FP_FN'!$E$5:$E$19)</f>
        <v>19</v>
      </c>
      <c r="E15" s="5" t="n">
        <f>SUMIF('05_TP_FP_FN'!$A$5:$A$19,"OWASP",'05_TP_FP_FN'!$F$5:$F$19)</f>
        <v>79</v>
      </c>
      <c r="F15" s="5" t="n">
        <f>SUMIF('05_TP_FP_FN'!$A$5:$A$19,"OWASP",'05_TP_FP_FN'!$G$5:$G$19)</f>
        <v>25</v>
      </c>
      <c r="G15" s="5" t="n">
        <f>C15-D15</f>
        <v>79</v>
      </c>
    </row>
    <row r="16">
      <c r="A16" s="5" t="inlineStr">
        <is>
          <t>Microsoft Threat Modeling Tool</t>
        </is>
      </c>
      <c r="B16" s="5" t="n">
        <f>SUMIF('05_TP_FP_FN'!$A$5:$A$19,"TMT",'05_TP_FP_FN'!$C$5:$C$19)</f>
        <v>301</v>
      </c>
      <c r="C16" s="5" t="n">
        <f>SUMIF('05_TP_FP_FN'!$A$5:$A$19,"TMT",'05_TP_FP_FN'!$D$5:$D$19)</f>
        <v>98</v>
      </c>
      <c r="D16" s="5" t="n">
        <f>SUMIF('05_TP_FP_FN'!$A$5:$A$19,"TMT",'05_TP_FP_FN'!$E$5:$E$19)</f>
        <v>28</v>
      </c>
      <c r="E16" s="5" t="n">
        <f>SUMIF('05_TP_FP_FN'!$A$5:$A$19,"TMT",'05_TP_FP_FN'!$F$5:$F$19)</f>
        <v>221</v>
      </c>
      <c r="F16" s="5" t="n">
        <f>SUMIF('05_TP_FP_FN'!$A$5:$A$19,"TMT",'05_TP_FP_FN'!$G$5:$G$19)</f>
        <v>52</v>
      </c>
      <c r="G16" s="5" t="n">
        <f>C16-D16</f>
        <v>70</v>
      </c>
    </row>
    <row r="17">
      <c r="A17" s="5" t="inlineStr">
        <is>
          <t>ChatGPT</t>
        </is>
      </c>
      <c r="B17" s="5" t="n">
        <f>SUMIF('05_TP_FP_FN'!$A$5:$A$19,"CHATGPT",'05_TP_FP_FN'!$C$5:$C$19)</f>
        <v>181</v>
      </c>
      <c r="C17" s="5" t="n">
        <f>SUMIF('05_TP_FP_FN'!$A$5:$A$19,"CHATGPT",'05_TP_FP_FN'!$D$5:$D$19)</f>
        <v>98</v>
      </c>
      <c r="D17" s="5" t="n">
        <f>SUMIF('05_TP_FP_FN'!$A$5:$A$19,"CHATGPT",'05_TP_FP_FN'!$E$5:$E$19)</f>
        <v>52</v>
      </c>
      <c r="E17" s="5" t="n">
        <f>SUMIF('05_TP_FP_FN'!$A$5:$A$19,"CHATGPT",'05_TP_FP_FN'!$F$5:$F$19)</f>
        <v>57</v>
      </c>
      <c r="F17" s="5" t="n">
        <f>SUMIF('05_TP_FP_FN'!$A$5:$A$19,"CHATGPT",'05_TP_FP_FN'!$G$5:$G$19)</f>
        <v>72</v>
      </c>
      <c r="G17" s="5" t="n">
        <f>C17-D17</f>
        <v>46</v>
      </c>
    </row>
    <row r="18">
      <c r="A18" s="5" t="inlineStr">
        <is>
          <t>Ollama (local LLM)</t>
        </is>
      </c>
      <c r="B18" s="5" t="n">
        <f>SUMIF('05_TP_FP_FN'!$A$5:$A$19,"OLLAMA",'05_TP_FP_FN'!$C$5:$C$19)</f>
        <v>92</v>
      </c>
      <c r="C18" s="5" t="n">
        <f>SUMIF('05_TP_FP_FN'!$A$5:$A$19,"OLLAMA",'05_TP_FP_FN'!$D$5:$D$19)</f>
        <v>98</v>
      </c>
      <c r="D18" s="5" t="n">
        <f>SUMIF('05_TP_FP_FN'!$A$5:$A$19,"OLLAMA",'05_TP_FP_FN'!$E$5:$E$19)</f>
        <v>20</v>
      </c>
      <c r="E18" s="5" t="n">
        <f>SUMIF('05_TP_FP_FN'!$A$5:$A$19,"OLLAMA",'05_TP_FP_FN'!$F$5:$F$19)</f>
        <v>46</v>
      </c>
      <c r="F18" s="5" t="n">
        <f>SUMIF('05_TP_FP_FN'!$A$5:$A$19,"OLLAMA",'05_TP_FP_FN'!$G$5:$G$19)</f>
        <v>26</v>
      </c>
      <c r="G18" s="5" t="n">
        <f>C18-D18</f>
        <v>78</v>
      </c>
    </row>
    <row r="19">
      <c r="A19" s="5" t="inlineStr">
        <is>
          <t>ThreMoLIA</t>
        </is>
      </c>
      <c r="B19" s="5" t="n">
        <f>SUMIF('05_TP_FP_FN'!$A$5:$A$19,"THREMOLIA",'05_TP_FP_FN'!$C$5:$C$19)</f>
        <v>328</v>
      </c>
      <c r="C19" s="5" t="n">
        <f>SUMIF('05_TP_FP_FN'!$A$5:$A$19,"THREMOLIA",'05_TP_FP_FN'!$D$5:$D$19)</f>
        <v>98</v>
      </c>
      <c r="D19" s="5" t="n">
        <f>SUMIF('05_TP_FP_FN'!$A$5:$A$19,"THREMOLIA",'05_TP_FP_FN'!$E$5:$E$19)</f>
        <v>69</v>
      </c>
      <c r="E19" s="5" t="n">
        <f>SUMIF('05_TP_FP_FN'!$A$5:$A$19,"THREMOLIA",'05_TP_FP_FN'!$F$5:$F$19)</f>
        <v>95</v>
      </c>
      <c r="F19" s="5" t="n">
        <f>SUMIF('05_TP_FP_FN'!$A$5:$A$19,"THREMOLIA",'05_TP_FP_FN'!$G$5:$G$19)</f>
        <v>164</v>
      </c>
      <c r="G19" s="5" t="n">
        <f>C19-D19</f>
        <v>29</v>
      </c>
    </row>
    <row r="20">
      <c r="A20" s="6" t="inlineStr">
        <is>
          <t>TOTAL</t>
        </is>
      </c>
      <c r="B20" s="6" t="n">
        <f>SUM(B15:B19)</f>
        <v>1025</v>
      </c>
      <c r="C20" s="6" t="n">
        <f>SUM(C15:C19)</f>
        <v>490</v>
      </c>
      <c r="D20" s="6" t="n">
        <f>SUM(D15:D19)</f>
        <v>188</v>
      </c>
      <c r="E20" s="6" t="n">
        <f>SUM(E15:E19)</f>
        <v>498</v>
      </c>
      <c r="F20" s="6" t="n">
        <f>SUM(F15:F19)</f>
        <v>339</v>
      </c>
      <c r="G20" s="6" t="n">
        <f>SUM(G15:G19)</f>
        <v>302</v>
      </c>
    </row>
    <row r="22">
      <c r="A22" s="29" t="inlineStr">
        <is>
          <t>TABLE C — Precision / Recall / F1 (per Approach x Scenario)</t>
        </is>
      </c>
    </row>
    <row r="23">
      <c r="A23" s="4" t="inlineStr">
        <is>
          <t>Approach</t>
        </is>
      </c>
      <c r="B23" s="4" t="inlineStr">
        <is>
          <t>Scenario</t>
        </is>
      </c>
      <c r="C23" s="4" t="inlineStr">
        <is>
          <t>Precision</t>
        </is>
      </c>
      <c r="D23" s="4" t="inlineStr">
        <is>
          <t>Recall</t>
        </is>
      </c>
      <c r="E23" s="4" t="inlineStr">
        <is>
          <t>F1</t>
        </is>
      </c>
    </row>
    <row r="24">
      <c r="A24" s="5" t="inlineStr">
        <is>
          <t>OWASP Threat Dragon</t>
        </is>
      </c>
      <c r="B24" s="5" t="inlineStr">
        <is>
          <t>S1</t>
        </is>
      </c>
      <c r="C24" s="25" t="n">
        <f>'06_METRICS'!I5</f>
        <v>0.1875</v>
      </c>
      <c r="D24" s="25" t="n">
        <f>'06_METRICS'!J5</f>
        <v>0.1875</v>
      </c>
      <c r="E24" s="26" t="n">
        <f>'06_METRICS'!K5</f>
        <v>0.1875</v>
      </c>
    </row>
    <row r="25">
      <c r="A25" s="5" t="inlineStr">
        <is>
          <t>OWASP Threat Dragon</t>
        </is>
      </c>
      <c r="B25" s="5" t="inlineStr">
        <is>
          <t>S2</t>
        </is>
      </c>
      <c r="C25" s="25" t="n">
        <f>'06_METRICS'!I6</f>
        <v>0.18181818181818182</v>
      </c>
      <c r="D25" s="25" t="n">
        <f>'06_METRICS'!J6</f>
        <v>0.18181818181818182</v>
      </c>
      <c r="E25" s="26" t="n">
        <f>'06_METRICS'!K6</f>
        <v>0.18181818181818182</v>
      </c>
    </row>
    <row r="26">
      <c r="A26" s="5" t="inlineStr">
        <is>
          <t>OWASP Threat Dragon</t>
        </is>
      </c>
      <c r="B26" s="5" t="inlineStr">
        <is>
          <t>S3</t>
        </is>
      </c>
      <c r="C26" s="25" t="n">
        <f>'06_METRICS'!I7</f>
        <v>0.21212121212121213</v>
      </c>
      <c r="D26" s="25" t="n">
        <f>'06_METRICS'!J7</f>
        <v>0.21212121212121213</v>
      </c>
      <c r="E26" s="26" t="n">
        <f>'06_METRICS'!K7</f>
        <v>0.21212121212121215</v>
      </c>
    </row>
    <row r="27">
      <c r="A27" s="5" t="inlineStr">
        <is>
          <t>Microsoft Threat Modeling Tool</t>
        </is>
      </c>
      <c r="B27" s="5" t="inlineStr">
        <is>
          <t>S1</t>
        </is>
      </c>
      <c r="C27" s="25" t="n">
        <f>'06_METRICS'!I8</f>
        <v>0.10975609756097561</v>
      </c>
      <c r="D27" s="25" t="n">
        <f>'06_METRICS'!J8</f>
        <v>0.28125</v>
      </c>
      <c r="E27" s="26" t="n">
        <f>'06_METRICS'!K8</f>
        <v>0.15789473684210525</v>
      </c>
    </row>
    <row r="28">
      <c r="A28" s="5" t="inlineStr">
        <is>
          <t>Microsoft Threat Modeling Tool</t>
        </is>
      </c>
      <c r="B28" s="5" t="inlineStr">
        <is>
          <t>S2</t>
        </is>
      </c>
      <c r="C28" s="25" t="n">
        <f>'06_METRICS'!I9</f>
        <v>0.13333333333333333</v>
      </c>
      <c r="D28" s="25" t="n">
        <f>'06_METRICS'!J9</f>
        <v>0.30303030303030304</v>
      </c>
      <c r="E28" s="26" t="n">
        <f>'06_METRICS'!K9</f>
        <v>0.18518518518518517</v>
      </c>
    </row>
    <row r="29">
      <c r="A29" s="5" t="inlineStr">
        <is>
          <t>Microsoft Threat Modeling Tool</t>
        </is>
      </c>
      <c r="B29" s="5" t="inlineStr">
        <is>
          <t>S3</t>
        </is>
      </c>
      <c r="C29" s="25" t="n">
        <f>'06_METRICS'!I10</f>
        <v>0.09782608695652174</v>
      </c>
      <c r="D29" s="25" t="n">
        <f>'06_METRICS'!J10</f>
        <v>0.2727272727272727</v>
      </c>
      <c r="E29" s="26" t="n">
        <f>'06_METRICS'!K10</f>
        <v>0.14400000000000002</v>
      </c>
    </row>
    <row r="30">
      <c r="A30" s="5" t="inlineStr">
        <is>
          <t>ChatGPT</t>
        </is>
      </c>
      <c r="B30" s="5" t="inlineStr">
        <is>
          <t>S1</t>
        </is>
      </c>
      <c r="C30" s="25" t="n">
        <f>'06_METRICS'!I11</f>
        <v>0.5142857142857142</v>
      </c>
      <c r="D30" s="25" t="n">
        <f>'06_METRICS'!J11</f>
        <v>0.5625</v>
      </c>
      <c r="E30" s="26" t="n">
        <f>'06_METRICS'!K11</f>
        <v>0.5373134328358209</v>
      </c>
    </row>
    <row r="31">
      <c r="A31" s="5" t="inlineStr">
        <is>
          <t>ChatGPT</t>
        </is>
      </c>
      <c r="B31" s="5" t="inlineStr">
        <is>
          <t>S2</t>
        </is>
      </c>
      <c r="C31" s="25" t="n">
        <f>'06_METRICS'!I12</f>
        <v>0.5</v>
      </c>
      <c r="D31" s="25" t="n">
        <f>'06_METRICS'!J12</f>
        <v>0.5454545454545454</v>
      </c>
      <c r="E31" s="26" t="n">
        <f>'06_METRICS'!K12</f>
        <v>0.5217391304347826</v>
      </c>
    </row>
    <row r="32">
      <c r="A32" s="5" t="inlineStr">
        <is>
          <t>ChatGPT</t>
        </is>
      </c>
      <c r="B32" s="5" t="inlineStr">
        <is>
          <t>S3</t>
        </is>
      </c>
      <c r="C32" s="25" t="n">
        <f>'06_METRICS'!I13</f>
        <v>0.42105263157894735</v>
      </c>
      <c r="D32" s="25" t="n">
        <f>'06_METRICS'!J13</f>
        <v>0.48484848484848486</v>
      </c>
      <c r="E32" s="26" t="n">
        <f>'06_METRICS'!K13</f>
        <v>0.4507042253521127</v>
      </c>
    </row>
    <row r="33">
      <c r="A33" s="5" t="inlineStr">
        <is>
          <t>Ollama (local LLM)</t>
        </is>
      </c>
      <c r="B33" s="5" t="inlineStr">
        <is>
          <t>S1</t>
        </is>
      </c>
      <c r="C33" s="25" t="n">
        <f>'06_METRICS'!I14</f>
        <v>0.24</v>
      </c>
      <c r="D33" s="25" t="n">
        <f>'06_METRICS'!J14</f>
        <v>0.1875</v>
      </c>
      <c r="E33" s="26" t="n">
        <f>'06_METRICS'!K14</f>
        <v>0.21052631578947367</v>
      </c>
    </row>
    <row r="34">
      <c r="A34" s="5" t="inlineStr">
        <is>
          <t>Ollama (local LLM)</t>
        </is>
      </c>
      <c r="B34" s="5" t="inlineStr">
        <is>
          <t>S2</t>
        </is>
      </c>
      <c r="C34" s="25" t="n">
        <f>'06_METRICS'!I15</f>
        <v>0.3181818181818182</v>
      </c>
      <c r="D34" s="25" t="n">
        <f>'06_METRICS'!J15</f>
        <v>0.21212121212121213</v>
      </c>
      <c r="E34" s="26" t="n">
        <f>'06_METRICS'!K15</f>
        <v>0.2545454545454546</v>
      </c>
    </row>
    <row r="35">
      <c r="A35" s="5" t="inlineStr">
        <is>
          <t>Ollama (local LLM)</t>
        </is>
      </c>
      <c r="B35" s="5" t="inlineStr">
        <is>
          <t>S3</t>
        </is>
      </c>
      <c r="C35" s="25" t="n">
        <f>'06_METRICS'!I16</f>
        <v>0.3684210526315789</v>
      </c>
      <c r="D35" s="25" t="n">
        <f>'06_METRICS'!J16</f>
        <v>0.21212121212121213</v>
      </c>
      <c r="E35" s="26" t="n">
        <f>'06_METRICS'!K16</f>
        <v>0.2692307692307693</v>
      </c>
    </row>
    <row r="36">
      <c r="A36" s="5" t="inlineStr">
        <is>
          <t>ThreMoLIA</t>
        </is>
      </c>
      <c r="B36" s="5" t="inlineStr">
        <is>
          <t>S1</t>
        </is>
      </c>
      <c r="C36" s="25" t="n">
        <f>'06_METRICS'!I17</f>
        <v>0.4727272727272727</v>
      </c>
      <c r="D36" s="25" t="n">
        <f>'06_METRICS'!J17</f>
        <v>0.8125</v>
      </c>
      <c r="E36" s="26" t="n">
        <f>'06_METRICS'!K17</f>
        <v>0.5977011494252874</v>
      </c>
    </row>
    <row r="37">
      <c r="A37" s="5" t="inlineStr">
        <is>
          <t>ThreMoLIA</t>
        </is>
      </c>
      <c r="B37" s="5" t="inlineStr">
        <is>
          <t>S2</t>
        </is>
      </c>
      <c r="C37" s="25" t="n">
        <f>'06_METRICS'!I18</f>
        <v>0.5</v>
      </c>
      <c r="D37" s="25" t="n">
        <f>'06_METRICS'!J18</f>
        <v>0.696969696969697</v>
      </c>
      <c r="E37" s="26" t="n">
        <f>'06_METRICS'!K18</f>
        <v>0.5822784810126582</v>
      </c>
    </row>
    <row r="38">
      <c r="A38" s="5" t="inlineStr">
        <is>
          <t>ThreMoLIA</t>
        </is>
      </c>
      <c r="B38" s="5" t="inlineStr">
        <is>
          <t>S3</t>
        </is>
      </c>
      <c r="C38" s="25" t="n">
        <f>'06_METRICS'!I19</f>
        <v>0.31746031746031744</v>
      </c>
      <c r="D38" s="25" t="n">
        <f>'06_METRICS'!J19</f>
        <v>0.6060606060606061</v>
      </c>
      <c r="E38" s="26" t="n">
        <f>'06_METRICS'!K19</f>
        <v>0.4166666666666667</v>
      </c>
    </row>
    <row r="41">
      <c r="A41" s="29" t="inlineStr">
        <is>
          <t>TABLE D — Per-approach aggregate (across scenarios) &amp; macro-averages</t>
        </is>
      </c>
    </row>
    <row r="42">
      <c r="A42" s="4" t="inlineStr">
        <is>
          <t>Approach</t>
        </is>
      </c>
      <c r="B42" s="4" t="inlineStr">
        <is>
          <t>Precision</t>
        </is>
      </c>
      <c r="C42" s="4" t="inlineStr">
        <is>
          <t>Recall</t>
        </is>
      </c>
      <c r="D42" s="4" t="inlineStr">
        <is>
          <t>F1</t>
        </is>
      </c>
      <c r="E42" s="4" t="inlineStr">
        <is>
          <t>Redundancy Rate</t>
        </is>
      </c>
      <c r="F42" s="4" t="inlineStr">
        <is>
          <t>Unique-Find Rate</t>
        </is>
      </c>
    </row>
    <row r="43">
      <c r="A43" s="5" t="inlineStr">
        <is>
          <t>OWASP Threat Dragon</t>
        </is>
      </c>
      <c r="B43" s="25" t="n">
        <f>IFERROR(SUMIFS('05_TP_FP_FN'!$E$5:$E$19,'05_TP_FP_FN'!$A$5:$A$19,"OWASP")/(SUMIFS('05_TP_FP_FN'!$E$5:$E$19,'05_TP_FP_FN'!$A$5:$A$19,"OWASP")+SUMIFS('05_TP_FP_FN'!$F$5:$F$19,'05_TP_FP_FN'!$A$5:$A$19,"OWASP")),"")</f>
        <v>0.19387755102040816</v>
      </c>
      <c r="C43" s="25" t="n">
        <f>IFERROR(SUMIFS('05_TP_FP_FN'!$E$5:$E$19,'05_TP_FP_FN'!$A$5:$A$19,"OWASP")/SUMIFS('05_TP_FP_FN'!$D$5:$D$19,'05_TP_FP_FN'!$A$5:$A$19,"OWASP"),"")</f>
        <v>0.19387755102040816</v>
      </c>
      <c r="D43" s="26" t="n">
        <f>IFERROR(2*B43*C43/(B43+C43),"")</f>
        <v>0.19387755102040816</v>
      </c>
      <c r="E43" s="25" t="n">
        <f>IFERROR(SUMIF('09_UNIQUENESS_REDUNDANCY'!$A$5:$A$19,"OWASP",'09_UNIQUENESS_REDUNDANCY'!$E$5:$E$19)/SUMIF('09_UNIQUENESS_REDUNDANCY'!$A$5:$A$19,"OWASP",'09_UNIQUENESS_REDUNDANCY'!$C$5:$C$19),"N/A")</f>
        <v>0.2032520325203252</v>
      </c>
      <c r="F43" s="25" t="n">
        <f>IFERROR(SUMIF('09_UNIQUENESS_REDUNDANCY'!$A$5:$A$19,"OWASP",'09_UNIQUENESS_REDUNDANCY'!$G$5:$G$19)/SUMIF('09_UNIQUENESS_REDUNDANCY'!$A$5:$A$19,"OWASP",'09_UNIQUENESS_REDUNDANCY'!$C$5:$C$19),"N/A")</f>
        <v>0.7967479674796748</v>
      </c>
    </row>
    <row r="44">
      <c r="A44" s="5" t="inlineStr">
        <is>
          <t>Microsoft Threat Modeling Tool</t>
        </is>
      </c>
      <c r="B44" s="25" t="n">
        <f>IFERROR(SUMIFS('05_TP_FP_FN'!$E$5:$E$19,'05_TP_FP_FN'!$A$5:$A$19,"TMT")/(SUMIFS('05_TP_FP_FN'!$E$5:$E$19,'05_TP_FP_FN'!$A$5:$A$19,"TMT")+SUMIFS('05_TP_FP_FN'!$F$5:$F$19,'05_TP_FP_FN'!$A$5:$A$19,"TMT")),"")</f>
        <v>0.11244979919678715</v>
      </c>
      <c r="C44" s="25" t="n">
        <f>IFERROR(SUMIFS('05_TP_FP_FN'!$E$5:$E$19,'05_TP_FP_FN'!$A$5:$A$19,"TMT")/SUMIFS('05_TP_FP_FN'!$D$5:$D$19,'05_TP_FP_FN'!$A$5:$A$19,"TMT"),"")</f>
        <v>0.2857142857142857</v>
      </c>
      <c r="D44" s="26" t="n">
        <f>IFERROR(2*B44*C44/(B44+C44),"")</f>
        <v>0.16138328530259366</v>
      </c>
      <c r="E44" s="25" t="n">
        <f>IFERROR(SUMIF('09_UNIQUENESS_REDUNDANCY'!$A$5:$A$19,"TMT",'09_UNIQUENESS_REDUNDANCY'!$E$5:$E$19)/SUMIF('09_UNIQUENESS_REDUNDANCY'!$A$5:$A$19,"TMT",'09_UNIQUENESS_REDUNDANCY'!$C$5:$C$19),"N/A")</f>
        <v>0.17275747508305647</v>
      </c>
      <c r="F44" s="25" t="n">
        <f>IFERROR(SUMIF('09_UNIQUENESS_REDUNDANCY'!$A$5:$A$19,"TMT",'09_UNIQUENESS_REDUNDANCY'!$G$5:$G$19)/SUMIF('09_UNIQUENESS_REDUNDANCY'!$A$5:$A$19,"TMT",'09_UNIQUENESS_REDUNDANCY'!$C$5:$C$19),"N/A")</f>
        <v>0.8272425249169435</v>
      </c>
    </row>
    <row r="45">
      <c r="A45" s="5" t="inlineStr">
        <is>
          <t>ChatGPT</t>
        </is>
      </c>
      <c r="B45" s="25" t="n">
        <f>IFERROR(SUMIFS('05_TP_FP_FN'!$E$5:$E$19,'05_TP_FP_FN'!$A$5:$A$19,"CHATGPT")/(SUMIFS('05_TP_FP_FN'!$E$5:$E$19,'05_TP_FP_FN'!$A$5:$A$19,"CHATGPT")+SUMIFS('05_TP_FP_FN'!$F$5:$F$19,'05_TP_FP_FN'!$A$5:$A$19,"CHATGPT")),"")</f>
        <v>0.47706422018348627</v>
      </c>
      <c r="C45" s="25" t="n">
        <f>IFERROR(SUMIFS('05_TP_FP_FN'!$E$5:$E$19,'05_TP_FP_FN'!$A$5:$A$19,"CHATGPT")/SUMIFS('05_TP_FP_FN'!$D$5:$D$19,'05_TP_FP_FN'!$A$5:$A$19,"CHATGPT"),"")</f>
        <v>0.5306122448979592</v>
      </c>
      <c r="D45" s="26" t="n">
        <f>IFERROR(2*B45*C45/(B45+C45),"")</f>
        <v>0.5024154589371982</v>
      </c>
      <c r="E45" s="25" t="n">
        <f>IFERROR(SUMIF('09_UNIQUENESS_REDUNDANCY'!$A$5:$A$19,"CHATGPT",'09_UNIQUENESS_REDUNDANCY'!$E$5:$E$19)/SUMIF('09_UNIQUENESS_REDUNDANCY'!$A$5:$A$19,"CHATGPT",'09_UNIQUENESS_REDUNDANCY'!$C$5:$C$19),"N/A")</f>
        <v>0.39779005524861877</v>
      </c>
      <c r="F45" s="25" t="n">
        <f>IFERROR(SUMIF('09_UNIQUENESS_REDUNDANCY'!$A$5:$A$19,"CHATGPT",'09_UNIQUENESS_REDUNDANCY'!$G$5:$G$19)/SUMIF('09_UNIQUENESS_REDUNDANCY'!$A$5:$A$19,"CHATGPT",'09_UNIQUENESS_REDUNDANCY'!$C$5:$C$19),"N/A")</f>
        <v>0.6022099447513812</v>
      </c>
    </row>
    <row r="46">
      <c r="A46" s="5" t="inlineStr">
        <is>
          <t>Ollama (local LLM)</t>
        </is>
      </c>
      <c r="B46" s="25" t="n">
        <f>IFERROR(SUMIFS('05_TP_FP_FN'!$E$5:$E$19,'05_TP_FP_FN'!$A$5:$A$19,"OLLAMA")/(SUMIFS('05_TP_FP_FN'!$E$5:$E$19,'05_TP_FP_FN'!$A$5:$A$19,"OLLAMA")+SUMIFS('05_TP_FP_FN'!$F$5:$F$19,'05_TP_FP_FN'!$A$5:$A$19,"OLLAMA")),"")</f>
        <v>0.30303030303030304</v>
      </c>
      <c r="C46" s="25" t="n">
        <f>IFERROR(SUMIFS('05_TP_FP_FN'!$E$5:$E$19,'05_TP_FP_FN'!$A$5:$A$19,"OLLAMA")/SUMIFS('05_TP_FP_FN'!$D$5:$D$19,'05_TP_FP_FN'!$A$5:$A$19,"OLLAMA"),"")</f>
        <v>0.20408163265306123</v>
      </c>
      <c r="D46" s="26" t="n">
        <f>IFERROR(2*B46*C46/(B46+C46),"")</f>
        <v>0.24390243902439027</v>
      </c>
      <c r="E46" s="25" t="n">
        <f>IFERROR(SUMIF('09_UNIQUENESS_REDUNDANCY'!$A$5:$A$19,"OLLAMA",'09_UNIQUENESS_REDUNDANCY'!$E$5:$E$19)/SUMIF('09_UNIQUENESS_REDUNDANCY'!$A$5:$A$19,"OLLAMA",'09_UNIQUENESS_REDUNDANCY'!$C$5:$C$19),"N/A")</f>
        <v>0.2826086956521739</v>
      </c>
      <c r="F46" s="25" t="n">
        <f>IFERROR(SUMIF('09_UNIQUENESS_REDUNDANCY'!$A$5:$A$19,"OLLAMA",'09_UNIQUENESS_REDUNDANCY'!$G$5:$G$19)/SUMIF('09_UNIQUENESS_REDUNDANCY'!$A$5:$A$19,"OLLAMA",'09_UNIQUENESS_REDUNDANCY'!$C$5:$C$19),"N/A")</f>
        <v>0.717391304347826</v>
      </c>
    </row>
    <row r="47">
      <c r="A47" s="5" t="inlineStr">
        <is>
          <t>ThreMoLIA</t>
        </is>
      </c>
      <c r="B47" s="25" t="n">
        <f>IFERROR(SUMIFS('05_TP_FP_FN'!$E$5:$E$19,'05_TP_FP_FN'!$A$5:$A$19,"THREMOLIA")/(SUMIFS('05_TP_FP_FN'!$E$5:$E$19,'05_TP_FP_FN'!$A$5:$A$19,"THREMOLIA")+SUMIFS('05_TP_FP_FN'!$F$5:$F$19,'05_TP_FP_FN'!$A$5:$A$19,"THREMOLIA")),"")</f>
        <v>0.42073170731707316</v>
      </c>
      <c r="C47" s="25" t="n">
        <f>IFERROR(SUMIFS('05_TP_FP_FN'!$E$5:$E$19,'05_TP_FP_FN'!$A$5:$A$19,"THREMOLIA")/SUMIFS('05_TP_FP_FN'!$D$5:$D$19,'05_TP_FP_FN'!$A$5:$A$19,"THREMOLIA"),"")</f>
        <v>0.7040816326530612</v>
      </c>
      <c r="D47" s="26" t="n">
        <f>IFERROR(2*B47*C47/(B47+C47),"")</f>
        <v>0.5267175572519085</v>
      </c>
      <c r="E47" s="25" t="n">
        <f>IFERROR(SUMIF('09_UNIQUENESS_REDUNDANCY'!$A$5:$A$19,"THREMOLIA",'09_UNIQUENESS_REDUNDANCY'!$E$5:$E$19)/SUMIF('09_UNIQUENESS_REDUNDANCY'!$A$5:$A$19,"THREMOLIA",'09_UNIQUENESS_REDUNDANCY'!$C$5:$C$19),"N/A")</f>
        <v>0.5</v>
      </c>
      <c r="F47" s="25" t="n">
        <f>IFERROR(SUMIF('09_UNIQUENESS_REDUNDANCY'!$A$5:$A$19,"THREMOLIA",'09_UNIQUENESS_REDUNDANCY'!$G$5:$G$19)/SUMIF('09_UNIQUENESS_REDUNDANCY'!$A$5:$A$19,"THREMOLIA",'09_UNIQUENESS_REDUNDANCY'!$C$5:$C$19),"N/A")</f>
        <v>0.5</v>
      </c>
    </row>
    <row r="49">
      <c r="A49" s="6" t="inlineStr">
        <is>
          <t>Macro-average across the five approaches:</t>
        </is>
      </c>
      <c r="B49" s="27" t="n">
        <f>IFERROR(AVERAGE(B43:B48),"")</f>
        <v>0.30143071614961153</v>
      </c>
      <c r="C49" s="27" t="n">
        <f>IFERROR(AVERAGE(C43:C48),"")</f>
        <v>0.3836734693877551</v>
      </c>
      <c r="D49" s="28" t="n">
        <f>IFERROR(AVERAGE(D43:D48),"")</f>
        <v>0.32565925830729975</v>
      </c>
    </row>
    <row r="51">
      <c r="A51" s="29" t="inlineStr">
        <is>
          <t>TABLE E — Metrics computed from insufficient source data (do NOT report)</t>
        </is>
      </c>
    </row>
    <row r="52">
      <c r="A52" s="4" t="inlineStr">
        <is>
          <t>Metric</t>
        </is>
      </c>
      <c r="B52" s="4" t="inlineStr">
        <is>
          <t>Status</t>
        </is>
      </c>
      <c r="C52" s="4" t="inlineStr">
        <is>
          <t>Reason</t>
        </is>
      </c>
    </row>
    <row r="53" ht="28" customHeight="1">
      <c r="A53" s="5" t="inlineStr">
        <is>
          <t>Grounding rate / grounded-ungrounded x TP-FP</t>
        </is>
      </c>
      <c r="B53" s="30" t="inlineStr">
        <is>
          <t>N/A</t>
        </is>
      </c>
      <c r="C53" s="7" t="inlineStr">
        <is>
          <t>Per-finding grounding annotation not supplied.</t>
        </is>
      </c>
    </row>
    <row r="54" ht="28" customHeight="1">
      <c r="A54" s="5" t="inlineStr">
        <is>
          <t>MCDM overall score / ranking</t>
        </is>
      </c>
      <c r="B54" s="30" t="inlineStr">
        <is>
          <t>N/A</t>
        </is>
      </c>
      <c r="C54" s="7" t="inlineStr">
        <is>
          <t>Grounding (20%) + Feature Completeness (20%) are N/A.</t>
        </is>
      </c>
    </row>
    <row r="55" ht="28" customHeight="1">
      <c r="A55" s="5" t="inlineStr">
        <is>
          <t>Feature Completeness</t>
        </is>
      </c>
      <c r="B55" s="30" t="inlineStr">
        <is>
          <t>N/A</t>
        </is>
      </c>
      <c r="C55" s="7" t="inlineStr">
        <is>
          <t>Feature/documentation matrix not supplied (all cells Unknown).</t>
        </is>
      </c>
    </row>
    <row r="56" ht="28" customHeight="1">
      <c r="A56" s="5" t="inlineStr">
        <is>
          <t>STRIDE precision / FP / F1</t>
        </is>
      </c>
      <c r="B56" s="30" t="inlineStr">
        <is>
          <t>N/A</t>
        </is>
      </c>
      <c r="C56" s="7" t="inlineStr">
        <is>
          <t>Per-finding STRIDE classification for FP findings not supplied.</t>
        </is>
      </c>
    </row>
    <row r="57" ht="28" customHeight="1">
      <c r="A57" s="5" t="inlineStr">
        <is>
          <t>SUS / usability score</t>
        </is>
      </c>
      <c r="B57" s="30" t="inlineStr">
        <is>
          <t>N/A</t>
        </is>
      </c>
      <c r="C57" s="7" t="inlineStr">
        <is>
          <t>No formal SUS study was conducted.</t>
        </is>
      </c>
    </row>
    <row r="58" ht="28" customHeight="1">
      <c r="A58" s="5" t="inlineStr">
        <is>
          <t>Any Accuracy / True-negative metric</t>
        </is>
      </c>
      <c r="B58" s="30" t="inlineStr">
        <is>
          <t>N/A</t>
        </is>
      </c>
      <c r="C58" s="7" t="inlineStr">
        <is>
          <t>True-negative space undefined for threat discovery.</t>
        </is>
      </c>
    </row>
    <row r="60" ht="30" customHeight="1">
      <c r="A60" s="7" t="inlineStr">
        <is>
          <t>Key observational finding: 14 expert reference threats are covered by NO approach (S1-RT-009/010/027, S2-RT-007/012/020/025/028, S3-RT-006/007/009/010/023/025).</t>
        </is>
      </c>
      <c r="B60" s="8" t="n"/>
      <c r="C60" s="8" t="n"/>
      <c r="D60" s="8" t="n"/>
      <c r="E60" s="8" t="n"/>
      <c r="F60" s="8" t="n"/>
      <c r="G60" s="8" t="n"/>
      <c r="H60" s="8" t="n"/>
      <c r="I60" s="9" t="n"/>
    </row>
  </sheetData>
  <mergeCells count="1">
    <mergeCell ref="A60:I6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2026-09-02T21:02:05Z</dcterms:created>
  <dcterms:modified xmlns:dcterms="http://purl.org/dc/terms/" xmlns:xsi="http://www.w3.org/2001/XMLSchema-instance" xsi:type="dcterms:W3CDTF">2026-09-02T21:02:07Z</dcterms:modified>
</cp:coreProperties>
</file>