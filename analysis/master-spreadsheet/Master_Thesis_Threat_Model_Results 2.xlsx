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nanthchowdary/Documents/Codex/2026-08-23/referenced-chatgpt-conversation-this-is-an/outputs/"/>
    </mc:Choice>
  </mc:AlternateContent>
  <xr:revisionPtr revIDLastSave="0" documentId="8_{CC14C9B0-5546-254C-A5E5-78447F83F455}" xr6:coauthVersionLast="47" xr6:coauthVersionMax="47" xr10:uidLastSave="{00000000-0000-0000-0000-000000000000}"/>
  <bookViews>
    <workbookView xWindow="0" yWindow="680" windowWidth="29400" windowHeight="17000" firstSheet="2" activeTab="3" xr2:uid="{00000000-000D-0000-FFFF-FFFF00000000}"/>
  </bookViews>
  <sheets>
    <sheet name="README &amp; Method" sheetId="1" r:id="rId1"/>
    <sheet name="Experiment Metadata" sheetId="2" r:id="rId2"/>
    <sheet name="Lists &amp; Codebook" sheetId="3" r:id="rId3"/>
    <sheet name="Scenario 1 Raw" sheetId="4" r:id="rId4"/>
    <sheet name="Scenario 2 Raw" sheetId="5" r:id="rId5"/>
    <sheet name="Scenario 3 Raw" sheetId="6" r:id="rId6"/>
    <sheet name="All Approaches" sheetId="7" r:id="rId7"/>
    <sheet name="STRIDE Summary" sheetId="8" r:id="rId8"/>
    <sheet name="LLM Coverage" sheetId="9" r:id="rId9"/>
    <sheet name="Architecture Coverage" sheetId="10" r:id="rId10"/>
    <sheet name="Cross-Scenario Analysi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1" l="1"/>
  <c r="D35" i="11"/>
  <c r="E34" i="11"/>
  <c r="D34" i="11"/>
  <c r="G33" i="11"/>
  <c r="E33" i="11"/>
  <c r="D33" i="11"/>
  <c r="C33" i="11"/>
  <c r="G32" i="11"/>
  <c r="E32" i="11"/>
  <c r="D32" i="11"/>
  <c r="C32" i="11"/>
  <c r="G31" i="11"/>
  <c r="E31" i="11"/>
  <c r="D31" i="11"/>
  <c r="C31" i="11"/>
  <c r="G30" i="11"/>
  <c r="E30" i="11"/>
  <c r="D30" i="11"/>
  <c r="C30" i="11"/>
  <c r="G29" i="11"/>
  <c r="E29" i="11"/>
  <c r="D29" i="11"/>
  <c r="C29" i="11"/>
  <c r="G28" i="11"/>
  <c r="E28" i="11"/>
  <c r="D28" i="11"/>
  <c r="C28" i="11"/>
  <c r="G27" i="11"/>
  <c r="E27" i="11"/>
  <c r="D27" i="11"/>
  <c r="C27" i="11"/>
  <c r="G26" i="11"/>
  <c r="E26" i="11"/>
  <c r="D26" i="11"/>
  <c r="C26" i="11"/>
  <c r="G25" i="11"/>
  <c r="E25" i="11"/>
  <c r="D25" i="11"/>
  <c r="C25" i="11"/>
  <c r="G24" i="11"/>
  <c r="E24" i="11"/>
  <c r="D24" i="11"/>
  <c r="C24" i="11"/>
  <c r="G23" i="11"/>
  <c r="E23" i="11"/>
  <c r="D23" i="11"/>
  <c r="C23" i="11"/>
  <c r="G22" i="11"/>
  <c r="E22" i="11"/>
  <c r="D22" i="11"/>
  <c r="C22" i="11"/>
  <c r="G21" i="11"/>
  <c r="E21" i="11"/>
  <c r="D21" i="11"/>
  <c r="C21" i="11"/>
  <c r="G20" i="11"/>
  <c r="E20" i="11"/>
  <c r="D20" i="11"/>
  <c r="C20" i="11"/>
  <c r="G19" i="11"/>
  <c r="E19" i="11"/>
  <c r="D19" i="11"/>
  <c r="C19" i="11"/>
  <c r="G18" i="11"/>
  <c r="E18" i="11"/>
  <c r="D18" i="11"/>
  <c r="C18" i="11"/>
  <c r="G17" i="11"/>
  <c r="E17" i="11"/>
  <c r="D17" i="11"/>
  <c r="C17" i="11"/>
  <c r="C12" i="11"/>
  <c r="D12" i="11" s="1"/>
  <c r="C11" i="11"/>
  <c r="D11" i="11" s="1"/>
  <c r="C10" i="11"/>
  <c r="D10" i="11" s="1"/>
  <c r="C9" i="11"/>
  <c r="D9" i="11" s="1"/>
  <c r="C8" i="11"/>
  <c r="D8" i="11" s="1"/>
  <c r="C7" i="11"/>
  <c r="D7" i="11" s="1"/>
  <c r="C6" i="11"/>
  <c r="D6" i="11" s="1"/>
  <c r="K34" i="10"/>
  <c r="J34" i="10"/>
  <c r="I34" i="10"/>
  <c r="H34" i="10"/>
  <c r="G34" i="10"/>
  <c r="F34" i="10"/>
  <c r="E34" i="10"/>
  <c r="K33" i="10"/>
  <c r="J33" i="10"/>
  <c r="I33" i="10"/>
  <c r="H33" i="10"/>
  <c r="G33" i="10"/>
  <c r="F33" i="10"/>
  <c r="E33" i="10"/>
  <c r="K32" i="10"/>
  <c r="J32" i="10"/>
  <c r="I32" i="10"/>
  <c r="H32" i="10"/>
  <c r="G32" i="10"/>
  <c r="F32" i="10"/>
  <c r="E32" i="10"/>
  <c r="L32" i="10" s="1"/>
  <c r="K31" i="10"/>
  <c r="J31" i="10"/>
  <c r="I31" i="10"/>
  <c r="H31" i="10"/>
  <c r="G31" i="10"/>
  <c r="F31" i="10"/>
  <c r="E31" i="10"/>
  <c r="L31" i="10" s="1"/>
  <c r="K30" i="10"/>
  <c r="J30" i="10"/>
  <c r="I30" i="10"/>
  <c r="H30" i="10"/>
  <c r="G30" i="10"/>
  <c r="F30" i="10"/>
  <c r="E30" i="10"/>
  <c r="L30" i="10" s="1"/>
  <c r="K29" i="10"/>
  <c r="J29" i="10"/>
  <c r="I29" i="10"/>
  <c r="H29" i="10"/>
  <c r="G29" i="10"/>
  <c r="F29" i="10"/>
  <c r="E29" i="10"/>
  <c r="L29" i="10" s="1"/>
  <c r="K28" i="10"/>
  <c r="J28" i="10"/>
  <c r="I28" i="10"/>
  <c r="H28" i="10"/>
  <c r="G28" i="10"/>
  <c r="F28" i="10"/>
  <c r="E28" i="10"/>
  <c r="L28" i="10" s="1"/>
  <c r="K27" i="10"/>
  <c r="J27" i="10"/>
  <c r="I27" i="10"/>
  <c r="H27" i="10"/>
  <c r="G27" i="10"/>
  <c r="F27" i="10"/>
  <c r="E27" i="10"/>
  <c r="L27" i="10" s="1"/>
  <c r="K26" i="10"/>
  <c r="J26" i="10"/>
  <c r="I26" i="10"/>
  <c r="H26" i="10"/>
  <c r="G26" i="10"/>
  <c r="F26" i="10"/>
  <c r="E26" i="10"/>
  <c r="L26" i="10" s="1"/>
  <c r="K25" i="10"/>
  <c r="J25" i="10"/>
  <c r="I25" i="10"/>
  <c r="H25" i="10"/>
  <c r="G25" i="10"/>
  <c r="F25" i="10"/>
  <c r="E25" i="10"/>
  <c r="L25" i="10" s="1"/>
  <c r="K24" i="10"/>
  <c r="J24" i="10"/>
  <c r="I24" i="10"/>
  <c r="H24" i="10"/>
  <c r="G24" i="10"/>
  <c r="F24" i="10"/>
  <c r="E24" i="10"/>
  <c r="L24" i="10" s="1"/>
  <c r="K23" i="10"/>
  <c r="J23" i="10"/>
  <c r="I23" i="10"/>
  <c r="H23" i="10"/>
  <c r="G23" i="10"/>
  <c r="F23" i="10"/>
  <c r="E23" i="10"/>
  <c r="L23" i="10" s="1"/>
  <c r="K22" i="10"/>
  <c r="J22" i="10"/>
  <c r="I22" i="10"/>
  <c r="H22" i="10"/>
  <c r="G22" i="10"/>
  <c r="F22" i="10"/>
  <c r="E22" i="10"/>
  <c r="L22" i="10" s="1"/>
  <c r="K21" i="10"/>
  <c r="J21" i="10"/>
  <c r="I21" i="10"/>
  <c r="H21" i="10"/>
  <c r="G21" i="10"/>
  <c r="F21" i="10"/>
  <c r="E21" i="10"/>
  <c r="L21" i="10" s="1"/>
  <c r="K20" i="10"/>
  <c r="J20" i="10"/>
  <c r="I20" i="10"/>
  <c r="H20" i="10"/>
  <c r="G20" i="10"/>
  <c r="F20" i="10"/>
  <c r="E20" i="10"/>
  <c r="L20" i="10" s="1"/>
  <c r="K19" i="10"/>
  <c r="J19" i="10"/>
  <c r="I19" i="10"/>
  <c r="H19" i="10"/>
  <c r="G19" i="10"/>
  <c r="F19" i="10"/>
  <c r="E19" i="10"/>
  <c r="L19" i="10" s="1"/>
  <c r="K18" i="10"/>
  <c r="J18" i="10"/>
  <c r="I18" i="10"/>
  <c r="H18" i="10"/>
  <c r="G18" i="10"/>
  <c r="F18" i="10"/>
  <c r="E18" i="10"/>
  <c r="L18" i="10" s="1"/>
  <c r="K17" i="10"/>
  <c r="J17" i="10"/>
  <c r="I17" i="10"/>
  <c r="H17" i="10"/>
  <c r="G17" i="10"/>
  <c r="F17" i="10"/>
  <c r="E17" i="10"/>
  <c r="L17" i="10" s="1"/>
  <c r="K16" i="10"/>
  <c r="J16" i="10"/>
  <c r="I16" i="10"/>
  <c r="H16" i="10"/>
  <c r="L16" i="10" s="1"/>
  <c r="G16" i="10"/>
  <c r="F16" i="10"/>
  <c r="E16" i="10"/>
  <c r="K15" i="10"/>
  <c r="J15" i="10"/>
  <c r="I15" i="10"/>
  <c r="H15" i="10"/>
  <c r="G15" i="10"/>
  <c r="F15" i="10"/>
  <c r="E15" i="10"/>
  <c r="L15" i="10" s="1"/>
  <c r="K14" i="10"/>
  <c r="J14" i="10"/>
  <c r="I14" i="10"/>
  <c r="H14" i="10"/>
  <c r="G14" i="10"/>
  <c r="F14" i="10"/>
  <c r="E14" i="10"/>
  <c r="L14" i="10" s="1"/>
  <c r="K13" i="10"/>
  <c r="J13" i="10"/>
  <c r="I13" i="10"/>
  <c r="H13" i="10"/>
  <c r="G13" i="10"/>
  <c r="F13" i="10"/>
  <c r="E13" i="10"/>
  <c r="L13" i="10" s="1"/>
  <c r="K12" i="10"/>
  <c r="J12" i="10"/>
  <c r="I12" i="10"/>
  <c r="H12" i="10"/>
  <c r="G12" i="10"/>
  <c r="F12" i="10"/>
  <c r="E12" i="10"/>
  <c r="L12" i="10" s="1"/>
  <c r="K11" i="10"/>
  <c r="J11" i="10"/>
  <c r="I11" i="10"/>
  <c r="H11" i="10"/>
  <c r="G11" i="10"/>
  <c r="F11" i="10"/>
  <c r="E11" i="10"/>
  <c r="L11" i="10" s="1"/>
  <c r="K10" i="10"/>
  <c r="J10" i="10"/>
  <c r="I10" i="10"/>
  <c r="H10" i="10"/>
  <c r="G10" i="10"/>
  <c r="F10" i="10"/>
  <c r="E10" i="10"/>
  <c r="L10" i="10" s="1"/>
  <c r="K9" i="10"/>
  <c r="J9" i="10"/>
  <c r="I9" i="10"/>
  <c r="H9" i="10"/>
  <c r="G9" i="10"/>
  <c r="F9" i="10"/>
  <c r="E9" i="10"/>
  <c r="L9" i="10" s="1"/>
  <c r="K8" i="10"/>
  <c r="J8" i="10"/>
  <c r="I8" i="10"/>
  <c r="H8" i="10"/>
  <c r="G8" i="10"/>
  <c r="F8" i="10"/>
  <c r="E8" i="10"/>
  <c r="L8" i="10" s="1"/>
  <c r="K7" i="10"/>
  <c r="J7" i="10"/>
  <c r="I7" i="10"/>
  <c r="H7" i="10"/>
  <c r="G7" i="10"/>
  <c r="F7" i="10"/>
  <c r="E7" i="10"/>
  <c r="L7" i="10" s="1"/>
  <c r="K6" i="10"/>
  <c r="J6" i="10"/>
  <c r="I6" i="10"/>
  <c r="H6" i="10"/>
  <c r="G6" i="10"/>
  <c r="F6" i="10"/>
  <c r="E6" i="10"/>
  <c r="L6" i="10" s="1"/>
  <c r="K5" i="10"/>
  <c r="F37" i="11" s="1"/>
  <c r="J5" i="10"/>
  <c r="F36" i="11" s="1"/>
  <c r="I5" i="10"/>
  <c r="H5" i="10"/>
  <c r="G5" i="10"/>
  <c r="F5" i="10"/>
  <c r="E5" i="10"/>
  <c r="L5" i="10" s="1"/>
  <c r="D151" i="9"/>
  <c r="E151" i="9" s="1"/>
  <c r="D150" i="9"/>
  <c r="E150" i="9" s="1"/>
  <c r="D149" i="9"/>
  <c r="E149" i="9" s="1"/>
  <c r="D148" i="9"/>
  <c r="E148" i="9" s="1"/>
  <c r="D147" i="9"/>
  <c r="E147" i="9" s="1"/>
  <c r="D146" i="9"/>
  <c r="E146" i="9" s="1"/>
  <c r="D145" i="9"/>
  <c r="D144" i="9"/>
  <c r="E144" i="9" s="1"/>
  <c r="D143" i="9"/>
  <c r="E143" i="9" s="1"/>
  <c r="D142" i="9"/>
  <c r="E142" i="9" s="1"/>
  <c r="D141" i="9"/>
  <c r="E141" i="9" s="1"/>
  <c r="D140" i="9"/>
  <c r="E140" i="9" s="1"/>
  <c r="D139" i="9"/>
  <c r="E139" i="9" s="1"/>
  <c r="D138" i="9"/>
  <c r="D137" i="9"/>
  <c r="E137" i="9" s="1"/>
  <c r="D136" i="9"/>
  <c r="E136" i="9" s="1"/>
  <c r="D135" i="9"/>
  <c r="E135" i="9" s="1"/>
  <c r="D134" i="9"/>
  <c r="E134" i="9" s="1"/>
  <c r="D133" i="9"/>
  <c r="E133" i="9" s="1"/>
  <c r="D132" i="9"/>
  <c r="E132" i="9" s="1"/>
  <c r="D131" i="9"/>
  <c r="E131" i="9" s="1"/>
  <c r="E130" i="9"/>
  <c r="D130" i="9"/>
  <c r="D129" i="9"/>
  <c r="E129" i="9" s="1"/>
  <c r="D128" i="9"/>
  <c r="E128" i="9" s="1"/>
  <c r="D127" i="9"/>
  <c r="E127" i="9" s="1"/>
  <c r="D126" i="9"/>
  <c r="E126" i="9" s="1"/>
  <c r="D125" i="9"/>
  <c r="E125" i="9" s="1"/>
  <c r="D124" i="9"/>
  <c r="E124" i="9" s="1"/>
  <c r="D123" i="9"/>
  <c r="E123" i="9" s="1"/>
  <c r="D122" i="9"/>
  <c r="E122" i="9" s="1"/>
  <c r="D121" i="9"/>
  <c r="E121" i="9" s="1"/>
  <c r="D120" i="9"/>
  <c r="E120" i="9" s="1"/>
  <c r="D119" i="9"/>
  <c r="E119" i="9" s="1"/>
  <c r="D118" i="9"/>
  <c r="E118" i="9" s="1"/>
  <c r="D117" i="9"/>
  <c r="E117" i="9" s="1"/>
  <c r="D116" i="9"/>
  <c r="E116" i="9" s="1"/>
  <c r="D115" i="9"/>
  <c r="E115" i="9" s="1"/>
  <c r="D114" i="9"/>
  <c r="E114" i="9" s="1"/>
  <c r="D113" i="9"/>
  <c r="E113" i="9" s="1"/>
  <c r="D112" i="9"/>
  <c r="E112" i="9" s="1"/>
  <c r="D111" i="9"/>
  <c r="E111" i="9" s="1"/>
  <c r="D110" i="9"/>
  <c r="E110" i="9" s="1"/>
  <c r="D109" i="9"/>
  <c r="E109" i="9" s="1"/>
  <c r="D108" i="9"/>
  <c r="E108" i="9" s="1"/>
  <c r="D107" i="9"/>
  <c r="E107" i="9" s="1"/>
  <c r="D106" i="9"/>
  <c r="E106" i="9" s="1"/>
  <c r="D105" i="9"/>
  <c r="E105" i="9" s="1"/>
  <c r="D104" i="9"/>
  <c r="E104" i="9" s="1"/>
  <c r="D103" i="9"/>
  <c r="E103" i="9" s="1"/>
  <c r="D102" i="9"/>
  <c r="E102" i="9" s="1"/>
  <c r="D101" i="9"/>
  <c r="E101" i="9" s="1"/>
  <c r="D100" i="9"/>
  <c r="E100" i="9" s="1"/>
  <c r="D99" i="9"/>
  <c r="E99" i="9" s="1"/>
  <c r="D98" i="9"/>
  <c r="E98" i="9" s="1"/>
  <c r="D97" i="9"/>
  <c r="E97" i="9" s="1"/>
  <c r="D96" i="9"/>
  <c r="E96" i="9" s="1"/>
  <c r="D95" i="9"/>
  <c r="E95" i="9" s="1"/>
  <c r="D94" i="9"/>
  <c r="E94" i="9" s="1"/>
  <c r="D93" i="9"/>
  <c r="E93" i="9" s="1"/>
  <c r="D92" i="9"/>
  <c r="E92" i="9" s="1"/>
  <c r="D91" i="9"/>
  <c r="E91" i="9" s="1"/>
  <c r="D90" i="9"/>
  <c r="E90" i="9" s="1"/>
  <c r="D89" i="9"/>
  <c r="E89" i="9" s="1"/>
  <c r="D88" i="9"/>
  <c r="E88" i="9" s="1"/>
  <c r="D87" i="9"/>
  <c r="E87" i="9" s="1"/>
  <c r="D86" i="9"/>
  <c r="E86" i="9" s="1"/>
  <c r="D85" i="9"/>
  <c r="E85" i="9" s="1"/>
  <c r="D84" i="9"/>
  <c r="E84" i="9" s="1"/>
  <c r="D83" i="9"/>
  <c r="E83" i="9" s="1"/>
  <c r="D82" i="9"/>
  <c r="E82" i="9" s="1"/>
  <c r="D81" i="9"/>
  <c r="E81" i="9" s="1"/>
  <c r="D80" i="9"/>
  <c r="E80" i="9" s="1"/>
  <c r="D79" i="9"/>
  <c r="E79" i="9" s="1"/>
  <c r="D78" i="9"/>
  <c r="E78" i="9" s="1"/>
  <c r="D77" i="9"/>
  <c r="E77" i="9" s="1"/>
  <c r="D76" i="9"/>
  <c r="E76" i="9" s="1"/>
  <c r="D75" i="9"/>
  <c r="E75" i="9" s="1"/>
  <c r="D74" i="9"/>
  <c r="E74" i="9" s="1"/>
  <c r="D73" i="9"/>
  <c r="E73" i="9" s="1"/>
  <c r="D72" i="9"/>
  <c r="E72" i="9" s="1"/>
  <c r="D71" i="9"/>
  <c r="E71" i="9" s="1"/>
  <c r="D70" i="9"/>
  <c r="E70" i="9" s="1"/>
  <c r="D69" i="9"/>
  <c r="E69" i="9" s="1"/>
  <c r="D68" i="9"/>
  <c r="E68" i="9" s="1"/>
  <c r="D67" i="9"/>
  <c r="E67" i="9" s="1"/>
  <c r="D66" i="9"/>
  <c r="E66" i="9" s="1"/>
  <c r="D65" i="9"/>
  <c r="E65" i="9" s="1"/>
  <c r="D64" i="9"/>
  <c r="E64" i="9" s="1"/>
  <c r="E63" i="9"/>
  <c r="D63" i="9"/>
  <c r="D62" i="9"/>
  <c r="E62" i="9" s="1"/>
  <c r="D61" i="9"/>
  <c r="E61" i="9" s="1"/>
  <c r="D60" i="9"/>
  <c r="E60" i="9" s="1"/>
  <c r="D59" i="9"/>
  <c r="E59" i="9" s="1"/>
  <c r="D58" i="9"/>
  <c r="E58" i="9" s="1"/>
  <c r="D57" i="9"/>
  <c r="E57" i="9" s="1"/>
  <c r="D56" i="9"/>
  <c r="E56" i="9" s="1"/>
  <c r="D55" i="9"/>
  <c r="E55" i="9" s="1"/>
  <c r="D54" i="9"/>
  <c r="E54" i="9" s="1"/>
  <c r="D53" i="9"/>
  <c r="E53" i="9" s="1"/>
  <c r="D52" i="9"/>
  <c r="E52" i="9" s="1"/>
  <c r="D51" i="9"/>
  <c r="E51" i="9" s="1"/>
  <c r="D50" i="9"/>
  <c r="E50" i="9" s="1"/>
  <c r="D49" i="9"/>
  <c r="E49" i="9" s="1"/>
  <c r="D48" i="9"/>
  <c r="E48" i="9" s="1"/>
  <c r="D47" i="9"/>
  <c r="E47" i="9" s="1"/>
  <c r="D46" i="9"/>
  <c r="E46" i="9" s="1"/>
  <c r="D45" i="9"/>
  <c r="E45" i="9" s="1"/>
  <c r="D44" i="9"/>
  <c r="E44" i="9" s="1"/>
  <c r="D43" i="9"/>
  <c r="E43" i="9" s="1"/>
  <c r="D42" i="9"/>
  <c r="E42" i="9" s="1"/>
  <c r="D41" i="9"/>
  <c r="E41" i="9" s="1"/>
  <c r="D40" i="9"/>
  <c r="E40" i="9" s="1"/>
  <c r="D39" i="9"/>
  <c r="E39" i="9" s="1"/>
  <c r="D38" i="9"/>
  <c r="E38" i="9" s="1"/>
  <c r="D37" i="9"/>
  <c r="E37" i="9" s="1"/>
  <c r="D36" i="9"/>
  <c r="E36" i="9" s="1"/>
  <c r="D35" i="9"/>
  <c r="E35" i="9" s="1"/>
  <c r="D34" i="9"/>
  <c r="E34" i="9" s="1"/>
  <c r="D33" i="9"/>
  <c r="E33" i="9" s="1"/>
  <c r="D32" i="9"/>
  <c r="E32" i="9" s="1"/>
  <c r="D31" i="9"/>
  <c r="E31" i="9" s="1"/>
  <c r="D30" i="9"/>
  <c r="E30" i="9" s="1"/>
  <c r="D29" i="9"/>
  <c r="E29" i="9" s="1"/>
  <c r="D28" i="9"/>
  <c r="E28" i="9" s="1"/>
  <c r="D27" i="9"/>
  <c r="E27" i="9" s="1"/>
  <c r="D26" i="9"/>
  <c r="E26" i="9" s="1"/>
  <c r="D25" i="9"/>
  <c r="E25" i="9" s="1"/>
  <c r="D24" i="9"/>
  <c r="E24" i="9" s="1"/>
  <c r="D23" i="9"/>
  <c r="E23" i="9" s="1"/>
  <c r="D22" i="9"/>
  <c r="E22" i="9" s="1"/>
  <c r="D21" i="9"/>
  <c r="E21" i="9" s="1"/>
  <c r="D20" i="9"/>
  <c r="E20" i="9" s="1"/>
  <c r="D19" i="9"/>
  <c r="E19" i="9" s="1"/>
  <c r="D18" i="9"/>
  <c r="E18" i="9" s="1"/>
  <c r="D17" i="9"/>
  <c r="E17" i="9" s="1"/>
  <c r="D16" i="9"/>
  <c r="E16" i="9" s="1"/>
  <c r="D15" i="9"/>
  <c r="E15" i="9" s="1"/>
  <c r="D14" i="9"/>
  <c r="E14" i="9" s="1"/>
  <c r="D13" i="9"/>
  <c r="E13" i="9" s="1"/>
  <c r="D12" i="9"/>
  <c r="E12" i="9" s="1"/>
  <c r="D11" i="9"/>
  <c r="E11" i="9" s="1"/>
  <c r="D10" i="9"/>
  <c r="E10" i="9" s="1"/>
  <c r="D9" i="9"/>
  <c r="E9" i="9" s="1"/>
  <c r="D8" i="9"/>
  <c r="E8" i="9" s="1"/>
  <c r="D7" i="9"/>
  <c r="E7" i="9" s="1"/>
  <c r="D6" i="9"/>
  <c r="E6" i="9" s="1"/>
  <c r="D5" i="9"/>
  <c r="E5" i="9" s="1"/>
  <c r="D130" i="8"/>
  <c r="E130" i="8" s="1"/>
  <c r="D129" i="8"/>
  <c r="E129" i="8" s="1"/>
  <c r="D128" i="8"/>
  <c r="E128" i="8" s="1"/>
  <c r="D127" i="8"/>
  <c r="E127" i="8" s="1"/>
  <c r="D126" i="8"/>
  <c r="E126" i="8" s="1"/>
  <c r="D125" i="8"/>
  <c r="D124" i="8"/>
  <c r="E124" i="8" s="1"/>
  <c r="D123" i="8"/>
  <c r="E122" i="8"/>
  <c r="D122" i="8"/>
  <c r="D121" i="8"/>
  <c r="E121" i="8" s="1"/>
  <c r="D120" i="8"/>
  <c r="E120" i="8" s="1"/>
  <c r="D119" i="8"/>
  <c r="E119" i="8" s="1"/>
  <c r="D118" i="8"/>
  <c r="E118" i="8" s="1"/>
  <c r="D117" i="8"/>
  <c r="E117" i="8" s="1"/>
  <c r="D116" i="8"/>
  <c r="E116" i="8" s="1"/>
  <c r="D115" i="8"/>
  <c r="E115" i="8" s="1"/>
  <c r="D114" i="8"/>
  <c r="E114" i="8" s="1"/>
  <c r="D113" i="8"/>
  <c r="E113" i="8" s="1"/>
  <c r="D112" i="8"/>
  <c r="E112" i="8" s="1"/>
  <c r="D111" i="8"/>
  <c r="E111" i="8" s="1"/>
  <c r="D110" i="8"/>
  <c r="E110" i="8" s="1"/>
  <c r="D109" i="8"/>
  <c r="E109" i="8" s="1"/>
  <c r="D108" i="8"/>
  <c r="E108" i="8" s="1"/>
  <c r="D107" i="8"/>
  <c r="E107" i="8" s="1"/>
  <c r="D106" i="8"/>
  <c r="E106" i="8" s="1"/>
  <c r="D105" i="8"/>
  <c r="E105" i="8" s="1"/>
  <c r="D104" i="8"/>
  <c r="E104" i="8" s="1"/>
  <c r="D103" i="8"/>
  <c r="E103" i="8" s="1"/>
  <c r="D102" i="8"/>
  <c r="E102" i="8" s="1"/>
  <c r="D101" i="8"/>
  <c r="E101" i="8" s="1"/>
  <c r="D100" i="8"/>
  <c r="E100" i="8" s="1"/>
  <c r="D99" i="8"/>
  <c r="E99" i="8" s="1"/>
  <c r="D98" i="8"/>
  <c r="E98" i="8" s="1"/>
  <c r="D97" i="8"/>
  <c r="E97" i="8" s="1"/>
  <c r="D96" i="8"/>
  <c r="E96" i="8" s="1"/>
  <c r="D95" i="8"/>
  <c r="E95" i="8" s="1"/>
  <c r="D94" i="8"/>
  <c r="E94" i="8" s="1"/>
  <c r="D93" i="8"/>
  <c r="E93" i="8" s="1"/>
  <c r="D92" i="8"/>
  <c r="E92" i="8" s="1"/>
  <c r="D91" i="8"/>
  <c r="E91" i="8" s="1"/>
  <c r="D90" i="8"/>
  <c r="E90" i="8" s="1"/>
  <c r="D89" i="8"/>
  <c r="E89" i="8" s="1"/>
  <c r="D88" i="8"/>
  <c r="E88" i="8" s="1"/>
  <c r="D87" i="8"/>
  <c r="E87" i="8" s="1"/>
  <c r="D86" i="8"/>
  <c r="E86" i="8" s="1"/>
  <c r="D85" i="8"/>
  <c r="E85" i="8" s="1"/>
  <c r="D84" i="8"/>
  <c r="E84" i="8" s="1"/>
  <c r="D83" i="8"/>
  <c r="E83" i="8" s="1"/>
  <c r="D82" i="8"/>
  <c r="E82" i="8" s="1"/>
  <c r="D81" i="8"/>
  <c r="E81" i="8" s="1"/>
  <c r="D80" i="8"/>
  <c r="E80" i="8" s="1"/>
  <c r="D79" i="8"/>
  <c r="E79" i="8" s="1"/>
  <c r="D78" i="8"/>
  <c r="E78" i="8" s="1"/>
  <c r="D77" i="8"/>
  <c r="E77" i="8" s="1"/>
  <c r="D76" i="8"/>
  <c r="E76" i="8" s="1"/>
  <c r="D75" i="8"/>
  <c r="E75" i="8" s="1"/>
  <c r="D74" i="8"/>
  <c r="E74" i="8" s="1"/>
  <c r="D73" i="8"/>
  <c r="E73" i="8" s="1"/>
  <c r="D72" i="8"/>
  <c r="E72" i="8" s="1"/>
  <c r="D71" i="8"/>
  <c r="E71" i="8" s="1"/>
  <c r="D70" i="8"/>
  <c r="E70" i="8" s="1"/>
  <c r="D69" i="8"/>
  <c r="E69" i="8" s="1"/>
  <c r="D68" i="8"/>
  <c r="E68" i="8" s="1"/>
  <c r="D67" i="8"/>
  <c r="E67" i="8" s="1"/>
  <c r="D66" i="8"/>
  <c r="E66" i="8" s="1"/>
  <c r="D65" i="8"/>
  <c r="E65" i="8" s="1"/>
  <c r="D64" i="8"/>
  <c r="E64" i="8" s="1"/>
  <c r="D63" i="8"/>
  <c r="E63" i="8" s="1"/>
  <c r="D62" i="8"/>
  <c r="E62" i="8" s="1"/>
  <c r="D61" i="8"/>
  <c r="E61" i="8" s="1"/>
  <c r="D60" i="8"/>
  <c r="E60" i="8" s="1"/>
  <c r="D59" i="8"/>
  <c r="E59" i="8" s="1"/>
  <c r="D58" i="8"/>
  <c r="E58" i="8" s="1"/>
  <c r="D57" i="8"/>
  <c r="E57" i="8" s="1"/>
  <c r="D56" i="8"/>
  <c r="E56" i="8" s="1"/>
  <c r="E55" i="8"/>
  <c r="D55" i="8"/>
  <c r="D54" i="8"/>
  <c r="E54" i="8" s="1"/>
  <c r="D53" i="8"/>
  <c r="E53" i="8" s="1"/>
  <c r="D52" i="8"/>
  <c r="E52" i="8" s="1"/>
  <c r="D51" i="8"/>
  <c r="E51" i="8" s="1"/>
  <c r="D50" i="8"/>
  <c r="E50" i="8" s="1"/>
  <c r="D49" i="8"/>
  <c r="E49" i="8" s="1"/>
  <c r="D48" i="8"/>
  <c r="E48" i="8" s="1"/>
  <c r="D47" i="8"/>
  <c r="E47" i="8" s="1"/>
  <c r="D46" i="8"/>
  <c r="E46" i="8" s="1"/>
  <c r="D45" i="8"/>
  <c r="E45" i="8" s="1"/>
  <c r="D44" i="8"/>
  <c r="E44" i="8" s="1"/>
  <c r="D43" i="8"/>
  <c r="E43" i="8" s="1"/>
  <c r="D42" i="8"/>
  <c r="E42" i="8" s="1"/>
  <c r="D41" i="8"/>
  <c r="E41" i="8" s="1"/>
  <c r="D40" i="8"/>
  <c r="E40" i="8" s="1"/>
  <c r="D39" i="8"/>
  <c r="E39" i="8" s="1"/>
  <c r="D38" i="8"/>
  <c r="E38" i="8" s="1"/>
  <c r="D37" i="8"/>
  <c r="E37" i="8" s="1"/>
  <c r="D36" i="8"/>
  <c r="E36" i="8" s="1"/>
  <c r="D35" i="8"/>
  <c r="E35" i="8" s="1"/>
  <c r="D34" i="8"/>
  <c r="E34" i="8" s="1"/>
  <c r="D33" i="8"/>
  <c r="E33" i="8" s="1"/>
  <c r="D32" i="8"/>
  <c r="E32" i="8" s="1"/>
  <c r="D31" i="8"/>
  <c r="E31" i="8" s="1"/>
  <c r="D30" i="8"/>
  <c r="E30" i="8" s="1"/>
  <c r="D29" i="8"/>
  <c r="E29" i="8" s="1"/>
  <c r="D28" i="8"/>
  <c r="E28" i="8" s="1"/>
  <c r="D27" i="8"/>
  <c r="E27" i="8" s="1"/>
  <c r="D26" i="8"/>
  <c r="E26" i="8" s="1"/>
  <c r="D25" i="8"/>
  <c r="E25" i="8" s="1"/>
  <c r="D24" i="8"/>
  <c r="E24" i="8" s="1"/>
  <c r="D23" i="8"/>
  <c r="E23" i="8" s="1"/>
  <c r="D22" i="8"/>
  <c r="E22" i="8" s="1"/>
  <c r="D21" i="8"/>
  <c r="E21" i="8" s="1"/>
  <c r="D20" i="8"/>
  <c r="E20" i="8" s="1"/>
  <c r="D19" i="8"/>
  <c r="E19" i="8" s="1"/>
  <c r="D18" i="8"/>
  <c r="E18" i="8" s="1"/>
  <c r="D17" i="8"/>
  <c r="E17" i="8" s="1"/>
  <c r="D16" i="8"/>
  <c r="E16" i="8" s="1"/>
  <c r="D15" i="8"/>
  <c r="E15" i="8" s="1"/>
  <c r="D14" i="8"/>
  <c r="E14" i="8" s="1"/>
  <c r="D13" i="8"/>
  <c r="E13" i="8" s="1"/>
  <c r="D12" i="8"/>
  <c r="E12" i="8" s="1"/>
  <c r="D11" i="8"/>
  <c r="E11" i="8" s="1"/>
  <c r="D10" i="8"/>
  <c r="E10" i="8" s="1"/>
  <c r="D9" i="8"/>
  <c r="E9" i="8" s="1"/>
  <c r="D8" i="8"/>
  <c r="E8" i="8" s="1"/>
  <c r="D7" i="8"/>
  <c r="E7" i="8" s="1"/>
  <c r="D6" i="8"/>
  <c r="E6" i="8" s="1"/>
  <c r="D5" i="8"/>
  <c r="E5" i="8" s="1"/>
  <c r="I25" i="7"/>
  <c r="H25" i="7"/>
  <c r="G25" i="7"/>
  <c r="F25" i="7"/>
  <c r="E25" i="7"/>
  <c r="D25" i="7"/>
  <c r="I24" i="7"/>
  <c r="H24" i="7"/>
  <c r="G24" i="7"/>
  <c r="F24" i="7"/>
  <c r="E24" i="7"/>
  <c r="D24" i="7"/>
  <c r="I23" i="7"/>
  <c r="H23" i="7"/>
  <c r="G23" i="7"/>
  <c r="F23" i="7"/>
  <c r="E23" i="7"/>
  <c r="D23" i="7"/>
  <c r="I22" i="7"/>
  <c r="H22" i="7"/>
  <c r="G22" i="7"/>
  <c r="F22" i="7"/>
  <c r="E22" i="7"/>
  <c r="D22" i="7"/>
  <c r="K21" i="7"/>
  <c r="I21" i="7"/>
  <c r="H21" i="7"/>
  <c r="G21" i="7"/>
  <c r="F21" i="7"/>
  <c r="J21" i="7" s="1"/>
  <c r="E21" i="7"/>
  <c r="D21" i="7"/>
  <c r="I20" i="7"/>
  <c r="K20" i="7" s="1"/>
  <c r="H20" i="7"/>
  <c r="G20" i="7"/>
  <c r="F20" i="7"/>
  <c r="J20" i="7" s="1"/>
  <c r="E20" i="7"/>
  <c r="D20" i="7"/>
  <c r="I19" i="7"/>
  <c r="K19" i="7" s="1"/>
  <c r="H19" i="7"/>
  <c r="G19" i="7"/>
  <c r="F19" i="7"/>
  <c r="J19" i="7" s="1"/>
  <c r="E19" i="7"/>
  <c r="D19" i="7"/>
  <c r="I18" i="7"/>
  <c r="K18" i="7" s="1"/>
  <c r="H18" i="7"/>
  <c r="G18" i="7"/>
  <c r="F18" i="7"/>
  <c r="J18" i="7" s="1"/>
  <c r="E18" i="7"/>
  <c r="D18" i="7"/>
  <c r="I17" i="7"/>
  <c r="K17" i="7" s="1"/>
  <c r="H17" i="7"/>
  <c r="G17" i="7"/>
  <c r="F17" i="7"/>
  <c r="J17" i="7" s="1"/>
  <c r="E17" i="7"/>
  <c r="D17" i="7"/>
  <c r="I16" i="7"/>
  <c r="K16" i="7" s="1"/>
  <c r="H16" i="7"/>
  <c r="G16" i="7"/>
  <c r="F16" i="7"/>
  <c r="J16" i="7" s="1"/>
  <c r="E16" i="7"/>
  <c r="D16" i="7"/>
  <c r="I15" i="7"/>
  <c r="K15" i="7" s="1"/>
  <c r="H15" i="7"/>
  <c r="G15" i="7"/>
  <c r="F15" i="7"/>
  <c r="J15" i="7" s="1"/>
  <c r="E15" i="7"/>
  <c r="D15" i="7"/>
  <c r="I14" i="7"/>
  <c r="K14" i="7" s="1"/>
  <c r="H14" i="7"/>
  <c r="G14" i="7"/>
  <c r="F14" i="7"/>
  <c r="J14" i="7" s="1"/>
  <c r="E14" i="7"/>
  <c r="D14" i="7"/>
  <c r="I13" i="7"/>
  <c r="K13" i="7" s="1"/>
  <c r="H13" i="7"/>
  <c r="G13" i="7"/>
  <c r="F13" i="7"/>
  <c r="J13" i="7" s="1"/>
  <c r="E13" i="7"/>
  <c r="D13" i="7"/>
  <c r="I12" i="7"/>
  <c r="K12" i="7" s="1"/>
  <c r="H12" i="7"/>
  <c r="G12" i="7"/>
  <c r="F12" i="7"/>
  <c r="J12" i="7" s="1"/>
  <c r="E12" i="7"/>
  <c r="D12" i="7"/>
  <c r="I11" i="7"/>
  <c r="K11" i="7" s="1"/>
  <c r="H11" i="7"/>
  <c r="G11" i="7"/>
  <c r="F11" i="7"/>
  <c r="J11" i="7" s="1"/>
  <c r="E11" i="7"/>
  <c r="D11" i="7"/>
  <c r="I10" i="7"/>
  <c r="K10" i="7" s="1"/>
  <c r="H10" i="7"/>
  <c r="G10" i="7"/>
  <c r="F10" i="7"/>
  <c r="J10" i="7" s="1"/>
  <c r="E10" i="7"/>
  <c r="D10" i="7"/>
  <c r="I9" i="7"/>
  <c r="K9" i="7" s="1"/>
  <c r="H9" i="7"/>
  <c r="G9" i="7"/>
  <c r="F9" i="7"/>
  <c r="J9" i="7" s="1"/>
  <c r="E9" i="7"/>
  <c r="D9" i="7"/>
  <c r="I8" i="7"/>
  <c r="K8" i="7" s="1"/>
  <c r="H8" i="7"/>
  <c r="G8" i="7"/>
  <c r="F8" i="7"/>
  <c r="J8" i="7" s="1"/>
  <c r="E8" i="7"/>
  <c r="D8" i="7"/>
  <c r="I7" i="7"/>
  <c r="K7" i="7" s="1"/>
  <c r="H7" i="7"/>
  <c r="G7" i="7"/>
  <c r="F7" i="7"/>
  <c r="J7" i="7" s="1"/>
  <c r="E7" i="7"/>
  <c r="D7" i="7"/>
  <c r="I6" i="7"/>
  <c r="K6" i="7" s="1"/>
  <c r="H6" i="7"/>
  <c r="G6" i="7"/>
  <c r="F6" i="7"/>
  <c r="J6" i="7" s="1"/>
  <c r="E6" i="7"/>
  <c r="D6" i="7"/>
  <c r="I5" i="7"/>
  <c r="K5" i="7" s="1"/>
  <c r="H5" i="7"/>
  <c r="G5" i="7"/>
  <c r="F5" i="7"/>
  <c r="J5" i="7" s="1"/>
  <c r="E5" i="7"/>
  <c r="D5" i="7"/>
  <c r="F31" i="11" l="1"/>
  <c r="F17" i="11"/>
  <c r="F24" i="11"/>
  <c r="L34" i="10"/>
  <c r="F23" i="11"/>
  <c r="F30" i="11"/>
  <c r="F22" i="11"/>
  <c r="F29" i="11"/>
  <c r="F21" i="11"/>
  <c r="F35" i="11"/>
  <c r="F28" i="11"/>
  <c r="F27" i="11"/>
  <c r="F34" i="11"/>
  <c r="F20" i="11"/>
  <c r="F33" i="11"/>
  <c r="F19" i="11"/>
  <c r="F26" i="11"/>
  <c r="F25" i="11"/>
  <c r="F32" i="11"/>
  <c r="L33" i="10"/>
  <c r="F18" i="11"/>
  <c r="E37" i="11"/>
  <c r="E145" i="9"/>
  <c r="E36" i="11"/>
  <c r="E138" i="9"/>
  <c r="E125" i="8"/>
  <c r="D37" i="11"/>
  <c r="E123" i="8"/>
  <c r="D36" i="11"/>
  <c r="G37" i="11"/>
  <c r="K25" i="7"/>
  <c r="C37" i="11"/>
  <c r="J25" i="7"/>
  <c r="G36" i="11"/>
  <c r="K24" i="7"/>
  <c r="C36" i="11"/>
  <c r="J24" i="7"/>
  <c r="K23" i="7"/>
  <c r="G35" i="11"/>
  <c r="C35" i="11"/>
  <c r="J23" i="7"/>
  <c r="G34" i="11"/>
  <c r="K22" i="7"/>
  <c r="J22" i="7"/>
  <c r="C34" i="11"/>
</calcChain>
</file>

<file path=xl/sharedStrings.xml><?xml version="1.0" encoding="utf-8"?>
<sst xmlns="http://schemas.openxmlformats.org/spreadsheetml/2006/main" count="1441" uniqueCount="229">
  <si>
    <t>Master Thesis — Threat-Modeling Results</t>
  </si>
  <si>
    <t>Controlled comparison of two LLMs (two runs each), ThreMoLIA, OWASP Threat Dragon, and Microsoft TMT across three scenarios.</t>
  </si>
  <si>
    <t>Workbook purpose and operating rules</t>
  </si>
  <si>
    <t>Purpose</t>
  </si>
  <si>
    <t>Maintain one auditable master record for raw tool output and separate thesis analysis.</t>
  </si>
  <si>
    <t>Unit of entry</t>
  </si>
  <si>
    <t>One row per threat from an LLM run or a tool. Preserve the original title, category, severity and evidence reference.</t>
  </si>
  <si>
    <t>Comparison rule</t>
  </si>
  <si>
    <t>Use semantically equivalent architectures and the same threat-model prompt for LLM R1/R2. Record each approach independently.</t>
  </si>
  <si>
    <t>Analysis rule</t>
  </si>
  <si>
    <t>Enter raw results only in Scenario 1–3 Raw. All summary sheets are formula-driven and should not be overwritten.</t>
  </si>
  <si>
    <t>Suggested workflow</t>
  </si>
  <si>
    <t>1</t>
  </si>
  <si>
    <t>Complete Experiment Metadata: version, model/template, export date, and architecture equivalence notes.</t>
  </si>
  <si>
    <t>2</t>
  </si>
  <si>
    <t>For each scenario, paste or transcribe every threat from ChatGPT R1/R2, Llama R1/R2, ThreMoLIA, Threat Dragon and TMT into its Raw Results sheet.</t>
  </si>
  <si>
    <t>3</t>
  </si>
  <si>
    <t>Use the controlled fields: STRIDE, LLM relevance/theme, inclusion decision, cross-approach mapping and DFD element.</t>
  </si>
  <si>
    <t>4</t>
  </si>
  <si>
    <t>Review All-Approach Comparison and STRIDE Summary after every approach has been recorded for a scenario.</t>
  </si>
  <si>
    <t>5</t>
  </si>
  <si>
    <t>Use LLM Coverage and Architecture Coverage to support the qualitative comparison.</t>
  </si>
  <si>
    <t>6</t>
  </si>
  <si>
    <t>Write thesis narrative observations in Cross-Scenario Analysis; formula cells remain traceable to raw records.</t>
  </si>
  <si>
    <t>Definitions used in this workbook</t>
  </si>
  <si>
    <t>Raw finding</t>
  </si>
  <si>
    <t>Unmodified tool-generated threat; retain it even if later excluded from final reporting.</t>
  </si>
  <si>
    <t>Included</t>
  </si>
  <si>
    <t>A reviewed finding retained for the formal comparison. This is an analysis decision, not a deletion rule.</t>
  </si>
  <si>
    <t>Cross-approach mapping</t>
  </si>
  <si>
    <t>A shared analyst-defined ID used whenever any two approaches describe the same substantive issue.</t>
  </si>
  <si>
    <t>LLM theme</t>
  </si>
  <si>
    <t>Use only where a threat directly concerns LLM behavior, data, integration, knowledge base, or LLM access context.</t>
  </si>
  <si>
    <t>Architecture coverage</t>
  </si>
  <si>
    <t>Counts included findings mapped to the same named DFD component. Use exact names consistently.</t>
  </si>
  <si>
    <t>Experiment Metadata</t>
  </si>
  <si>
    <t>Complete once per approach/run. The four LLM runs should record the same prompt, architecture and session-control conditions.</t>
  </si>
  <si>
    <t>Scenario / approach run register</t>
  </si>
  <si>
    <t>Scenario</t>
  </si>
  <si>
    <t>Approach</t>
  </si>
  <si>
    <t>Approach family</t>
  </si>
  <si>
    <t>Run / session condition</t>
  </si>
  <si>
    <t>Model / tool version</t>
  </si>
  <si>
    <t>Prompt / template ID</t>
  </si>
  <si>
    <t>Modelled architecture version</t>
  </si>
  <si>
    <t>Date generated</t>
  </si>
  <si>
    <t>Export / evidence location / method notes</t>
  </si>
  <si>
    <t>Scenario 1</t>
  </si>
  <si>
    <t>ChatGPT R1</t>
  </si>
  <si>
    <t>LLM — ChatGPT</t>
  </si>
  <si>
    <t>Independent run 1</t>
  </si>
  <si>
    <t>ChatGPT R2</t>
  </si>
  <si>
    <t>Independent run 2</t>
  </si>
  <si>
    <t>Llama R1</t>
  </si>
  <si>
    <t>LLM — Llama</t>
  </si>
  <si>
    <t>Llama R2</t>
  </si>
  <si>
    <t>ThreMoLIA</t>
  </si>
  <si>
    <t>LLM-assisted threat-modeling tool</t>
  </si>
  <si>
    <t>Single tool output</t>
  </si>
  <si>
    <t>OWASP Threat Dragon</t>
  </si>
  <si>
    <t>Threat-modeling tool</t>
  </si>
  <si>
    <t>Microsoft TMT</t>
  </si>
  <si>
    <t>Scenario 2</t>
  </si>
  <si>
    <t>Scenario 3</t>
  </si>
  <si>
    <t>Scenario architecture register</t>
  </si>
  <si>
    <t>Scenario name / purpose</t>
  </si>
  <si>
    <t>External entities</t>
  </si>
  <si>
    <t>Processes</t>
  </si>
  <si>
    <t>Data stores</t>
  </si>
  <si>
    <t>Trust boundaries</t>
  </si>
  <si>
    <t>LLM / external AI dependency</t>
  </si>
  <si>
    <t>Architecture consistency note</t>
  </si>
  <si>
    <t>LLM prompt consistency note</t>
  </si>
  <si>
    <t>Authentication Assistant</t>
  </si>
  <si>
    <t>End User / Browser; External LLM Provider</t>
  </si>
  <si>
    <t>Web Frontend; Authentication Service; Session Management; AI Chatbot; LLM Integration</t>
  </si>
  <si>
    <t>User Database; Session Storage; Knowledge Base</t>
  </si>
  <si>
    <t>Application boundary; external LLM provider boundary</t>
  </si>
  <si>
    <t>External LLM Provider</t>
  </si>
  <si>
    <t>Use semantically equivalent DFDs in both tools.</t>
  </si>
  <si>
    <t>Use same baseline prompt for ChatGPT R1/R2 and Llama R1/R2.</t>
  </si>
  <si>
    <t>Lists &amp; Coding Codebook</t>
  </si>
  <si>
    <t>Validation lists and controlled definitions. Edit list values here before entering results if your thesis protocol uses different terms.</t>
  </si>
  <si>
    <t>Approaches</t>
  </si>
  <si>
    <t>Coding notes</t>
  </si>
  <si>
    <t>Field</t>
  </si>
  <si>
    <t>Use</t>
  </si>
  <si>
    <t>Analysis effect</t>
  </si>
  <si>
    <t>Example</t>
  </si>
  <si>
    <t>STRIDE category</t>
  </si>
  <si>
    <t>Map to one primary STRIDE class for comparative summaries.</t>
  </si>
  <si>
    <t>Feeds STRIDE Summary.</t>
  </si>
  <si>
    <t>Information Disclosure</t>
  </si>
  <si>
    <t>Final inclusion</t>
  </si>
  <si>
    <t>Yes if retained in formal results after review.</t>
  </si>
  <si>
    <t>Filters approach and coverage metrics.</t>
  </si>
  <si>
    <t>Yes</t>
  </si>
  <si>
    <t>Cross-approach mapping ID</t>
  </si>
  <si>
    <t>Same ID where two or more approaches identify the same substantive threat.</t>
  </si>
  <si>
    <t>Counts mapped records in comparison tables.</t>
  </si>
  <si>
    <t>S1-MAP-03</t>
  </si>
  <si>
    <t>DFD element</t>
  </si>
  <si>
    <t>Use exact architecture component name.</t>
  </si>
  <si>
    <t>Feeds Architecture Coverage.</t>
  </si>
  <si>
    <t>LLM Integration Service</t>
  </si>
  <si>
    <t>Select only for LLM-relevant finding.</t>
  </si>
  <si>
    <t>Feeds LLM Coverage.</t>
  </si>
  <si>
    <t>Prompt injection</t>
  </si>
  <si>
    <t>Raw evidence reference</t>
  </si>
  <si>
    <t>Export page, threat ID, or saved screenshot location.</t>
  </si>
  <si>
    <t>Preserves audit trail.</t>
  </si>
  <si>
    <t>TMT report p. 4</t>
  </si>
  <si>
    <t>STRIDE</t>
  </si>
  <si>
    <t>Spoofing</t>
  </si>
  <si>
    <t>Tampering</t>
  </si>
  <si>
    <t>Repudiation</t>
  </si>
  <si>
    <t>Denial of Service</t>
  </si>
  <si>
    <t>Elevation of Privilege</t>
  </si>
  <si>
    <t>Component types</t>
  </si>
  <si>
    <t>External Entity</t>
  </si>
  <si>
    <t>Process</t>
  </si>
  <si>
    <t>Data Store</t>
  </si>
  <si>
    <t>Data Flow</t>
  </si>
  <si>
    <t>Trust Boundary</t>
  </si>
  <si>
    <t>Severity</t>
  </si>
  <si>
    <t>High</t>
  </si>
  <si>
    <t>Medium</t>
  </si>
  <si>
    <t>Low</t>
  </si>
  <si>
    <t>Informational</t>
  </si>
  <si>
    <t>Not provided</t>
  </si>
  <si>
    <t>Yes / No</t>
  </si>
  <si>
    <t>No</t>
  </si>
  <si>
    <t>Review status</t>
  </si>
  <si>
    <t>Not reviewed</t>
  </si>
  <si>
    <t>Reviewed</t>
  </si>
  <si>
    <t>Excluded</t>
  </si>
  <si>
    <t>Duplicate / noise</t>
  </si>
  <si>
    <t>Out of scope</t>
  </si>
  <si>
    <t>LLM themes</t>
  </si>
  <si>
    <t>Insecure output handling</t>
  </si>
  <si>
    <t>Sensitive data disclosure</t>
  </si>
  <si>
    <t>Third-party LLM exposure</t>
  </si>
  <si>
    <t>Model / service denial of service</t>
  </si>
  <si>
    <t>Knowledge-base or supply-chain poisoning</t>
  </si>
  <si>
    <t>LLM authorization / context isolation</t>
  </si>
  <si>
    <t>Scenario 1 — Raw Tool Results</t>
  </si>
  <si>
    <t>Enter one row per generated threat. Keep the original output intact; use review fields only after the raw result is preserved.</t>
  </si>
  <si>
    <t>Input area: record ChatGPT R1/R2, Llama R1/R2, ThreMoLIA, OWASP Threat Dragon and Microsoft TMT in the same scenario register. Formulas read rows 6–155.</t>
  </si>
  <si>
    <t>Record ID</t>
  </si>
  <si>
    <t>Approach / run</t>
  </si>
  <si>
    <t>Output ID</t>
  </si>
  <si>
    <t>Threat title (raw)</t>
  </si>
  <si>
    <t>Threat description / property (raw)</t>
  </si>
  <si>
    <t>DFD element / component</t>
  </si>
  <si>
    <t>Component type</t>
  </si>
  <si>
    <t>Data flow / interaction</t>
  </si>
  <si>
    <t>Trust boundary</t>
  </si>
  <si>
    <t>Source category (raw)</t>
  </si>
  <si>
    <t>Severity (raw)</t>
  </si>
  <si>
    <t>LLM-relevant?</t>
  </si>
  <si>
    <t>Final inclusion?</t>
  </si>
  <si>
    <t>Analyst notes</t>
  </si>
  <si>
    <t>Scenario 2 — Raw Tool Results</t>
  </si>
  <si>
    <t>Scenario 3 — Raw Tool Results</t>
  </si>
  <si>
    <t>All-Approach Comparison</t>
  </si>
  <si>
    <t>Formula-driven comparison of ChatGPT R1/R2, Llama R1/R2, ThreMoLIA, OWASP Threat Dragon and Microsoft TMT.</t>
  </si>
  <si>
    <t>Raw findings</t>
  </si>
  <si>
    <t>Excluded / out of scope</t>
  </si>
  <si>
    <t>Duplicates / noise</t>
  </si>
  <si>
    <t>Mapped to another approach</t>
  </si>
  <si>
    <t>Included / raw</t>
  </si>
  <si>
    <t>Mapped / included</t>
  </si>
  <si>
    <t>Comparative observation (manual)</t>
  </si>
  <si>
    <t>Interpretation note: mapping rate is the share of included records for which the analyst supplied a cross-approach mapping ID. It is not a precision, recall or accuracy estimate.</t>
  </si>
  <si>
    <t>STRIDE / Category Summary</t>
  </si>
  <si>
    <t>Included findings only, compared across all LLM runs and threat-modeling tools.</t>
  </si>
  <si>
    <t>Included findings</t>
  </si>
  <si>
    <t>Share of approach included</t>
  </si>
  <si>
    <t>Interpretive note (manual)</t>
  </si>
  <si>
    <t>LLM-Specific Coverage</t>
  </si>
  <si>
    <t>Use this to compare LLM-related threat coverage across ChatGPT, Llama, ThreMoLIA and the two DFD tools. Included findings only.</t>
  </si>
  <si>
    <t>Share of approach LLM findings</t>
  </si>
  <si>
    <t>Architecture / Component Coverage</t>
  </si>
  <si>
    <t>Counts included findings tied to each named DFD component, across all LLM runs and tools. Enter Scenario 2–3 components before interpreting their results.</t>
  </si>
  <si>
    <t>DFD component / element</t>
  </si>
  <si>
    <t>Component purpose / notes</t>
  </si>
  <si>
    <t>Covered by # approaches</t>
  </si>
  <si>
    <t>End User / Browser</t>
  </si>
  <si>
    <t>User-facing client</t>
  </si>
  <si>
    <t>Third-party AI service</t>
  </si>
  <si>
    <t>Web Frontend Interface</t>
  </si>
  <si>
    <t>User interaction and browser-facing application</t>
  </si>
  <si>
    <t>Authentication Service</t>
  </si>
  <si>
    <t>Credential verification and access decision</t>
  </si>
  <si>
    <t>Session Management Module</t>
  </si>
  <si>
    <t>Session lifecycle and token handling</t>
  </si>
  <si>
    <t>AI Chatbot Component</t>
  </si>
  <si>
    <t>Conversational interface</t>
  </si>
  <si>
    <t>Application-to-LLM gateway</t>
  </si>
  <si>
    <t>User Database</t>
  </si>
  <si>
    <t>Account and credential data</t>
  </si>
  <si>
    <t>Session Storage</t>
  </si>
  <si>
    <t>Session state</t>
  </si>
  <si>
    <t>Knowledge Base</t>
  </si>
  <si>
    <t>Chatbot context / source content</t>
  </si>
  <si>
    <t>Enter exact DFD component name before analysis.</t>
  </si>
  <si>
    <t>Final Cross-Scenario Analysis</t>
  </si>
  <si>
    <t>Thesis-ready roll-up across seven approaches: two ChatGPT runs, two Llama runs, ThreMoLIA, OWASP Threat Dragon and Microsoft TMT.</t>
  </si>
  <si>
    <t>Overall comparison by approach</t>
  </si>
  <si>
    <t>Total included findings</t>
  </si>
  <si>
    <t>Average included findings / scenario</t>
  </si>
  <si>
    <t>Cross-scenario analytical summary (manual)</t>
  </si>
  <si>
    <t>Scenario-level comparison</t>
  </si>
  <si>
    <t>STRIDE categories covered</t>
  </si>
  <si>
    <t>LLM themes covered</t>
  </si>
  <si>
    <t>Architecture components covered</t>
  </si>
  <si>
    <t>Evidence-based observation (manual)</t>
  </si>
  <si>
    <t>Thesis implication (manual)</t>
  </si>
  <si>
    <t>Thesis reporting prompts</t>
  </si>
  <si>
    <t>Prompt</t>
  </si>
  <si>
    <t>Use this evidence</t>
  </si>
  <si>
    <t>Breadth</t>
  </si>
  <si>
    <t>Compare included count and STRIDE categories covered; distinguish higher volume from genuinely broader coverage.</t>
  </si>
  <si>
    <t>LLM-specific blind spots</t>
  </si>
  <si>
    <t>Compare LLM themes covered by each approach and cite retained raw findings / absent themes.</t>
  </si>
  <si>
    <t>Architectural focus</t>
  </si>
  <si>
    <t>Compare covered components and note whether results cluster at data flows, stores, processes, or trust boundaries.</t>
  </si>
  <si>
    <t>Agreement</t>
  </si>
  <si>
    <t>Use cross-approach mappings to identify shared findings versus approach-specific findings; do not treat mapping rate as accuracy by itself.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</si>
</sst>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0.0"/>
  </numFmts>
  <fonts count="7">
    <font>
      <sz val="11"/>
      <name val="Carlito"/>
    </font>
    <font>
      <b/>
      <sz val="16"/>
      <color rgb="FFFFFFFF"/>
      <name val="Carlito"/>
    </font>
    <font>
      <i/>
      <sz val="10"/>
      <color rgb="FF1F2937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color rgb="FF1F2937"/>
      <name val="Carlito"/>
    </font>
    <font>
      <i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FF7E0"/>
      </patternFill>
    </fill>
  </fills>
  <borders count="13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5" borderId="1" xfId="0" applyFont="1" applyFill="1" applyBorder="1" applyAlignment="1">
      <alignment vertical="top" wrapText="1"/>
    </xf>
    <xf numFmtId="0" fontId="4" fillId="5" borderId="4" xfId="0" applyFont="1" applyFill="1" applyBorder="1" applyAlignment="1">
      <alignment vertical="top" wrapText="1"/>
    </xf>
    <xf numFmtId="0" fontId="4" fillId="5" borderId="7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0" fontId="3" fillId="4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164" fontId="0" fillId="0" borderId="5" xfId="0" applyNumberFormat="1" applyBorder="1" applyAlignment="1">
      <alignment vertical="top" wrapText="1"/>
    </xf>
    <xf numFmtId="164" fontId="0" fillId="0" borderId="8" xfId="0" applyNumberFormat="1" applyBorder="1" applyAlignment="1">
      <alignment vertical="top" wrapText="1"/>
    </xf>
    <xf numFmtId="0" fontId="0" fillId="6" borderId="10" xfId="0" applyFill="1" applyBorder="1"/>
    <xf numFmtId="0" fontId="0" fillId="6" borderId="11" xfId="0" applyFill="1" applyBorder="1"/>
    <xf numFmtId="0" fontId="0" fillId="6" borderId="12" xfId="0" applyFill="1" applyBorder="1"/>
    <xf numFmtId="3" fontId="0" fillId="0" borderId="2" xfId="0" applyNumberFormat="1" applyBorder="1" applyAlignment="1">
      <alignment vertical="top" wrapText="1"/>
    </xf>
    <xf numFmtId="3" fontId="0" fillId="0" borderId="5" xfId="0" applyNumberFormat="1" applyBorder="1" applyAlignment="1">
      <alignment vertical="top" wrapText="1"/>
    </xf>
    <xf numFmtId="3" fontId="0" fillId="0" borderId="8" xfId="0" applyNumberFormat="1" applyBorder="1" applyAlignment="1">
      <alignment vertical="top" wrapText="1"/>
    </xf>
    <xf numFmtId="165" fontId="0" fillId="0" borderId="2" xfId="0" applyNumberFormat="1" applyBorder="1" applyAlignment="1">
      <alignment vertical="top" wrapText="1"/>
    </xf>
    <xf numFmtId="165" fontId="0" fillId="0" borderId="5" xfId="0" applyNumberFormat="1" applyBorder="1" applyAlignment="1">
      <alignment vertical="top" wrapText="1"/>
    </xf>
    <xf numFmtId="165" fontId="0" fillId="0" borderId="8" xfId="0" applyNumberForma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5" xfId="0" applyNumberFormat="1" applyBorder="1" applyAlignment="1">
      <alignment vertical="top" wrapText="1"/>
    </xf>
    <xf numFmtId="0" fontId="0" fillId="0" borderId="0" xfId="0" applyAlignment="1">
      <alignment vertical="top"/>
    </xf>
    <xf numFmtId="0" fontId="3" fillId="4" borderId="5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5" fillId="7" borderId="0" xfId="0" applyFont="1" applyFill="1" applyAlignment="1">
      <alignment wrapText="1"/>
    </xf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2" fillId="3" borderId="0" xfId="0" applyFont="1" applyFill="1" applyAlignment="1">
      <alignment vertical="top" wrapText="1"/>
    </xf>
    <xf numFmtId="0" fontId="6" fillId="7" borderId="0" xfId="0" applyFont="1" applyFill="1" applyAlignment="1">
      <alignment vertical="top" wrapText="1"/>
    </xf>
    <xf numFmtId="0" fontId="3" fillId="4" borderId="0" xfId="0" applyFont="1" applyFill="1" applyAlignment="1">
      <alignment vertical="top"/>
    </xf>
  </cellXfs>
  <cellStyles count="1">
    <cellStyle name="Normal" xfId="0" builtinId="0"/>
  </cellStyles>
  <dxfs count="6">
    <dxf>
      <font>
        <b/>
      </font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enario1RawTable" displayName="Scenario1RawTable" ref="A5:S155" totalsRowShown="0">
  <tableColumns count="19">
    <tableColumn id="1" xr3:uid="{00000000-0010-0000-0000-000001000000}" name="Record ID"/>
    <tableColumn id="2" xr3:uid="{00000000-0010-0000-0000-000002000000}" name="Approach / run"/>
    <tableColumn id="3" xr3:uid="{00000000-0010-0000-0000-000003000000}" name="Output ID"/>
    <tableColumn id="4" xr3:uid="{00000000-0010-0000-0000-000004000000}" name="Threat title (raw)"/>
    <tableColumn id="5" xr3:uid="{00000000-0010-0000-0000-000005000000}" name="Threat description / property (raw)"/>
    <tableColumn id="6" xr3:uid="{00000000-0010-0000-0000-000006000000}" name="DFD element / component"/>
    <tableColumn id="7" xr3:uid="{00000000-0010-0000-0000-000007000000}" name="Component type"/>
    <tableColumn id="8" xr3:uid="{00000000-0010-0000-0000-000008000000}" name="Data flow / interaction"/>
    <tableColumn id="9" xr3:uid="{00000000-0010-0000-0000-000009000000}" name="Trust boundary"/>
    <tableColumn id="10" xr3:uid="{00000000-0010-0000-0000-00000A000000}" name="Source category (raw)"/>
    <tableColumn id="11" xr3:uid="{00000000-0010-0000-0000-00000B000000}" name="STRIDE category"/>
    <tableColumn id="12" xr3:uid="{00000000-0010-0000-0000-00000C000000}" name="Severity (raw)"/>
    <tableColumn id="13" xr3:uid="{00000000-0010-0000-0000-00000D000000}" name="LLM-relevant?"/>
    <tableColumn id="14" xr3:uid="{00000000-0010-0000-0000-00000E000000}" name="LLM theme"/>
    <tableColumn id="15" xr3:uid="{00000000-0010-0000-0000-00000F000000}" name="Raw evidence reference"/>
    <tableColumn id="16" xr3:uid="{00000000-0010-0000-0000-000010000000}" name="Review status"/>
    <tableColumn id="17" xr3:uid="{00000000-0010-0000-0000-000011000000}" name="Final inclusion?"/>
    <tableColumn id="18" xr3:uid="{00000000-0010-0000-0000-000012000000}" name="Cross-approach mapping ID"/>
    <tableColumn id="19" xr3:uid="{00000000-0010-0000-0000-000013000000}" name="Analyst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cenario2RawTable" displayName="Scenario2RawTable" ref="A5:S155" totalsRowShown="0">
  <tableColumns count="19">
    <tableColumn id="1" xr3:uid="{00000000-0010-0000-0100-000001000000}" name="Record ID"/>
    <tableColumn id="2" xr3:uid="{00000000-0010-0000-0100-000002000000}" name="Approach / run"/>
    <tableColumn id="3" xr3:uid="{00000000-0010-0000-0100-000003000000}" name="Output ID"/>
    <tableColumn id="4" xr3:uid="{00000000-0010-0000-0100-000004000000}" name="Threat title (raw)"/>
    <tableColumn id="5" xr3:uid="{00000000-0010-0000-0100-000005000000}" name="Threat description / property (raw)"/>
    <tableColumn id="6" xr3:uid="{00000000-0010-0000-0100-000006000000}" name="DFD element / component"/>
    <tableColumn id="7" xr3:uid="{00000000-0010-0000-0100-000007000000}" name="Component type"/>
    <tableColumn id="8" xr3:uid="{00000000-0010-0000-0100-000008000000}" name="Data flow / interaction"/>
    <tableColumn id="9" xr3:uid="{00000000-0010-0000-0100-000009000000}" name="Trust boundary"/>
    <tableColumn id="10" xr3:uid="{00000000-0010-0000-0100-00000A000000}" name="Source category (raw)"/>
    <tableColumn id="11" xr3:uid="{00000000-0010-0000-0100-00000B000000}" name="STRIDE category"/>
    <tableColumn id="12" xr3:uid="{00000000-0010-0000-0100-00000C000000}" name="Severity (raw)"/>
    <tableColumn id="13" xr3:uid="{00000000-0010-0000-0100-00000D000000}" name="LLM-relevant?"/>
    <tableColumn id="14" xr3:uid="{00000000-0010-0000-0100-00000E000000}" name="LLM theme"/>
    <tableColumn id="15" xr3:uid="{00000000-0010-0000-0100-00000F000000}" name="Raw evidence reference"/>
    <tableColumn id="16" xr3:uid="{00000000-0010-0000-0100-000010000000}" name="Review status"/>
    <tableColumn id="17" xr3:uid="{00000000-0010-0000-0100-000011000000}" name="Final inclusion?"/>
    <tableColumn id="18" xr3:uid="{00000000-0010-0000-0100-000012000000}" name="Cross-approach mapping ID"/>
    <tableColumn id="19" xr3:uid="{00000000-0010-0000-0100-000013000000}" name="Analyst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cenario3RawTable" displayName="Scenario3RawTable" ref="A5:S155" totalsRowShown="0">
  <tableColumns count="19">
    <tableColumn id="1" xr3:uid="{00000000-0010-0000-0200-000001000000}" name="Record ID"/>
    <tableColumn id="2" xr3:uid="{00000000-0010-0000-0200-000002000000}" name="Approach / run"/>
    <tableColumn id="3" xr3:uid="{00000000-0010-0000-0200-000003000000}" name="Output ID"/>
    <tableColumn id="4" xr3:uid="{00000000-0010-0000-0200-000004000000}" name="Threat title (raw)"/>
    <tableColumn id="5" xr3:uid="{00000000-0010-0000-0200-000005000000}" name="Threat description / property (raw)"/>
    <tableColumn id="6" xr3:uid="{00000000-0010-0000-0200-000006000000}" name="DFD element / component"/>
    <tableColumn id="7" xr3:uid="{00000000-0010-0000-0200-000007000000}" name="Component type"/>
    <tableColumn id="8" xr3:uid="{00000000-0010-0000-0200-000008000000}" name="Data flow / interaction"/>
    <tableColumn id="9" xr3:uid="{00000000-0010-0000-0200-000009000000}" name="Trust boundary"/>
    <tableColumn id="10" xr3:uid="{00000000-0010-0000-0200-00000A000000}" name="Source category (raw)"/>
    <tableColumn id="11" xr3:uid="{00000000-0010-0000-0200-00000B000000}" name="STRIDE category"/>
    <tableColumn id="12" xr3:uid="{00000000-0010-0000-0200-00000C000000}" name="Severity (raw)"/>
    <tableColumn id="13" xr3:uid="{00000000-0010-0000-0200-00000D000000}" name="LLM-relevant?"/>
    <tableColumn id="14" xr3:uid="{00000000-0010-0000-0200-00000E000000}" name="LLM theme"/>
    <tableColumn id="15" xr3:uid="{00000000-0010-0000-0200-00000F000000}" name="Raw evidence reference"/>
    <tableColumn id="16" xr3:uid="{00000000-0010-0000-0200-000010000000}" name="Review status"/>
    <tableColumn id="17" xr3:uid="{00000000-0010-0000-0200-000011000000}" name="Final inclusion?"/>
    <tableColumn id="18" xr3:uid="{00000000-0010-0000-0200-000012000000}" name="Cross-approach mapping ID"/>
    <tableColumn id="19" xr3:uid="{00000000-0010-0000-0200-000013000000}" name="Analyst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workbookViewId="0">
      <selection sqref="A1:H1"/>
    </sheetView>
  </sheetViews>
  <sheetFormatPr baseColWidth="10" defaultColWidth="8.83203125" defaultRowHeight="15"/>
  <cols>
    <col min="1" max="1" width="21" customWidth="1"/>
    <col min="2" max="2" width="22" customWidth="1"/>
    <col min="3" max="8" width="15" customWidth="1"/>
  </cols>
  <sheetData>
    <row r="1" spans="1:8" ht="28" customHeight="1">
      <c r="A1" s="33" t="s">
        <v>0</v>
      </c>
      <c r="B1" s="34"/>
      <c r="C1" s="34"/>
      <c r="D1" s="34"/>
      <c r="E1" s="34"/>
      <c r="F1" s="34"/>
      <c r="G1" s="34"/>
      <c r="H1" s="34"/>
    </row>
    <row r="2" spans="1:8" ht="30" customHeight="1">
      <c r="A2" s="35" t="s">
        <v>1</v>
      </c>
      <c r="B2" s="34"/>
      <c r="C2" s="34"/>
      <c r="D2" s="34"/>
      <c r="E2" s="34"/>
      <c r="F2" s="34"/>
      <c r="G2" s="34"/>
      <c r="H2" s="34"/>
    </row>
    <row r="4" spans="1:8">
      <c r="A4" s="36" t="s">
        <v>2</v>
      </c>
      <c r="B4" s="36"/>
      <c r="C4" s="36"/>
      <c r="D4" s="36"/>
      <c r="E4" s="36"/>
      <c r="F4" s="36"/>
      <c r="G4" s="36"/>
      <c r="H4" s="36"/>
    </row>
    <row r="5" spans="1:8" ht="16">
      <c r="A5" s="1" t="s">
        <v>3</v>
      </c>
      <c r="B5" s="37" t="s">
        <v>4</v>
      </c>
      <c r="C5" s="37"/>
      <c r="D5" s="37"/>
      <c r="E5" s="37"/>
      <c r="F5" s="37"/>
      <c r="G5" s="37"/>
      <c r="H5" s="38"/>
    </row>
    <row r="6" spans="1:8" ht="16">
      <c r="A6" s="2" t="s">
        <v>5</v>
      </c>
      <c r="B6" s="39" t="s">
        <v>6</v>
      </c>
      <c r="C6" s="39"/>
      <c r="D6" s="39"/>
      <c r="E6" s="39"/>
      <c r="F6" s="39"/>
      <c r="G6" s="39"/>
      <c r="H6" s="40"/>
    </row>
    <row r="7" spans="1:8" ht="16">
      <c r="A7" s="2" t="s">
        <v>7</v>
      </c>
      <c r="B7" s="39" t="s">
        <v>8</v>
      </c>
      <c r="C7" s="39"/>
      <c r="D7" s="39"/>
      <c r="E7" s="39"/>
      <c r="F7" s="39"/>
      <c r="G7" s="39"/>
      <c r="H7" s="40"/>
    </row>
    <row r="8" spans="1:8" ht="16">
      <c r="A8" s="3" t="s">
        <v>9</v>
      </c>
      <c r="B8" s="41" t="s">
        <v>10</v>
      </c>
      <c r="C8" s="41"/>
      <c r="D8" s="41"/>
      <c r="E8" s="41"/>
      <c r="F8" s="41"/>
      <c r="G8" s="41"/>
      <c r="H8" s="42"/>
    </row>
    <row r="10" spans="1:8">
      <c r="A10" s="36" t="s">
        <v>11</v>
      </c>
      <c r="B10" s="36"/>
      <c r="C10" s="36"/>
      <c r="D10" s="36"/>
      <c r="E10" s="36"/>
      <c r="F10" s="36"/>
      <c r="G10" s="36"/>
      <c r="H10" s="36"/>
    </row>
    <row r="11" spans="1:8" ht="16">
      <c r="A11" s="10" t="s">
        <v>12</v>
      </c>
      <c r="B11" s="37" t="s">
        <v>13</v>
      </c>
      <c r="C11" s="37"/>
      <c r="D11" s="37"/>
      <c r="E11" s="37"/>
      <c r="F11" s="37"/>
      <c r="G11" s="37"/>
      <c r="H11" s="38"/>
    </row>
    <row r="12" spans="1:8" ht="16">
      <c r="A12" s="11" t="s">
        <v>14</v>
      </c>
      <c r="B12" s="39" t="s">
        <v>15</v>
      </c>
      <c r="C12" s="39"/>
      <c r="D12" s="39"/>
      <c r="E12" s="39"/>
      <c r="F12" s="39"/>
      <c r="G12" s="39"/>
      <c r="H12" s="40"/>
    </row>
    <row r="13" spans="1:8" ht="16">
      <c r="A13" s="11" t="s">
        <v>16</v>
      </c>
      <c r="B13" s="39" t="s">
        <v>17</v>
      </c>
      <c r="C13" s="39"/>
      <c r="D13" s="39"/>
      <c r="E13" s="39"/>
      <c r="F13" s="39"/>
      <c r="G13" s="39"/>
      <c r="H13" s="40"/>
    </row>
    <row r="14" spans="1:8" ht="16">
      <c r="A14" s="11" t="s">
        <v>18</v>
      </c>
      <c r="B14" s="39" t="s">
        <v>19</v>
      </c>
      <c r="C14" s="39"/>
      <c r="D14" s="39"/>
      <c r="E14" s="39"/>
      <c r="F14" s="39"/>
      <c r="G14" s="39"/>
      <c r="H14" s="40"/>
    </row>
    <row r="15" spans="1:8" ht="16">
      <c r="A15" s="11" t="s">
        <v>20</v>
      </c>
      <c r="B15" s="39" t="s">
        <v>21</v>
      </c>
      <c r="C15" s="39"/>
      <c r="D15" s="39"/>
      <c r="E15" s="39"/>
      <c r="F15" s="39"/>
      <c r="G15" s="39"/>
      <c r="H15" s="40"/>
    </row>
    <row r="16" spans="1:8" ht="16">
      <c r="A16" s="12" t="s">
        <v>22</v>
      </c>
      <c r="B16" s="41" t="s">
        <v>23</v>
      </c>
      <c r="C16" s="41"/>
      <c r="D16" s="41"/>
      <c r="E16" s="41"/>
      <c r="F16" s="41"/>
      <c r="G16" s="41"/>
      <c r="H16" s="42"/>
    </row>
    <row r="18" spans="1:8">
      <c r="A18" s="36" t="s">
        <v>24</v>
      </c>
      <c r="B18" s="36"/>
      <c r="C18" s="36"/>
      <c r="D18" s="36"/>
      <c r="E18" s="36"/>
      <c r="F18" s="36"/>
      <c r="G18" s="36"/>
      <c r="H18" s="36"/>
    </row>
    <row r="19" spans="1:8" ht="16">
      <c r="A19" s="1" t="s">
        <v>25</v>
      </c>
      <c r="B19" s="37" t="s">
        <v>26</v>
      </c>
      <c r="C19" s="37"/>
      <c r="D19" s="37"/>
      <c r="E19" s="37"/>
      <c r="F19" s="37"/>
      <c r="G19" s="37"/>
      <c r="H19" s="38"/>
    </row>
    <row r="20" spans="1:8" ht="16">
      <c r="A20" s="2" t="s">
        <v>27</v>
      </c>
      <c r="B20" s="39" t="s">
        <v>28</v>
      </c>
      <c r="C20" s="39"/>
      <c r="D20" s="39"/>
      <c r="E20" s="39"/>
      <c r="F20" s="39"/>
      <c r="G20" s="39"/>
      <c r="H20" s="40"/>
    </row>
    <row r="21" spans="1:8" ht="32">
      <c r="A21" s="2" t="s">
        <v>29</v>
      </c>
      <c r="B21" s="39" t="s">
        <v>30</v>
      </c>
      <c r="C21" s="39"/>
      <c r="D21" s="39"/>
      <c r="E21" s="39"/>
      <c r="F21" s="39"/>
      <c r="G21" s="39"/>
      <c r="H21" s="40"/>
    </row>
    <row r="22" spans="1:8" ht="16">
      <c r="A22" s="2" t="s">
        <v>31</v>
      </c>
      <c r="B22" s="39" t="s">
        <v>32</v>
      </c>
      <c r="C22" s="39"/>
      <c r="D22" s="39"/>
      <c r="E22" s="39"/>
      <c r="F22" s="39"/>
      <c r="G22" s="39"/>
      <c r="H22" s="40"/>
    </row>
    <row r="23" spans="1:8" ht="16">
      <c r="A23" s="3" t="s">
        <v>33</v>
      </c>
      <c r="B23" s="41" t="s">
        <v>34</v>
      </c>
      <c r="C23" s="41"/>
      <c r="D23" s="41"/>
      <c r="E23" s="41"/>
      <c r="F23" s="41"/>
      <c r="G23" s="41"/>
      <c r="H23" s="42"/>
    </row>
  </sheetData>
  <mergeCells count="20">
    <mergeCell ref="B19:H19"/>
    <mergeCell ref="B20:H20"/>
    <mergeCell ref="B21:H21"/>
    <mergeCell ref="B22:H22"/>
    <mergeCell ref="B23:H23"/>
    <mergeCell ref="B13:H13"/>
    <mergeCell ref="B14:H14"/>
    <mergeCell ref="B15:H15"/>
    <mergeCell ref="B16:H16"/>
    <mergeCell ref="A18:H18"/>
    <mergeCell ref="B7:H7"/>
    <mergeCell ref="B8:H8"/>
    <mergeCell ref="A10:H10"/>
    <mergeCell ref="B11:H11"/>
    <mergeCell ref="B12:H12"/>
    <mergeCell ref="A1:H1"/>
    <mergeCell ref="A2:H2"/>
    <mergeCell ref="A4:H4"/>
    <mergeCell ref="B5:H5"/>
    <mergeCell ref="B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showGridLines="0" workbookViewId="0">
      <selection sqref="A1:I1"/>
    </sheetView>
  </sheetViews>
  <sheetFormatPr baseColWidth="10" defaultColWidth="8.83203125" defaultRowHeight="15"/>
  <cols>
    <col min="1" max="1" width="14" customWidth="1"/>
    <col min="2" max="4" width="21" customWidth="1"/>
    <col min="5" max="5" width="22" customWidth="1"/>
    <col min="6" max="6" width="21" customWidth="1"/>
    <col min="7" max="7" width="24" customWidth="1"/>
    <col min="8" max="8" width="16" customWidth="1"/>
    <col min="9" max="9" width="34" customWidth="1"/>
  </cols>
  <sheetData>
    <row r="1" spans="1:9" ht="28" customHeight="1">
      <c r="A1" s="33" t="s">
        <v>35</v>
      </c>
      <c r="B1" s="34"/>
      <c r="C1" s="34"/>
      <c r="D1" s="34"/>
      <c r="E1" s="34"/>
      <c r="F1" s="34"/>
      <c r="G1" s="34"/>
      <c r="H1" s="34"/>
      <c r="I1" s="34"/>
    </row>
    <row r="2" spans="1:9" ht="30" customHeight="1">
      <c r="A2" s="35" t="s">
        <v>36</v>
      </c>
      <c r="B2" s="34"/>
      <c r="C2" s="34"/>
      <c r="D2" s="34"/>
      <c r="E2" s="34"/>
      <c r="F2" s="34"/>
      <c r="G2" s="34"/>
      <c r="H2" s="34"/>
      <c r="I2" s="34"/>
    </row>
    <row r="4" spans="1:9">
      <c r="A4" s="36" t="s">
        <v>37</v>
      </c>
      <c r="B4" s="36"/>
      <c r="C4" s="36"/>
      <c r="D4" s="36"/>
      <c r="E4" s="36"/>
      <c r="F4" s="36"/>
      <c r="G4" s="36"/>
      <c r="H4" s="36"/>
      <c r="I4" s="36"/>
    </row>
    <row r="5" spans="1:9" ht="32" customHeight="1">
      <c r="A5" s="13" t="s">
        <v>38</v>
      </c>
      <c r="B5" s="13" t="s">
        <v>39</v>
      </c>
      <c r="C5" s="13" t="s">
        <v>40</v>
      </c>
      <c r="D5" s="13" t="s">
        <v>41</v>
      </c>
      <c r="E5" s="13" t="s">
        <v>42</v>
      </c>
      <c r="F5" s="13" t="s">
        <v>43</v>
      </c>
      <c r="G5" s="13" t="s">
        <v>44</v>
      </c>
      <c r="H5" s="13" t="s">
        <v>45</v>
      </c>
      <c r="I5" s="13" t="s">
        <v>46</v>
      </c>
    </row>
    <row r="6" spans="1:9" ht="30" customHeight="1">
      <c r="A6" s="14" t="s">
        <v>47</v>
      </c>
      <c r="B6" s="4" t="s">
        <v>48</v>
      </c>
      <c r="C6" s="4" t="s">
        <v>49</v>
      </c>
      <c r="D6" s="4" t="s">
        <v>50</v>
      </c>
      <c r="E6" s="4"/>
      <c r="F6" s="4"/>
      <c r="G6" s="4"/>
      <c r="H6" s="17"/>
      <c r="I6" s="5"/>
    </row>
    <row r="7" spans="1:9" ht="30" customHeight="1">
      <c r="A7" s="15" t="s">
        <v>47</v>
      </c>
      <c r="B7" s="6" t="s">
        <v>51</v>
      </c>
      <c r="C7" s="6" t="s">
        <v>49</v>
      </c>
      <c r="D7" s="6" t="s">
        <v>52</v>
      </c>
      <c r="E7" s="6"/>
      <c r="F7" s="6"/>
      <c r="G7" s="6"/>
      <c r="H7" s="18"/>
      <c r="I7" s="7"/>
    </row>
    <row r="8" spans="1:9" ht="30" customHeight="1">
      <c r="A8" s="15" t="s">
        <v>47</v>
      </c>
      <c r="B8" s="6" t="s">
        <v>53</v>
      </c>
      <c r="C8" s="6" t="s">
        <v>54</v>
      </c>
      <c r="D8" s="6" t="s">
        <v>50</v>
      </c>
      <c r="E8" s="6"/>
      <c r="F8" s="6"/>
      <c r="G8" s="6"/>
      <c r="H8" s="18"/>
      <c r="I8" s="7"/>
    </row>
    <row r="9" spans="1:9" ht="30" customHeight="1">
      <c r="A9" s="15" t="s">
        <v>47</v>
      </c>
      <c r="B9" s="6" t="s">
        <v>55</v>
      </c>
      <c r="C9" s="6" t="s">
        <v>54</v>
      </c>
      <c r="D9" s="6" t="s">
        <v>52</v>
      </c>
      <c r="E9" s="6"/>
      <c r="F9" s="6"/>
      <c r="G9" s="6"/>
      <c r="H9" s="18"/>
      <c r="I9" s="7"/>
    </row>
    <row r="10" spans="1:9" ht="30" customHeight="1">
      <c r="A10" s="15" t="s">
        <v>47</v>
      </c>
      <c r="B10" s="6" t="s">
        <v>56</v>
      </c>
      <c r="C10" s="6" t="s">
        <v>57</v>
      </c>
      <c r="D10" s="6" t="s">
        <v>58</v>
      </c>
      <c r="E10" s="6"/>
      <c r="F10" s="6"/>
      <c r="G10" s="6"/>
      <c r="H10" s="18"/>
      <c r="I10" s="7"/>
    </row>
    <row r="11" spans="1:9" ht="30" customHeight="1">
      <c r="A11" s="15" t="s">
        <v>47</v>
      </c>
      <c r="B11" s="6" t="s">
        <v>59</v>
      </c>
      <c r="C11" s="6" t="s">
        <v>60</v>
      </c>
      <c r="D11" s="6" t="s">
        <v>58</v>
      </c>
      <c r="E11" s="6"/>
      <c r="F11" s="6"/>
      <c r="G11" s="6"/>
      <c r="H11" s="18"/>
      <c r="I11" s="7"/>
    </row>
    <row r="12" spans="1:9" ht="30" customHeight="1">
      <c r="A12" s="15" t="s">
        <v>47</v>
      </c>
      <c r="B12" s="6" t="s">
        <v>61</v>
      </c>
      <c r="C12" s="6" t="s">
        <v>60</v>
      </c>
      <c r="D12" s="6" t="s">
        <v>58</v>
      </c>
      <c r="E12" s="6"/>
      <c r="F12" s="6"/>
      <c r="G12" s="6"/>
      <c r="H12" s="18"/>
      <c r="I12" s="7"/>
    </row>
    <row r="13" spans="1:9" ht="30" customHeight="1">
      <c r="A13" s="15" t="s">
        <v>62</v>
      </c>
      <c r="B13" s="6" t="s">
        <v>48</v>
      </c>
      <c r="C13" s="6" t="s">
        <v>49</v>
      </c>
      <c r="D13" s="6" t="s">
        <v>50</v>
      </c>
      <c r="E13" s="6"/>
      <c r="F13" s="6"/>
      <c r="G13" s="6"/>
      <c r="H13" s="18"/>
      <c r="I13" s="7"/>
    </row>
    <row r="14" spans="1:9" ht="30" customHeight="1">
      <c r="A14" s="15" t="s">
        <v>62</v>
      </c>
      <c r="B14" s="6" t="s">
        <v>51</v>
      </c>
      <c r="C14" s="6" t="s">
        <v>49</v>
      </c>
      <c r="D14" s="6" t="s">
        <v>52</v>
      </c>
      <c r="E14" s="6"/>
      <c r="F14" s="6"/>
      <c r="G14" s="6"/>
      <c r="H14" s="18"/>
      <c r="I14" s="7"/>
    </row>
    <row r="15" spans="1:9" ht="30" customHeight="1">
      <c r="A15" s="15" t="s">
        <v>62</v>
      </c>
      <c r="B15" s="6" t="s">
        <v>53</v>
      </c>
      <c r="C15" s="6" t="s">
        <v>54</v>
      </c>
      <c r="D15" s="6" t="s">
        <v>50</v>
      </c>
      <c r="E15" s="6"/>
      <c r="F15" s="6"/>
      <c r="G15" s="6"/>
      <c r="H15" s="18"/>
      <c r="I15" s="7"/>
    </row>
    <row r="16" spans="1:9" ht="30" customHeight="1">
      <c r="A16" s="15" t="s">
        <v>62</v>
      </c>
      <c r="B16" s="6" t="s">
        <v>55</v>
      </c>
      <c r="C16" s="6" t="s">
        <v>54</v>
      </c>
      <c r="D16" s="6" t="s">
        <v>52</v>
      </c>
      <c r="E16" s="6"/>
      <c r="F16" s="6"/>
      <c r="G16" s="6"/>
      <c r="H16" s="18"/>
      <c r="I16" s="7"/>
    </row>
    <row r="17" spans="1:9" ht="30" customHeight="1">
      <c r="A17" s="15" t="s">
        <v>62</v>
      </c>
      <c r="B17" s="6" t="s">
        <v>56</v>
      </c>
      <c r="C17" s="6" t="s">
        <v>57</v>
      </c>
      <c r="D17" s="6" t="s">
        <v>58</v>
      </c>
      <c r="E17" s="6"/>
      <c r="F17" s="6"/>
      <c r="G17" s="6"/>
      <c r="H17" s="18"/>
      <c r="I17" s="7"/>
    </row>
    <row r="18" spans="1:9" ht="30" customHeight="1">
      <c r="A18" s="15" t="s">
        <v>62</v>
      </c>
      <c r="B18" s="6" t="s">
        <v>59</v>
      </c>
      <c r="C18" s="6" t="s">
        <v>60</v>
      </c>
      <c r="D18" s="6" t="s">
        <v>58</v>
      </c>
      <c r="E18" s="6"/>
      <c r="F18" s="6"/>
      <c r="G18" s="6"/>
      <c r="H18" s="18"/>
      <c r="I18" s="7"/>
    </row>
    <row r="19" spans="1:9" ht="30" customHeight="1">
      <c r="A19" s="15" t="s">
        <v>62</v>
      </c>
      <c r="B19" s="6" t="s">
        <v>61</v>
      </c>
      <c r="C19" s="6" t="s">
        <v>60</v>
      </c>
      <c r="D19" s="6" t="s">
        <v>58</v>
      </c>
      <c r="E19" s="6"/>
      <c r="F19" s="6"/>
      <c r="G19" s="6"/>
      <c r="H19" s="18"/>
      <c r="I19" s="7"/>
    </row>
    <row r="20" spans="1:9" ht="30" customHeight="1">
      <c r="A20" s="15" t="s">
        <v>63</v>
      </c>
      <c r="B20" s="6" t="s">
        <v>48</v>
      </c>
      <c r="C20" s="6" t="s">
        <v>49</v>
      </c>
      <c r="D20" s="6" t="s">
        <v>50</v>
      </c>
      <c r="E20" s="6"/>
      <c r="F20" s="6"/>
      <c r="G20" s="6"/>
      <c r="H20" s="18"/>
      <c r="I20" s="7"/>
    </row>
    <row r="21" spans="1:9" ht="30" customHeight="1">
      <c r="A21" s="15" t="s">
        <v>63</v>
      </c>
      <c r="B21" s="6" t="s">
        <v>51</v>
      </c>
      <c r="C21" s="6" t="s">
        <v>49</v>
      </c>
      <c r="D21" s="6" t="s">
        <v>52</v>
      </c>
      <c r="E21" s="6"/>
      <c r="F21" s="6"/>
      <c r="G21" s="6"/>
      <c r="H21" s="18"/>
      <c r="I21" s="7"/>
    </row>
    <row r="22" spans="1:9" ht="30" customHeight="1">
      <c r="A22" s="15" t="s">
        <v>63</v>
      </c>
      <c r="B22" s="6" t="s">
        <v>53</v>
      </c>
      <c r="C22" s="6" t="s">
        <v>54</v>
      </c>
      <c r="D22" s="6" t="s">
        <v>50</v>
      </c>
      <c r="E22" s="6"/>
      <c r="F22" s="6"/>
      <c r="G22" s="6"/>
      <c r="H22" s="18"/>
      <c r="I22" s="7"/>
    </row>
    <row r="23" spans="1:9" ht="30" customHeight="1">
      <c r="A23" s="15" t="s">
        <v>63</v>
      </c>
      <c r="B23" s="6" t="s">
        <v>55</v>
      </c>
      <c r="C23" s="6" t="s">
        <v>54</v>
      </c>
      <c r="D23" s="6" t="s">
        <v>52</v>
      </c>
      <c r="E23" s="6"/>
      <c r="F23" s="6"/>
      <c r="G23" s="6"/>
      <c r="H23" s="18"/>
      <c r="I23" s="7"/>
    </row>
    <row r="24" spans="1:9" ht="30" customHeight="1">
      <c r="A24" s="15" t="s">
        <v>63</v>
      </c>
      <c r="B24" s="6" t="s">
        <v>56</v>
      </c>
      <c r="C24" s="6" t="s">
        <v>57</v>
      </c>
      <c r="D24" s="6" t="s">
        <v>58</v>
      </c>
      <c r="E24" s="6"/>
      <c r="F24" s="6"/>
      <c r="G24" s="6"/>
      <c r="H24" s="18"/>
      <c r="I24" s="7"/>
    </row>
    <row r="25" spans="1:9" ht="30" customHeight="1">
      <c r="A25" s="15" t="s">
        <v>63</v>
      </c>
      <c r="B25" s="6" t="s">
        <v>59</v>
      </c>
      <c r="C25" s="6" t="s">
        <v>60</v>
      </c>
      <c r="D25" s="6" t="s">
        <v>58</v>
      </c>
      <c r="E25" s="6"/>
      <c r="F25" s="6"/>
      <c r="G25" s="6"/>
      <c r="H25" s="18"/>
      <c r="I25" s="7"/>
    </row>
    <row r="26" spans="1:9" ht="30" customHeight="1">
      <c r="A26" s="16" t="s">
        <v>63</v>
      </c>
      <c r="B26" s="8" t="s">
        <v>61</v>
      </c>
      <c r="C26" s="8" t="s">
        <v>60</v>
      </c>
      <c r="D26" s="8" t="s">
        <v>58</v>
      </c>
      <c r="E26" s="8"/>
      <c r="F26" s="8"/>
      <c r="G26" s="8"/>
      <c r="H26" s="19"/>
      <c r="I26" s="9"/>
    </row>
    <row r="29" spans="1:9">
      <c r="A29" s="36" t="s">
        <v>64</v>
      </c>
      <c r="B29" s="36"/>
      <c r="C29" s="36"/>
      <c r="D29" s="36"/>
      <c r="E29" s="36"/>
      <c r="F29" s="36"/>
      <c r="G29" s="36"/>
      <c r="H29" s="36"/>
      <c r="I29" s="36"/>
    </row>
    <row r="30" spans="1:9" ht="32" customHeight="1">
      <c r="A30" s="13" t="s">
        <v>38</v>
      </c>
      <c r="B30" s="13" t="s">
        <v>65</v>
      </c>
      <c r="C30" s="13" t="s">
        <v>66</v>
      </c>
      <c r="D30" s="13" t="s">
        <v>67</v>
      </c>
      <c r="E30" s="13" t="s">
        <v>68</v>
      </c>
      <c r="F30" s="13" t="s">
        <v>69</v>
      </c>
      <c r="G30" s="13" t="s">
        <v>70</v>
      </c>
      <c r="H30" s="13" t="s">
        <v>71</v>
      </c>
      <c r="I30" s="13" t="s">
        <v>72</v>
      </c>
    </row>
    <row r="31" spans="1:9" ht="80">
      <c r="A31" s="14" t="s">
        <v>47</v>
      </c>
      <c r="B31" s="4" t="s">
        <v>73</v>
      </c>
      <c r="C31" s="4" t="s">
        <v>74</v>
      </c>
      <c r="D31" s="4" t="s">
        <v>75</v>
      </c>
      <c r="E31" s="4" t="s">
        <v>76</v>
      </c>
      <c r="F31" s="4" t="s">
        <v>77</v>
      </c>
      <c r="G31" s="4" t="s">
        <v>78</v>
      </c>
      <c r="H31" s="4" t="s">
        <v>79</v>
      </c>
      <c r="I31" s="5" t="s">
        <v>80</v>
      </c>
    </row>
    <row r="32" spans="1:9" ht="16">
      <c r="A32" s="15" t="s">
        <v>62</v>
      </c>
      <c r="B32" s="6"/>
      <c r="C32" s="6"/>
      <c r="D32" s="6"/>
      <c r="E32" s="6"/>
      <c r="F32" s="6"/>
      <c r="G32" s="6"/>
      <c r="H32" s="6"/>
      <c r="I32" s="7"/>
    </row>
    <row r="33" spans="1:9" ht="16">
      <c r="A33" s="16" t="s">
        <v>63</v>
      </c>
      <c r="B33" s="8"/>
      <c r="C33" s="8"/>
      <c r="D33" s="8"/>
      <c r="E33" s="8"/>
      <c r="F33" s="8"/>
      <c r="G33" s="8"/>
      <c r="H33" s="8"/>
      <c r="I33" s="9"/>
    </row>
  </sheetData>
  <mergeCells count="4">
    <mergeCell ref="A1:I1"/>
    <mergeCell ref="A2:I2"/>
    <mergeCell ref="A4:I4"/>
    <mergeCell ref="A29:I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showGridLines="0" workbookViewId="0">
      <selection sqref="A1:H1"/>
    </sheetView>
  </sheetViews>
  <sheetFormatPr baseColWidth="10" defaultColWidth="8.83203125" defaultRowHeight="15"/>
  <cols>
    <col min="1" max="1" width="38" customWidth="1"/>
    <col min="2" max="3" width="18" customWidth="1"/>
    <col min="4" max="4" width="4" customWidth="1"/>
    <col min="5" max="5" width="23" customWidth="1"/>
    <col min="6" max="6" width="34" customWidth="1"/>
    <col min="7" max="7" width="28" customWidth="1"/>
    <col min="8" max="8" width="27" customWidth="1"/>
  </cols>
  <sheetData>
    <row r="1" spans="1:8" ht="28" customHeight="1">
      <c r="A1" s="33" t="s">
        <v>81</v>
      </c>
      <c r="B1" s="34"/>
      <c r="C1" s="34"/>
      <c r="D1" s="34"/>
      <c r="E1" s="34"/>
      <c r="F1" s="34"/>
      <c r="G1" s="34"/>
      <c r="H1" s="34"/>
    </row>
    <row r="2" spans="1:8" ht="30" customHeight="1">
      <c r="A2" s="35" t="s">
        <v>82</v>
      </c>
      <c r="B2" s="34"/>
      <c r="C2" s="34"/>
      <c r="D2" s="34"/>
      <c r="E2" s="34"/>
      <c r="F2" s="34"/>
      <c r="G2" s="34"/>
      <c r="H2" s="34"/>
    </row>
    <row r="4" spans="1:8">
      <c r="A4" s="36" t="s">
        <v>83</v>
      </c>
      <c r="B4" s="36"/>
      <c r="C4" s="36"/>
      <c r="E4" s="36" t="s">
        <v>84</v>
      </c>
      <c r="F4" s="36"/>
      <c r="G4" s="36"/>
      <c r="H4" s="36"/>
    </row>
    <row r="5" spans="1:8" ht="32" customHeight="1">
      <c r="A5" s="20" t="s">
        <v>48</v>
      </c>
      <c r="E5" s="13" t="s">
        <v>85</v>
      </c>
      <c r="F5" s="13" t="s">
        <v>86</v>
      </c>
      <c r="G5" s="13" t="s">
        <v>87</v>
      </c>
      <c r="H5" s="13" t="s">
        <v>88</v>
      </c>
    </row>
    <row r="6" spans="1:8" ht="32">
      <c r="A6" s="21" t="s">
        <v>51</v>
      </c>
      <c r="E6" s="14" t="s">
        <v>89</v>
      </c>
      <c r="F6" s="4" t="s">
        <v>90</v>
      </c>
      <c r="G6" s="4" t="s">
        <v>91</v>
      </c>
      <c r="H6" s="5" t="s">
        <v>92</v>
      </c>
    </row>
    <row r="7" spans="1:8" ht="32">
      <c r="A7" s="21" t="s">
        <v>53</v>
      </c>
      <c r="E7" s="15" t="s">
        <v>93</v>
      </c>
      <c r="F7" s="6" t="s">
        <v>94</v>
      </c>
      <c r="G7" s="6" t="s">
        <v>95</v>
      </c>
      <c r="H7" s="7" t="s">
        <v>96</v>
      </c>
    </row>
    <row r="8" spans="1:8" ht="48">
      <c r="A8" s="21" t="s">
        <v>55</v>
      </c>
      <c r="E8" s="15" t="s">
        <v>97</v>
      </c>
      <c r="F8" s="6" t="s">
        <v>98</v>
      </c>
      <c r="G8" s="6" t="s">
        <v>99</v>
      </c>
      <c r="H8" s="7" t="s">
        <v>100</v>
      </c>
    </row>
    <row r="9" spans="1:8" ht="32">
      <c r="A9" s="21" t="s">
        <v>56</v>
      </c>
      <c r="E9" s="15" t="s">
        <v>101</v>
      </c>
      <c r="F9" s="6" t="s">
        <v>102</v>
      </c>
      <c r="G9" s="6" t="s">
        <v>103</v>
      </c>
      <c r="H9" s="7" t="s">
        <v>104</v>
      </c>
    </row>
    <row r="10" spans="1:8" ht="16">
      <c r="A10" s="21" t="s">
        <v>59</v>
      </c>
      <c r="E10" s="15" t="s">
        <v>31</v>
      </c>
      <c r="F10" s="6" t="s">
        <v>105</v>
      </c>
      <c r="G10" s="6" t="s">
        <v>106</v>
      </c>
      <c r="H10" s="7" t="s">
        <v>107</v>
      </c>
    </row>
    <row r="11" spans="1:8" ht="32">
      <c r="A11" s="22" t="s">
        <v>61</v>
      </c>
      <c r="E11" s="16" t="s">
        <v>108</v>
      </c>
      <c r="F11" s="8" t="s">
        <v>109</v>
      </c>
      <c r="G11" s="8" t="s">
        <v>110</v>
      </c>
      <c r="H11" s="9" t="s">
        <v>111</v>
      </c>
    </row>
    <row r="13" spans="1:8">
      <c r="A13" s="36" t="s">
        <v>112</v>
      </c>
      <c r="B13" s="36"/>
      <c r="C13" s="36"/>
    </row>
    <row r="14" spans="1:8">
      <c r="A14" s="20" t="s">
        <v>113</v>
      </c>
    </row>
    <row r="15" spans="1:8">
      <c r="A15" s="21" t="s">
        <v>114</v>
      </c>
    </row>
    <row r="16" spans="1:8">
      <c r="A16" s="21" t="s">
        <v>115</v>
      </c>
    </row>
    <row r="17" spans="1:3">
      <c r="A17" s="21" t="s">
        <v>92</v>
      </c>
    </row>
    <row r="18" spans="1:3">
      <c r="A18" s="21" t="s">
        <v>116</v>
      </c>
    </row>
    <row r="19" spans="1:3">
      <c r="A19" s="22" t="s">
        <v>117</v>
      </c>
    </row>
    <row r="21" spans="1:3">
      <c r="A21" s="36" t="s">
        <v>118</v>
      </c>
      <c r="B21" s="36"/>
      <c r="C21" s="36"/>
    </row>
    <row r="22" spans="1:3">
      <c r="A22" s="20" t="s">
        <v>119</v>
      </c>
    </row>
    <row r="23" spans="1:3">
      <c r="A23" s="21" t="s">
        <v>120</v>
      </c>
    </row>
    <row r="24" spans="1:3">
      <c r="A24" s="21" t="s">
        <v>121</v>
      </c>
    </row>
    <row r="25" spans="1:3">
      <c r="A25" s="21" t="s">
        <v>122</v>
      </c>
    </row>
    <row r="26" spans="1:3">
      <c r="A26" s="22" t="s">
        <v>123</v>
      </c>
    </row>
    <row r="28" spans="1:3">
      <c r="A28" s="36" t="s">
        <v>124</v>
      </c>
      <c r="B28" s="36"/>
      <c r="C28" s="36"/>
    </row>
    <row r="29" spans="1:3">
      <c r="A29" s="20" t="s">
        <v>125</v>
      </c>
    </row>
    <row r="30" spans="1:3">
      <c r="A30" s="21" t="s">
        <v>126</v>
      </c>
    </row>
    <row r="31" spans="1:3">
      <c r="A31" s="21" t="s">
        <v>127</v>
      </c>
    </row>
    <row r="32" spans="1:3">
      <c r="A32" s="21" t="s">
        <v>128</v>
      </c>
    </row>
    <row r="33" spans="1:3">
      <c r="A33" s="22" t="s">
        <v>129</v>
      </c>
    </row>
    <row r="35" spans="1:3">
      <c r="A35" s="36" t="s">
        <v>130</v>
      </c>
      <c r="B35" s="36"/>
      <c r="C35" s="36"/>
    </row>
    <row r="36" spans="1:3">
      <c r="A36" s="20" t="s">
        <v>96</v>
      </c>
    </row>
    <row r="37" spans="1:3">
      <c r="A37" s="22" t="s">
        <v>131</v>
      </c>
    </row>
    <row r="40" spans="1:3">
      <c r="A40" s="36" t="s">
        <v>132</v>
      </c>
      <c r="B40" s="36"/>
      <c r="C40" s="36"/>
    </row>
    <row r="41" spans="1:3">
      <c r="A41" s="20" t="s">
        <v>133</v>
      </c>
    </row>
    <row r="42" spans="1:3">
      <c r="A42" s="21" t="s">
        <v>134</v>
      </c>
    </row>
    <row r="43" spans="1:3">
      <c r="A43" s="21" t="s">
        <v>27</v>
      </c>
    </row>
    <row r="44" spans="1:3">
      <c r="A44" s="21" t="s">
        <v>135</v>
      </c>
    </row>
    <row r="45" spans="1:3">
      <c r="A45" s="21" t="s">
        <v>136</v>
      </c>
    </row>
    <row r="46" spans="1:3">
      <c r="A46" s="22" t="s">
        <v>137</v>
      </c>
    </row>
    <row r="48" spans="1:3">
      <c r="A48" s="36" t="s">
        <v>138</v>
      </c>
      <c r="B48" s="36"/>
      <c r="C48" s="36"/>
    </row>
    <row r="49" spans="1:1">
      <c r="A49" s="20" t="s">
        <v>107</v>
      </c>
    </row>
    <row r="50" spans="1:1">
      <c r="A50" s="21" t="s">
        <v>139</v>
      </c>
    </row>
    <row r="51" spans="1:1">
      <c r="A51" s="21" t="s">
        <v>140</v>
      </c>
    </row>
    <row r="52" spans="1:1">
      <c r="A52" s="21" t="s">
        <v>141</v>
      </c>
    </row>
    <row r="53" spans="1:1">
      <c r="A53" s="21" t="s">
        <v>142</v>
      </c>
    </row>
    <row r="54" spans="1:1">
      <c r="A54" s="21" t="s">
        <v>143</v>
      </c>
    </row>
    <row r="55" spans="1:1">
      <c r="A55" s="22" t="s">
        <v>144</v>
      </c>
    </row>
  </sheetData>
  <mergeCells count="10">
    <mergeCell ref="A28:C28"/>
    <mergeCell ref="A35:C35"/>
    <mergeCell ref="A40:C40"/>
    <mergeCell ref="A48:C48"/>
    <mergeCell ref="E4:H4"/>
    <mergeCell ref="A1:H1"/>
    <mergeCell ref="A2:H2"/>
    <mergeCell ref="A4:C4"/>
    <mergeCell ref="A13:C13"/>
    <mergeCell ref="A21:C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55"/>
  <sheetViews>
    <sheetView showGridLines="0" tabSelected="1" topLeftCell="A5" workbookViewId="0">
      <selection activeCell="F12" sqref="F12"/>
    </sheetView>
  </sheetViews>
  <sheetFormatPr baseColWidth="10" defaultColWidth="8.83203125" defaultRowHeight="15"/>
  <cols>
    <col min="1" max="1" width="15" customWidth="1"/>
    <col min="2" max="2" width="18" customWidth="1"/>
    <col min="3" max="3" width="16" customWidth="1"/>
    <col min="4" max="4" width="30" customWidth="1"/>
    <col min="5" max="5" width="40" customWidth="1"/>
    <col min="6" max="6" width="27" customWidth="1"/>
    <col min="7" max="7" width="17" customWidth="1"/>
    <col min="8" max="8" width="26" customWidth="1"/>
    <col min="9" max="9" width="22" customWidth="1"/>
    <col min="10" max="10" width="24" customWidth="1"/>
    <col min="11" max="11" width="23" customWidth="1"/>
    <col min="12" max="12" width="16" customWidth="1"/>
    <col min="13" max="13" width="15" customWidth="1"/>
    <col min="14" max="14" width="34" customWidth="1"/>
    <col min="15" max="15" width="28" customWidth="1"/>
    <col min="16" max="16" width="19" customWidth="1"/>
    <col min="17" max="17" width="17" customWidth="1"/>
    <col min="18" max="18" width="19" customWidth="1"/>
    <col min="19" max="19" width="34" customWidth="1"/>
  </cols>
  <sheetData>
    <row r="1" spans="1:19" ht="28" customHeight="1">
      <c r="A1" s="33" t="s">
        <v>145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ht="30" customHeight="1">
      <c r="A2" s="35" t="s">
        <v>146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4" spans="1:19">
      <c r="A4" s="43" t="s">
        <v>147</v>
      </c>
      <c r="B4" s="34" t="s">
        <v>147</v>
      </c>
      <c r="C4" s="34" t="s">
        <v>147</v>
      </c>
      <c r="D4" s="34" t="s">
        <v>147</v>
      </c>
      <c r="E4" s="34" t="s">
        <v>147</v>
      </c>
      <c r="F4" s="34" t="s">
        <v>147</v>
      </c>
      <c r="G4" s="34" t="s">
        <v>147</v>
      </c>
      <c r="H4" s="34" t="s">
        <v>147</v>
      </c>
      <c r="I4" s="34" t="s">
        <v>147</v>
      </c>
      <c r="J4" s="34" t="s">
        <v>147</v>
      </c>
      <c r="K4" s="34" t="s">
        <v>147</v>
      </c>
      <c r="L4" s="34" t="s">
        <v>147</v>
      </c>
      <c r="M4" s="34" t="s">
        <v>147</v>
      </c>
      <c r="N4" s="34" t="s">
        <v>147</v>
      </c>
      <c r="O4" s="34" t="s">
        <v>147</v>
      </c>
      <c r="P4" s="34" t="s">
        <v>147</v>
      </c>
      <c r="Q4" s="34" t="s">
        <v>147</v>
      </c>
      <c r="R4" s="34" t="s">
        <v>147</v>
      </c>
      <c r="S4" s="34" t="s">
        <v>147</v>
      </c>
    </row>
    <row r="5" spans="1:19" ht="32" customHeight="1">
      <c r="A5" s="13" t="s">
        <v>148</v>
      </c>
      <c r="B5" s="13" t="s">
        <v>149</v>
      </c>
      <c r="C5" s="13" t="s">
        <v>150</v>
      </c>
      <c r="D5" s="13" t="s">
        <v>151</v>
      </c>
      <c r="E5" s="13" t="s">
        <v>152</v>
      </c>
      <c r="F5" s="13" t="s">
        <v>153</v>
      </c>
      <c r="G5" s="13" t="s">
        <v>154</v>
      </c>
      <c r="H5" s="13" t="s">
        <v>155</v>
      </c>
      <c r="I5" s="13" t="s">
        <v>156</v>
      </c>
      <c r="J5" s="13" t="s">
        <v>157</v>
      </c>
      <c r="K5" s="13" t="s">
        <v>89</v>
      </c>
      <c r="L5" s="13" t="s">
        <v>158</v>
      </c>
      <c r="M5" s="13" t="s">
        <v>159</v>
      </c>
      <c r="N5" s="13" t="s">
        <v>31</v>
      </c>
      <c r="O5" s="13" t="s">
        <v>108</v>
      </c>
      <c r="P5" s="13" t="s">
        <v>132</v>
      </c>
      <c r="Q5" s="13" t="s">
        <v>160</v>
      </c>
      <c r="R5" s="13" t="s">
        <v>97</v>
      </c>
      <c r="S5" s="13" t="s">
        <v>161</v>
      </c>
    </row>
    <row r="6" spans="1:19" ht="34" customHeight="1">
      <c r="A6" s="1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/>
    </row>
    <row r="7" spans="1:19" ht="34" customHeight="1">
      <c r="A7" s="1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</row>
    <row r="8" spans="1:19" ht="34" customHeight="1">
      <c r="A8" s="1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7"/>
    </row>
    <row r="9" spans="1:19" ht="34" customHeight="1">
      <c r="A9" s="1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7"/>
    </row>
    <row r="10" spans="1:19" ht="34" customHeight="1">
      <c r="A10" s="1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7"/>
    </row>
    <row r="11" spans="1:19" ht="34" customHeight="1">
      <c r="A11" s="1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7"/>
    </row>
    <row r="12" spans="1:19" ht="34" customHeight="1">
      <c r="A12" s="1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7"/>
    </row>
    <row r="13" spans="1:19" ht="34" customHeight="1">
      <c r="A13" s="1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7"/>
    </row>
    <row r="14" spans="1:19" ht="34" customHeight="1">
      <c r="A14" s="1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7"/>
    </row>
    <row r="15" spans="1:19" ht="34" customHeight="1">
      <c r="A15" s="1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7"/>
    </row>
    <row r="16" spans="1:19" ht="34" customHeight="1">
      <c r="A16" s="1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7"/>
    </row>
    <row r="17" spans="1:19" ht="34" customHeight="1">
      <c r="A17" s="1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7"/>
    </row>
    <row r="18" spans="1:19" ht="34" customHeight="1">
      <c r="A18" s="1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7"/>
    </row>
    <row r="19" spans="1:19" ht="34" customHeight="1">
      <c r="A19" s="1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7"/>
    </row>
    <row r="20" spans="1:19" ht="34" customHeight="1">
      <c r="A20" s="1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7"/>
    </row>
    <row r="21" spans="1:19" ht="34" customHeight="1">
      <c r="A21" s="1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7"/>
    </row>
    <row r="22" spans="1:19" ht="34" customHeight="1">
      <c r="A22" s="1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7"/>
    </row>
    <row r="23" spans="1:19" ht="34" customHeight="1">
      <c r="A23" s="1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7"/>
    </row>
    <row r="24" spans="1:19" ht="34" customHeight="1">
      <c r="A24" s="1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7"/>
    </row>
    <row r="25" spans="1:19" ht="34" customHeight="1">
      <c r="A25" s="1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7"/>
    </row>
    <row r="26" spans="1:19" ht="34" customHeight="1">
      <c r="A26" s="1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7"/>
    </row>
    <row r="27" spans="1:19" ht="34" customHeight="1">
      <c r="A27" s="1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7"/>
    </row>
    <row r="28" spans="1:19" ht="34" customHeight="1">
      <c r="A28" s="1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7"/>
    </row>
    <row r="29" spans="1:19" ht="34" customHeight="1">
      <c r="A29" s="1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7"/>
    </row>
    <row r="30" spans="1:19" ht="34" customHeight="1">
      <c r="A30" s="1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7"/>
    </row>
    <row r="31" spans="1:19" ht="34" customHeight="1">
      <c r="A31" s="1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7"/>
    </row>
    <row r="32" spans="1:19" ht="34" customHeight="1">
      <c r="A32" s="1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7"/>
    </row>
    <row r="33" spans="1:19" ht="34" customHeight="1">
      <c r="A33" s="1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7"/>
    </row>
    <row r="34" spans="1:19" ht="34" customHeight="1">
      <c r="A34" s="1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7"/>
    </row>
    <row r="35" spans="1:19" ht="34" customHeight="1">
      <c r="A35" s="1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7"/>
    </row>
    <row r="36" spans="1:19" ht="34" customHeight="1">
      <c r="A36" s="1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7"/>
    </row>
    <row r="37" spans="1:19" ht="34" customHeight="1">
      <c r="A37" s="1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7"/>
    </row>
    <row r="38" spans="1:19" ht="34" customHeight="1">
      <c r="A38" s="1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7"/>
    </row>
    <row r="39" spans="1:19" ht="34" customHeight="1">
      <c r="A39" s="1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7"/>
    </row>
    <row r="40" spans="1:19" ht="34" customHeight="1">
      <c r="A40" s="1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7"/>
    </row>
    <row r="41" spans="1:19" ht="34" customHeight="1">
      <c r="A41" s="1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7"/>
    </row>
    <row r="42" spans="1:19" ht="34" customHeight="1">
      <c r="A42" s="1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7"/>
    </row>
    <row r="43" spans="1:19" ht="34" customHeight="1">
      <c r="A43" s="1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7"/>
    </row>
    <row r="44" spans="1:19" ht="34" customHeight="1">
      <c r="A44" s="1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7"/>
    </row>
    <row r="45" spans="1:19" ht="34" customHeight="1">
      <c r="A45" s="1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7"/>
    </row>
    <row r="46" spans="1:19" ht="34" customHeight="1">
      <c r="A46" s="1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7"/>
    </row>
    <row r="47" spans="1:19" ht="34" customHeight="1">
      <c r="A47" s="1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7"/>
    </row>
    <row r="48" spans="1:19" ht="34" customHeight="1">
      <c r="A48" s="1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7"/>
    </row>
    <row r="49" spans="1:19" ht="34" customHeight="1">
      <c r="A49" s="1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7"/>
    </row>
    <row r="50" spans="1:19" ht="34" customHeight="1">
      <c r="A50" s="1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7"/>
    </row>
    <row r="51" spans="1:19" ht="34" customHeight="1">
      <c r="A51" s="1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7"/>
    </row>
    <row r="52" spans="1:19" ht="34" customHeight="1">
      <c r="A52" s="1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7"/>
    </row>
    <row r="53" spans="1:19" ht="34" customHeight="1">
      <c r="A53" s="1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7"/>
    </row>
    <row r="54" spans="1:19" ht="34" customHeight="1">
      <c r="A54" s="1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7"/>
    </row>
    <row r="55" spans="1:19" ht="34" customHeight="1">
      <c r="A55" s="1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7"/>
    </row>
    <row r="56" spans="1:19" ht="34" customHeight="1">
      <c r="A56" s="1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7"/>
    </row>
    <row r="57" spans="1:19" ht="34" customHeight="1">
      <c r="A57" s="1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7"/>
    </row>
    <row r="58" spans="1:19" ht="34" customHeight="1">
      <c r="A58" s="1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7"/>
    </row>
    <row r="59" spans="1:19" ht="34" customHeight="1">
      <c r="A59" s="1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7"/>
    </row>
    <row r="60" spans="1:19" ht="34" customHeight="1">
      <c r="A60" s="1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7"/>
    </row>
    <row r="61" spans="1:19" ht="34" customHeight="1">
      <c r="A61" s="1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7"/>
    </row>
    <row r="62" spans="1:19" ht="34" customHeight="1">
      <c r="A62" s="1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7"/>
    </row>
    <row r="63" spans="1:19" ht="34" customHeight="1">
      <c r="A63" s="1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7"/>
    </row>
    <row r="64" spans="1:19" ht="34" customHeight="1">
      <c r="A64" s="15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7"/>
    </row>
    <row r="65" spans="1:19" ht="34" customHeight="1">
      <c r="A65" s="1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7"/>
    </row>
    <row r="66" spans="1:19" ht="34" customHeight="1">
      <c r="A66" s="15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7"/>
    </row>
    <row r="67" spans="1:19" ht="34" customHeight="1">
      <c r="A67" s="1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7"/>
    </row>
    <row r="68" spans="1:19" ht="34" customHeight="1">
      <c r="A68" s="15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7"/>
    </row>
    <row r="69" spans="1:19" ht="34" customHeight="1">
      <c r="A69" s="1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7"/>
    </row>
    <row r="70" spans="1:19" ht="34" customHeight="1">
      <c r="A70" s="1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7"/>
    </row>
    <row r="71" spans="1:19" ht="34" customHeight="1">
      <c r="A71" s="1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7"/>
    </row>
    <row r="72" spans="1:19" ht="34" customHeight="1">
      <c r="A72" s="15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7"/>
    </row>
    <row r="73" spans="1:19" ht="34" customHeight="1">
      <c r="A73" s="1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7"/>
    </row>
    <row r="74" spans="1:19" ht="34" customHeight="1">
      <c r="A74" s="15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7"/>
    </row>
    <row r="75" spans="1:19" ht="34" customHeight="1">
      <c r="A75" s="1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7"/>
    </row>
    <row r="76" spans="1:19" ht="34" customHeight="1">
      <c r="A76" s="15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7"/>
    </row>
    <row r="77" spans="1:19" ht="34" customHeight="1">
      <c r="A77" s="1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7"/>
    </row>
    <row r="78" spans="1:19" ht="34" customHeight="1">
      <c r="A78" s="15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7"/>
    </row>
    <row r="79" spans="1:19" ht="34" customHeight="1">
      <c r="A79" s="1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7"/>
    </row>
    <row r="80" spans="1:19" ht="34" customHeight="1">
      <c r="A80" s="15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7"/>
    </row>
    <row r="81" spans="1:19" ht="34" customHeight="1">
      <c r="A81" s="1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7"/>
    </row>
    <row r="82" spans="1:19" ht="34" customHeight="1">
      <c r="A82" s="15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7"/>
    </row>
    <row r="83" spans="1:19" ht="34" customHeight="1">
      <c r="A83" s="1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7"/>
    </row>
    <row r="84" spans="1:19" ht="34" customHeight="1">
      <c r="A84" s="1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7"/>
    </row>
    <row r="85" spans="1:19" ht="34" customHeight="1">
      <c r="A85" s="1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7"/>
    </row>
    <row r="86" spans="1:19" ht="34" customHeight="1">
      <c r="A86" s="1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7"/>
    </row>
    <row r="87" spans="1:19" ht="34" customHeight="1">
      <c r="A87" s="1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7"/>
    </row>
    <row r="88" spans="1:19" ht="34" customHeight="1">
      <c r="A88" s="1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7"/>
    </row>
    <row r="89" spans="1:19" ht="34" customHeight="1">
      <c r="A89" s="1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7"/>
    </row>
    <row r="90" spans="1:19" ht="34" customHeight="1">
      <c r="A90" s="1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7"/>
    </row>
    <row r="91" spans="1:19" ht="34" customHeight="1">
      <c r="A91" s="1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7"/>
    </row>
    <row r="92" spans="1:19" ht="34" customHeight="1">
      <c r="A92" s="1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7"/>
    </row>
    <row r="93" spans="1:19" ht="34" customHeight="1">
      <c r="A93" s="1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7"/>
    </row>
    <row r="94" spans="1:19" ht="34" customHeight="1">
      <c r="A94" s="1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7"/>
    </row>
    <row r="95" spans="1:19" ht="34" customHeight="1">
      <c r="A95" s="1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7"/>
    </row>
    <row r="96" spans="1:19" ht="34" customHeight="1">
      <c r="A96" s="15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7"/>
    </row>
    <row r="97" spans="1:19" ht="34" customHeight="1">
      <c r="A97" s="1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7"/>
    </row>
    <row r="98" spans="1:19" ht="34" customHeight="1">
      <c r="A98" s="15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7"/>
    </row>
    <row r="99" spans="1:19" ht="34" customHeight="1">
      <c r="A99" s="15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7"/>
    </row>
    <row r="100" spans="1:19" ht="34" customHeight="1">
      <c r="A100" s="15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7"/>
    </row>
    <row r="101" spans="1:19" ht="34" customHeight="1">
      <c r="A101" s="1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7"/>
    </row>
    <row r="102" spans="1:19" ht="34" customHeight="1">
      <c r="A102" s="1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7"/>
    </row>
    <row r="103" spans="1:19" ht="34" customHeight="1">
      <c r="A103" s="1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7"/>
    </row>
    <row r="104" spans="1:19" ht="34" customHeight="1">
      <c r="A104" s="1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7"/>
    </row>
    <row r="105" spans="1:19" ht="34" customHeight="1">
      <c r="A105" s="1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7"/>
    </row>
    <row r="106" spans="1:19" ht="34" customHeight="1">
      <c r="A106" s="1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7"/>
    </row>
    <row r="107" spans="1:19" ht="34" customHeight="1">
      <c r="A107" s="1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7"/>
    </row>
    <row r="108" spans="1:19" ht="34" customHeight="1">
      <c r="A108" s="1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7"/>
    </row>
    <row r="109" spans="1:19" ht="34" customHeight="1">
      <c r="A109" s="1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7"/>
    </row>
    <row r="110" spans="1:19" ht="34" customHeight="1">
      <c r="A110" s="1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7"/>
    </row>
    <row r="111" spans="1:19" ht="34" customHeight="1">
      <c r="A111" s="1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7"/>
    </row>
    <row r="112" spans="1:19" ht="34" customHeight="1">
      <c r="A112" s="1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7"/>
    </row>
    <row r="113" spans="1:19" ht="34" customHeight="1">
      <c r="A113" s="1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7"/>
    </row>
    <row r="114" spans="1:19" ht="34" customHeight="1">
      <c r="A114" s="1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7"/>
    </row>
    <row r="115" spans="1:19" ht="34" customHeight="1">
      <c r="A115" s="1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7"/>
    </row>
    <row r="116" spans="1:19" ht="34" customHeight="1">
      <c r="A116" s="1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7"/>
    </row>
    <row r="117" spans="1:19" ht="34" customHeight="1">
      <c r="A117" s="1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7"/>
    </row>
    <row r="118" spans="1:19" ht="34" customHeight="1">
      <c r="A118" s="1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7"/>
    </row>
    <row r="119" spans="1:19" ht="34" customHeight="1">
      <c r="A119" s="1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7"/>
    </row>
    <row r="120" spans="1:19" ht="34" customHeight="1">
      <c r="A120" s="1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7"/>
    </row>
    <row r="121" spans="1:19" ht="34" customHeight="1">
      <c r="A121" s="1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7"/>
    </row>
    <row r="122" spans="1:19" ht="34" customHeight="1">
      <c r="A122" s="1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7"/>
    </row>
    <row r="123" spans="1:19" ht="34" customHeight="1">
      <c r="A123" s="1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7"/>
    </row>
    <row r="124" spans="1:19" ht="34" customHeight="1">
      <c r="A124" s="1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7"/>
    </row>
    <row r="125" spans="1:19" ht="34" customHeight="1">
      <c r="A125" s="1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7"/>
    </row>
    <row r="126" spans="1:19" ht="34" customHeight="1">
      <c r="A126" s="1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7"/>
    </row>
    <row r="127" spans="1:19" ht="34" customHeight="1">
      <c r="A127" s="1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7"/>
    </row>
    <row r="128" spans="1:19" ht="34" customHeight="1">
      <c r="A128" s="1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7"/>
    </row>
    <row r="129" spans="1:19" ht="34" customHeight="1">
      <c r="A129" s="1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7"/>
    </row>
    <row r="130" spans="1:19" ht="34" customHeight="1">
      <c r="A130" s="1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7"/>
    </row>
    <row r="131" spans="1:19" ht="34" customHeight="1">
      <c r="A131" s="1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7"/>
    </row>
    <row r="132" spans="1:19" ht="34" customHeight="1">
      <c r="A132" s="1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7"/>
    </row>
    <row r="133" spans="1:19" ht="34" customHeight="1">
      <c r="A133" s="1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7"/>
    </row>
    <row r="134" spans="1:19" ht="34" customHeight="1">
      <c r="A134" s="1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7"/>
    </row>
    <row r="135" spans="1:19" ht="34" customHeight="1">
      <c r="A135" s="1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7"/>
    </row>
    <row r="136" spans="1:19" ht="34" customHeight="1">
      <c r="A136" s="1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7"/>
    </row>
    <row r="137" spans="1:19" ht="34" customHeight="1">
      <c r="A137" s="1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7"/>
    </row>
    <row r="138" spans="1:19" ht="34" customHeight="1">
      <c r="A138" s="1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7"/>
    </row>
    <row r="139" spans="1:19" ht="34" customHeight="1">
      <c r="A139" s="1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7"/>
    </row>
    <row r="140" spans="1:19" ht="34" customHeight="1">
      <c r="A140" s="1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7"/>
    </row>
    <row r="141" spans="1:19" ht="34" customHeight="1">
      <c r="A141" s="1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7"/>
    </row>
    <row r="142" spans="1:19" ht="34" customHeight="1">
      <c r="A142" s="1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7"/>
    </row>
    <row r="143" spans="1:19" ht="34" customHeight="1">
      <c r="A143" s="1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7"/>
    </row>
    <row r="144" spans="1:19" ht="34" customHeight="1">
      <c r="A144" s="1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7"/>
    </row>
    <row r="145" spans="1:19" ht="34" customHeight="1">
      <c r="A145" s="1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7"/>
    </row>
    <row r="146" spans="1:19" ht="34" customHeight="1">
      <c r="A146" s="1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7"/>
    </row>
    <row r="147" spans="1:19" ht="34" customHeight="1">
      <c r="A147" s="1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7"/>
    </row>
    <row r="148" spans="1:19" ht="34" customHeight="1">
      <c r="A148" s="1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7"/>
    </row>
    <row r="149" spans="1:19" ht="34" customHeight="1">
      <c r="A149" s="1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7"/>
    </row>
    <row r="150" spans="1:19" ht="34" customHeight="1">
      <c r="A150" s="1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7"/>
    </row>
    <row r="151" spans="1:19" ht="34" customHeight="1">
      <c r="A151" s="1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7"/>
    </row>
    <row r="152" spans="1:19" ht="34" customHeight="1">
      <c r="A152" s="1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7"/>
    </row>
    <row r="153" spans="1:19" ht="34" customHeight="1">
      <c r="A153" s="1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7"/>
    </row>
    <row r="154" spans="1:19" ht="34" customHeight="1">
      <c r="A154" s="1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7"/>
    </row>
    <row r="155" spans="1:19" ht="34" customHeight="1">
      <c r="A155" s="16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9"/>
    </row>
  </sheetData>
  <mergeCells count="3">
    <mergeCell ref="A1:S1"/>
    <mergeCell ref="A2:S2"/>
    <mergeCell ref="A4:S4"/>
  </mergeCells>
  <conditionalFormatting sqref="P6:P155">
    <cfRule type="containsText" dxfId="5" priority="2" operator="containsText" text="Excluded"/>
  </conditionalFormatting>
  <conditionalFormatting sqref="Q6:Q155">
    <cfRule type="containsText" dxfId="4" priority="1" operator="containsText" text="Yes"/>
  </conditionalFormatting>
  <dataValidations count="7">
    <dataValidation type="list" sqref="B6:B155" xr:uid="{00000000-0002-0000-0300-000000000000}">
      <formula1>"ChatGPT R1,ChatGPT R2,Llama R1,Llama R2,ThreMoLIA,OWASP Threat Dragon,Microsoft TMT"</formula1>
    </dataValidation>
    <dataValidation type="list" sqref="G6:G155" xr:uid="{00000000-0002-0000-0300-000001000000}">
      <formula1>"External Entity,Process,Data Store,Data Flow,Trust Boundary"</formula1>
    </dataValidation>
    <dataValidation type="list" sqref="K6:K155" xr:uid="{00000000-0002-0000-0300-000002000000}">
      <formula1>"Spoofing,Tampering,Repudiation,Information Disclosure,Denial of Service,Elevation of Privilege"</formula1>
    </dataValidation>
    <dataValidation type="list" sqref="L6:L155" xr:uid="{00000000-0002-0000-0300-000003000000}">
      <formula1>"High,Medium,Low,Informational,Not provided"</formula1>
    </dataValidation>
    <dataValidation type="list" sqref="M6:M155 Q6:Q155" xr:uid="{00000000-0002-0000-0300-000004000000}">
      <formula1>"Yes,No"</formula1>
    </dataValidation>
    <dataValidation type="list" sqref="N6:N155" xr:uid="{00000000-0002-0000-0300-000005000000}">
      <formula1>"Prompt injection,Insecure output handling,Sensitive data disclosure,Third-party LLM exposure,Model / service denial of service,Knowledge-base or supply-chain poisoning,LLM authorization / context isolation"</formula1>
    </dataValidation>
    <dataValidation type="list" sqref="P6:P155" xr:uid="{00000000-0002-0000-0300-000006000000}">
      <formula1>"Not reviewed,Reviewed,Included,Excluded,Duplicate / noise,Out of scope"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55"/>
  <sheetViews>
    <sheetView showGridLines="0" topLeftCell="K1" workbookViewId="0">
      <selection sqref="A1:S1"/>
    </sheetView>
  </sheetViews>
  <sheetFormatPr baseColWidth="10" defaultColWidth="8.83203125" defaultRowHeight="15"/>
  <cols>
    <col min="1" max="1" width="15" customWidth="1"/>
    <col min="2" max="2" width="18" customWidth="1"/>
    <col min="3" max="3" width="16" customWidth="1"/>
    <col min="4" max="4" width="30" customWidth="1"/>
    <col min="5" max="5" width="40" customWidth="1"/>
    <col min="6" max="6" width="27" customWidth="1"/>
    <col min="7" max="7" width="17" customWidth="1"/>
    <col min="8" max="8" width="26" customWidth="1"/>
    <col min="9" max="9" width="22" customWidth="1"/>
    <col min="10" max="10" width="24" customWidth="1"/>
    <col min="11" max="11" width="23" customWidth="1"/>
    <col min="12" max="12" width="16" customWidth="1"/>
    <col min="13" max="13" width="15" customWidth="1"/>
    <col min="14" max="14" width="34" customWidth="1"/>
    <col min="15" max="15" width="28" customWidth="1"/>
    <col min="16" max="16" width="19" customWidth="1"/>
    <col min="17" max="17" width="17" customWidth="1"/>
    <col min="18" max="18" width="19" customWidth="1"/>
    <col min="19" max="19" width="34" customWidth="1"/>
  </cols>
  <sheetData>
    <row r="1" spans="1:19" ht="28" customHeight="1">
      <c r="A1" s="33" t="s">
        <v>162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ht="30" customHeight="1">
      <c r="A2" s="35" t="s">
        <v>146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4" spans="1:19">
      <c r="A4" s="43" t="s">
        <v>147</v>
      </c>
      <c r="B4" s="34" t="s">
        <v>147</v>
      </c>
      <c r="C4" s="34" t="s">
        <v>147</v>
      </c>
      <c r="D4" s="34" t="s">
        <v>147</v>
      </c>
      <c r="E4" s="34" t="s">
        <v>147</v>
      </c>
      <c r="F4" s="34" t="s">
        <v>147</v>
      </c>
      <c r="G4" s="34" t="s">
        <v>147</v>
      </c>
      <c r="H4" s="34" t="s">
        <v>147</v>
      </c>
      <c r="I4" s="34" t="s">
        <v>147</v>
      </c>
      <c r="J4" s="34" t="s">
        <v>147</v>
      </c>
      <c r="K4" s="34" t="s">
        <v>147</v>
      </c>
      <c r="L4" s="34" t="s">
        <v>147</v>
      </c>
      <c r="M4" s="34" t="s">
        <v>147</v>
      </c>
      <c r="N4" s="34" t="s">
        <v>147</v>
      </c>
      <c r="O4" s="34" t="s">
        <v>147</v>
      </c>
      <c r="P4" s="34" t="s">
        <v>147</v>
      </c>
      <c r="Q4" s="34" t="s">
        <v>147</v>
      </c>
      <c r="R4" s="34" t="s">
        <v>147</v>
      </c>
      <c r="S4" s="34" t="s">
        <v>147</v>
      </c>
    </row>
    <row r="5" spans="1:19" ht="32" customHeight="1">
      <c r="A5" s="13" t="s">
        <v>148</v>
      </c>
      <c r="B5" s="13" t="s">
        <v>149</v>
      </c>
      <c r="C5" s="13" t="s">
        <v>150</v>
      </c>
      <c r="D5" s="13" t="s">
        <v>151</v>
      </c>
      <c r="E5" s="13" t="s">
        <v>152</v>
      </c>
      <c r="F5" s="13" t="s">
        <v>153</v>
      </c>
      <c r="G5" s="13" t="s">
        <v>154</v>
      </c>
      <c r="H5" s="13" t="s">
        <v>155</v>
      </c>
      <c r="I5" s="13" t="s">
        <v>156</v>
      </c>
      <c r="J5" s="13" t="s">
        <v>157</v>
      </c>
      <c r="K5" s="13" t="s">
        <v>89</v>
      </c>
      <c r="L5" s="13" t="s">
        <v>158</v>
      </c>
      <c r="M5" s="13" t="s">
        <v>159</v>
      </c>
      <c r="N5" s="13" t="s">
        <v>31</v>
      </c>
      <c r="O5" s="13" t="s">
        <v>108</v>
      </c>
      <c r="P5" s="13" t="s">
        <v>132</v>
      </c>
      <c r="Q5" s="13" t="s">
        <v>160</v>
      </c>
      <c r="R5" s="13" t="s">
        <v>97</v>
      </c>
      <c r="S5" s="13" t="s">
        <v>161</v>
      </c>
    </row>
    <row r="6" spans="1:19" ht="34" customHeight="1">
      <c r="A6" s="1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/>
    </row>
    <row r="7" spans="1:19" ht="34" customHeight="1">
      <c r="A7" s="1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</row>
    <row r="8" spans="1:19" ht="34" customHeight="1">
      <c r="A8" s="1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7"/>
    </row>
    <row r="9" spans="1:19" ht="34" customHeight="1">
      <c r="A9" s="1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7"/>
    </row>
    <row r="10" spans="1:19" ht="34" customHeight="1">
      <c r="A10" s="1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7"/>
    </row>
    <row r="11" spans="1:19" ht="34" customHeight="1">
      <c r="A11" s="1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7"/>
    </row>
    <row r="12" spans="1:19" ht="34" customHeight="1">
      <c r="A12" s="1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7"/>
    </row>
    <row r="13" spans="1:19" ht="34" customHeight="1">
      <c r="A13" s="1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7"/>
    </row>
    <row r="14" spans="1:19" ht="34" customHeight="1">
      <c r="A14" s="1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7"/>
    </row>
    <row r="15" spans="1:19" ht="34" customHeight="1">
      <c r="A15" s="1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7"/>
    </row>
    <row r="16" spans="1:19" ht="34" customHeight="1">
      <c r="A16" s="1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7"/>
    </row>
    <row r="17" spans="1:19" ht="34" customHeight="1">
      <c r="A17" s="1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7"/>
    </row>
    <row r="18" spans="1:19" ht="34" customHeight="1">
      <c r="A18" s="1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7"/>
    </row>
    <row r="19" spans="1:19" ht="34" customHeight="1">
      <c r="A19" s="1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7"/>
    </row>
    <row r="20" spans="1:19" ht="34" customHeight="1">
      <c r="A20" s="1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7"/>
    </row>
    <row r="21" spans="1:19" ht="34" customHeight="1">
      <c r="A21" s="1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7"/>
    </row>
    <row r="22" spans="1:19" ht="34" customHeight="1">
      <c r="A22" s="1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7"/>
    </row>
    <row r="23" spans="1:19" ht="34" customHeight="1">
      <c r="A23" s="1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7"/>
    </row>
    <row r="24" spans="1:19" ht="34" customHeight="1">
      <c r="A24" s="1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7"/>
    </row>
    <row r="25" spans="1:19" ht="34" customHeight="1">
      <c r="A25" s="1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7"/>
    </row>
    <row r="26" spans="1:19" ht="34" customHeight="1">
      <c r="A26" s="1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7"/>
    </row>
    <row r="27" spans="1:19" ht="34" customHeight="1">
      <c r="A27" s="1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7"/>
    </row>
    <row r="28" spans="1:19" ht="34" customHeight="1">
      <c r="A28" s="1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7"/>
    </row>
    <row r="29" spans="1:19" ht="34" customHeight="1">
      <c r="A29" s="1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7"/>
    </row>
    <row r="30" spans="1:19" ht="34" customHeight="1">
      <c r="A30" s="1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7"/>
    </row>
    <row r="31" spans="1:19" ht="34" customHeight="1">
      <c r="A31" s="1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7"/>
    </row>
    <row r="32" spans="1:19" ht="34" customHeight="1">
      <c r="A32" s="1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7"/>
    </row>
    <row r="33" spans="1:19" ht="34" customHeight="1">
      <c r="A33" s="1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7"/>
    </row>
    <row r="34" spans="1:19" ht="34" customHeight="1">
      <c r="A34" s="1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7"/>
    </row>
    <row r="35" spans="1:19" ht="34" customHeight="1">
      <c r="A35" s="1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7"/>
    </row>
    <row r="36" spans="1:19" ht="34" customHeight="1">
      <c r="A36" s="1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7"/>
    </row>
    <row r="37" spans="1:19" ht="34" customHeight="1">
      <c r="A37" s="1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7"/>
    </row>
    <row r="38" spans="1:19" ht="34" customHeight="1">
      <c r="A38" s="1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7"/>
    </row>
    <row r="39" spans="1:19" ht="34" customHeight="1">
      <c r="A39" s="1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7"/>
    </row>
    <row r="40" spans="1:19" ht="34" customHeight="1">
      <c r="A40" s="1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7"/>
    </row>
    <row r="41" spans="1:19" ht="34" customHeight="1">
      <c r="A41" s="1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7"/>
    </row>
    <row r="42" spans="1:19" ht="34" customHeight="1">
      <c r="A42" s="1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7"/>
    </row>
    <row r="43" spans="1:19" ht="34" customHeight="1">
      <c r="A43" s="1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7"/>
    </row>
    <row r="44" spans="1:19" ht="34" customHeight="1">
      <c r="A44" s="1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7"/>
    </row>
    <row r="45" spans="1:19" ht="34" customHeight="1">
      <c r="A45" s="1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7"/>
    </row>
    <row r="46" spans="1:19" ht="34" customHeight="1">
      <c r="A46" s="1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7"/>
    </row>
    <row r="47" spans="1:19" ht="34" customHeight="1">
      <c r="A47" s="1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7"/>
    </row>
    <row r="48" spans="1:19" ht="34" customHeight="1">
      <c r="A48" s="1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7"/>
    </row>
    <row r="49" spans="1:19" ht="34" customHeight="1">
      <c r="A49" s="1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7"/>
    </row>
    <row r="50" spans="1:19" ht="34" customHeight="1">
      <c r="A50" s="1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7"/>
    </row>
    <row r="51" spans="1:19" ht="34" customHeight="1">
      <c r="A51" s="1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7"/>
    </row>
    <row r="52" spans="1:19" ht="34" customHeight="1">
      <c r="A52" s="1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7"/>
    </row>
    <row r="53" spans="1:19" ht="34" customHeight="1">
      <c r="A53" s="1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7"/>
    </row>
    <row r="54" spans="1:19" ht="34" customHeight="1">
      <c r="A54" s="1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7"/>
    </row>
    <row r="55" spans="1:19" ht="34" customHeight="1">
      <c r="A55" s="1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7"/>
    </row>
    <row r="56" spans="1:19" ht="34" customHeight="1">
      <c r="A56" s="1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7"/>
    </row>
    <row r="57" spans="1:19" ht="34" customHeight="1">
      <c r="A57" s="1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7"/>
    </row>
    <row r="58" spans="1:19" ht="34" customHeight="1">
      <c r="A58" s="1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7"/>
    </row>
    <row r="59" spans="1:19" ht="34" customHeight="1">
      <c r="A59" s="1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7"/>
    </row>
    <row r="60" spans="1:19" ht="34" customHeight="1">
      <c r="A60" s="1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7"/>
    </row>
    <row r="61" spans="1:19" ht="34" customHeight="1">
      <c r="A61" s="1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7"/>
    </row>
    <row r="62" spans="1:19" ht="34" customHeight="1">
      <c r="A62" s="1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7"/>
    </row>
    <row r="63" spans="1:19" ht="34" customHeight="1">
      <c r="A63" s="1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7"/>
    </row>
    <row r="64" spans="1:19" ht="34" customHeight="1">
      <c r="A64" s="15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7"/>
    </row>
    <row r="65" spans="1:19" ht="34" customHeight="1">
      <c r="A65" s="1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7"/>
    </row>
    <row r="66" spans="1:19" ht="34" customHeight="1">
      <c r="A66" s="15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7"/>
    </row>
    <row r="67" spans="1:19" ht="34" customHeight="1">
      <c r="A67" s="1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7"/>
    </row>
    <row r="68" spans="1:19" ht="34" customHeight="1">
      <c r="A68" s="15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7"/>
    </row>
    <row r="69" spans="1:19" ht="34" customHeight="1">
      <c r="A69" s="1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7"/>
    </row>
    <row r="70" spans="1:19" ht="34" customHeight="1">
      <c r="A70" s="1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7"/>
    </row>
    <row r="71" spans="1:19" ht="34" customHeight="1">
      <c r="A71" s="1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7"/>
    </row>
    <row r="72" spans="1:19" ht="34" customHeight="1">
      <c r="A72" s="15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7"/>
    </row>
    <row r="73" spans="1:19" ht="34" customHeight="1">
      <c r="A73" s="1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7"/>
    </row>
    <row r="74" spans="1:19" ht="34" customHeight="1">
      <c r="A74" s="15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7"/>
    </row>
    <row r="75" spans="1:19" ht="34" customHeight="1">
      <c r="A75" s="1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7"/>
    </row>
    <row r="76" spans="1:19" ht="34" customHeight="1">
      <c r="A76" s="15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7"/>
    </row>
    <row r="77" spans="1:19" ht="34" customHeight="1">
      <c r="A77" s="1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7"/>
    </row>
    <row r="78" spans="1:19" ht="34" customHeight="1">
      <c r="A78" s="15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7"/>
    </row>
    <row r="79" spans="1:19" ht="34" customHeight="1">
      <c r="A79" s="1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7"/>
    </row>
    <row r="80" spans="1:19" ht="34" customHeight="1">
      <c r="A80" s="15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7"/>
    </row>
    <row r="81" spans="1:19" ht="34" customHeight="1">
      <c r="A81" s="1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7"/>
    </row>
    <row r="82" spans="1:19" ht="34" customHeight="1">
      <c r="A82" s="15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7"/>
    </row>
    <row r="83" spans="1:19" ht="34" customHeight="1">
      <c r="A83" s="1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7"/>
    </row>
    <row r="84" spans="1:19" ht="34" customHeight="1">
      <c r="A84" s="1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7"/>
    </row>
    <row r="85" spans="1:19" ht="34" customHeight="1">
      <c r="A85" s="1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7"/>
    </row>
    <row r="86" spans="1:19" ht="34" customHeight="1">
      <c r="A86" s="1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7"/>
    </row>
    <row r="87" spans="1:19" ht="34" customHeight="1">
      <c r="A87" s="1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7"/>
    </row>
    <row r="88" spans="1:19" ht="34" customHeight="1">
      <c r="A88" s="1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7"/>
    </row>
    <row r="89" spans="1:19" ht="34" customHeight="1">
      <c r="A89" s="1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7"/>
    </row>
    <row r="90" spans="1:19" ht="34" customHeight="1">
      <c r="A90" s="1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7"/>
    </row>
    <row r="91" spans="1:19" ht="34" customHeight="1">
      <c r="A91" s="1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7"/>
    </row>
    <row r="92" spans="1:19" ht="34" customHeight="1">
      <c r="A92" s="1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7"/>
    </row>
    <row r="93" spans="1:19" ht="34" customHeight="1">
      <c r="A93" s="1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7"/>
    </row>
    <row r="94" spans="1:19" ht="34" customHeight="1">
      <c r="A94" s="1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7"/>
    </row>
    <row r="95" spans="1:19" ht="34" customHeight="1">
      <c r="A95" s="1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7"/>
    </row>
    <row r="96" spans="1:19" ht="34" customHeight="1">
      <c r="A96" s="15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7"/>
    </row>
    <row r="97" spans="1:19" ht="34" customHeight="1">
      <c r="A97" s="1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7"/>
    </row>
    <row r="98" spans="1:19" ht="34" customHeight="1">
      <c r="A98" s="15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7"/>
    </row>
    <row r="99" spans="1:19" ht="34" customHeight="1">
      <c r="A99" s="15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7"/>
    </row>
    <row r="100" spans="1:19" ht="34" customHeight="1">
      <c r="A100" s="15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7"/>
    </row>
    <row r="101" spans="1:19" ht="34" customHeight="1">
      <c r="A101" s="1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7"/>
    </row>
    <row r="102" spans="1:19" ht="34" customHeight="1">
      <c r="A102" s="1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7"/>
    </row>
    <row r="103" spans="1:19" ht="34" customHeight="1">
      <c r="A103" s="1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7"/>
    </row>
    <row r="104" spans="1:19" ht="34" customHeight="1">
      <c r="A104" s="1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7"/>
    </row>
    <row r="105" spans="1:19" ht="34" customHeight="1">
      <c r="A105" s="1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7"/>
    </row>
    <row r="106" spans="1:19" ht="34" customHeight="1">
      <c r="A106" s="1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7"/>
    </row>
    <row r="107" spans="1:19" ht="34" customHeight="1">
      <c r="A107" s="1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7"/>
    </row>
    <row r="108" spans="1:19" ht="34" customHeight="1">
      <c r="A108" s="1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7"/>
    </row>
    <row r="109" spans="1:19" ht="34" customHeight="1">
      <c r="A109" s="1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7"/>
    </row>
    <row r="110" spans="1:19" ht="34" customHeight="1">
      <c r="A110" s="1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7"/>
    </row>
    <row r="111" spans="1:19" ht="34" customHeight="1">
      <c r="A111" s="1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7"/>
    </row>
    <row r="112" spans="1:19" ht="34" customHeight="1">
      <c r="A112" s="1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7"/>
    </row>
    <row r="113" spans="1:19" ht="34" customHeight="1">
      <c r="A113" s="1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7"/>
    </row>
    <row r="114" spans="1:19" ht="34" customHeight="1">
      <c r="A114" s="1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7"/>
    </row>
    <row r="115" spans="1:19" ht="34" customHeight="1">
      <c r="A115" s="1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7"/>
    </row>
    <row r="116" spans="1:19" ht="34" customHeight="1">
      <c r="A116" s="1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7"/>
    </row>
    <row r="117" spans="1:19" ht="34" customHeight="1">
      <c r="A117" s="1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7"/>
    </row>
    <row r="118" spans="1:19" ht="34" customHeight="1">
      <c r="A118" s="1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7"/>
    </row>
    <row r="119" spans="1:19" ht="34" customHeight="1">
      <c r="A119" s="1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7"/>
    </row>
    <row r="120" spans="1:19" ht="34" customHeight="1">
      <c r="A120" s="1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7"/>
    </row>
    <row r="121" spans="1:19" ht="34" customHeight="1">
      <c r="A121" s="1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7"/>
    </row>
    <row r="122" spans="1:19" ht="34" customHeight="1">
      <c r="A122" s="1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7"/>
    </row>
    <row r="123" spans="1:19" ht="34" customHeight="1">
      <c r="A123" s="1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7"/>
    </row>
    <row r="124" spans="1:19" ht="34" customHeight="1">
      <c r="A124" s="1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7"/>
    </row>
    <row r="125" spans="1:19" ht="34" customHeight="1">
      <c r="A125" s="1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7"/>
    </row>
    <row r="126" spans="1:19" ht="34" customHeight="1">
      <c r="A126" s="1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7"/>
    </row>
    <row r="127" spans="1:19" ht="34" customHeight="1">
      <c r="A127" s="1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7"/>
    </row>
    <row r="128" spans="1:19" ht="34" customHeight="1">
      <c r="A128" s="1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7"/>
    </row>
    <row r="129" spans="1:19" ht="34" customHeight="1">
      <c r="A129" s="1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7"/>
    </row>
    <row r="130" spans="1:19" ht="34" customHeight="1">
      <c r="A130" s="1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7"/>
    </row>
    <row r="131" spans="1:19" ht="34" customHeight="1">
      <c r="A131" s="1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7"/>
    </row>
    <row r="132" spans="1:19" ht="34" customHeight="1">
      <c r="A132" s="1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7"/>
    </row>
    <row r="133" spans="1:19" ht="34" customHeight="1">
      <c r="A133" s="1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7"/>
    </row>
    <row r="134" spans="1:19" ht="34" customHeight="1">
      <c r="A134" s="1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7"/>
    </row>
    <row r="135" spans="1:19" ht="34" customHeight="1">
      <c r="A135" s="1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7"/>
    </row>
    <row r="136" spans="1:19" ht="34" customHeight="1">
      <c r="A136" s="1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7"/>
    </row>
    <row r="137" spans="1:19" ht="34" customHeight="1">
      <c r="A137" s="1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7"/>
    </row>
    <row r="138" spans="1:19" ht="34" customHeight="1">
      <c r="A138" s="1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7"/>
    </row>
    <row r="139" spans="1:19" ht="34" customHeight="1">
      <c r="A139" s="1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7"/>
    </row>
    <row r="140" spans="1:19" ht="34" customHeight="1">
      <c r="A140" s="1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7"/>
    </row>
    <row r="141" spans="1:19" ht="34" customHeight="1">
      <c r="A141" s="1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7"/>
    </row>
    <row r="142" spans="1:19" ht="34" customHeight="1">
      <c r="A142" s="1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7"/>
    </row>
    <row r="143" spans="1:19" ht="34" customHeight="1">
      <c r="A143" s="1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7"/>
    </row>
    <row r="144" spans="1:19" ht="34" customHeight="1">
      <c r="A144" s="1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7"/>
    </row>
    <row r="145" spans="1:19" ht="34" customHeight="1">
      <c r="A145" s="1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7"/>
    </row>
    <row r="146" spans="1:19" ht="34" customHeight="1">
      <c r="A146" s="1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7"/>
    </row>
    <row r="147" spans="1:19" ht="34" customHeight="1">
      <c r="A147" s="1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7"/>
    </row>
    <row r="148" spans="1:19" ht="34" customHeight="1">
      <c r="A148" s="1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7"/>
    </row>
    <row r="149" spans="1:19" ht="34" customHeight="1">
      <c r="A149" s="1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7"/>
    </row>
    <row r="150" spans="1:19" ht="34" customHeight="1">
      <c r="A150" s="1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7"/>
    </row>
    <row r="151" spans="1:19" ht="34" customHeight="1">
      <c r="A151" s="1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7"/>
    </row>
    <row r="152" spans="1:19" ht="34" customHeight="1">
      <c r="A152" s="1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7"/>
    </row>
    <row r="153" spans="1:19" ht="34" customHeight="1">
      <c r="A153" s="1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7"/>
    </row>
    <row r="154" spans="1:19" ht="34" customHeight="1">
      <c r="A154" s="1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7"/>
    </row>
    <row r="155" spans="1:19" ht="34" customHeight="1">
      <c r="A155" s="16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9"/>
    </row>
  </sheetData>
  <mergeCells count="3">
    <mergeCell ref="A1:S1"/>
    <mergeCell ref="A2:S2"/>
    <mergeCell ref="A4:S4"/>
  </mergeCells>
  <conditionalFormatting sqref="P6:P155">
    <cfRule type="containsText" dxfId="3" priority="2" operator="containsText" text="Excluded"/>
  </conditionalFormatting>
  <conditionalFormatting sqref="Q6:Q155">
    <cfRule type="containsText" dxfId="2" priority="1" operator="containsText" text="Yes"/>
  </conditionalFormatting>
  <dataValidations count="7">
    <dataValidation type="list" sqref="B6:B155" xr:uid="{00000000-0002-0000-0400-000000000000}">
      <formula1>"ChatGPT R1,ChatGPT R2,Llama R1,Llama R2,ThreMoLIA,OWASP Threat Dragon,Microsoft TMT"</formula1>
    </dataValidation>
    <dataValidation type="list" sqref="G6:G155" xr:uid="{00000000-0002-0000-0400-000001000000}">
      <formula1>"External Entity,Process,Data Store,Data Flow,Trust Boundary"</formula1>
    </dataValidation>
    <dataValidation type="list" sqref="K6:K155" xr:uid="{00000000-0002-0000-0400-000002000000}">
      <formula1>"Spoofing,Tampering,Repudiation,Information Disclosure,Denial of Service,Elevation of Privilege"</formula1>
    </dataValidation>
    <dataValidation type="list" sqref="L6:L155" xr:uid="{00000000-0002-0000-0400-000003000000}">
      <formula1>"High,Medium,Low,Informational,Not provided"</formula1>
    </dataValidation>
    <dataValidation type="list" sqref="M6:M155 Q6:Q155" xr:uid="{00000000-0002-0000-0400-000004000000}">
      <formula1>"Yes,No"</formula1>
    </dataValidation>
    <dataValidation type="list" sqref="N6:N155" xr:uid="{00000000-0002-0000-0400-000005000000}">
      <formula1>"Prompt injection,Insecure output handling,Sensitive data disclosure,Third-party LLM exposure,Model / service denial of service,Knowledge-base or supply-chain poisoning,LLM authorization / context isolation"</formula1>
    </dataValidation>
    <dataValidation type="list" sqref="P6:P155" xr:uid="{00000000-0002-0000-0400-000006000000}">
      <formula1>"Not reviewed,Reviewed,Included,Excluded,Duplicate / noise,Out of scope"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55"/>
  <sheetViews>
    <sheetView showGridLines="0" workbookViewId="0">
      <selection sqref="A1:S1"/>
    </sheetView>
  </sheetViews>
  <sheetFormatPr baseColWidth="10" defaultColWidth="8.83203125" defaultRowHeight="15"/>
  <cols>
    <col min="1" max="1" width="15" customWidth="1"/>
    <col min="2" max="2" width="18" customWidth="1"/>
    <col min="3" max="3" width="16" customWidth="1"/>
    <col min="4" max="4" width="30" customWidth="1"/>
    <col min="5" max="5" width="40" customWidth="1"/>
    <col min="6" max="6" width="27" customWidth="1"/>
    <col min="7" max="7" width="17" customWidth="1"/>
    <col min="8" max="8" width="26" customWidth="1"/>
    <col min="9" max="9" width="22" customWidth="1"/>
    <col min="10" max="10" width="24" customWidth="1"/>
    <col min="11" max="11" width="23" customWidth="1"/>
    <col min="12" max="12" width="16" customWidth="1"/>
    <col min="13" max="13" width="15" customWidth="1"/>
    <col min="14" max="14" width="34" customWidth="1"/>
    <col min="15" max="15" width="28" customWidth="1"/>
    <col min="16" max="16" width="19" customWidth="1"/>
    <col min="17" max="17" width="17" customWidth="1"/>
    <col min="18" max="18" width="19" customWidth="1"/>
    <col min="19" max="19" width="34" customWidth="1"/>
  </cols>
  <sheetData>
    <row r="1" spans="1:19" ht="28" customHeight="1">
      <c r="A1" s="33" t="s">
        <v>163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ht="30" customHeight="1">
      <c r="A2" s="35" t="s">
        <v>146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4" spans="1:19">
      <c r="A4" s="43" t="s">
        <v>147</v>
      </c>
      <c r="B4" s="34" t="s">
        <v>147</v>
      </c>
      <c r="C4" s="34" t="s">
        <v>147</v>
      </c>
      <c r="D4" s="34" t="s">
        <v>147</v>
      </c>
      <c r="E4" s="34" t="s">
        <v>147</v>
      </c>
      <c r="F4" s="34" t="s">
        <v>147</v>
      </c>
      <c r="G4" s="34" t="s">
        <v>147</v>
      </c>
      <c r="H4" s="34" t="s">
        <v>147</v>
      </c>
      <c r="I4" s="34" t="s">
        <v>147</v>
      </c>
      <c r="J4" s="34" t="s">
        <v>147</v>
      </c>
      <c r="K4" s="34" t="s">
        <v>147</v>
      </c>
      <c r="L4" s="34" t="s">
        <v>147</v>
      </c>
      <c r="M4" s="34" t="s">
        <v>147</v>
      </c>
      <c r="N4" s="34" t="s">
        <v>147</v>
      </c>
      <c r="O4" s="34" t="s">
        <v>147</v>
      </c>
      <c r="P4" s="34" t="s">
        <v>147</v>
      </c>
      <c r="Q4" s="34" t="s">
        <v>147</v>
      </c>
      <c r="R4" s="34" t="s">
        <v>147</v>
      </c>
      <c r="S4" s="34" t="s">
        <v>147</v>
      </c>
    </row>
    <row r="5" spans="1:19" ht="32" customHeight="1">
      <c r="A5" s="13" t="s">
        <v>148</v>
      </c>
      <c r="B5" s="13" t="s">
        <v>149</v>
      </c>
      <c r="C5" s="13" t="s">
        <v>150</v>
      </c>
      <c r="D5" s="13" t="s">
        <v>151</v>
      </c>
      <c r="E5" s="13" t="s">
        <v>152</v>
      </c>
      <c r="F5" s="13" t="s">
        <v>153</v>
      </c>
      <c r="G5" s="13" t="s">
        <v>154</v>
      </c>
      <c r="H5" s="13" t="s">
        <v>155</v>
      </c>
      <c r="I5" s="13" t="s">
        <v>156</v>
      </c>
      <c r="J5" s="13" t="s">
        <v>157</v>
      </c>
      <c r="K5" s="13" t="s">
        <v>89</v>
      </c>
      <c r="L5" s="13" t="s">
        <v>158</v>
      </c>
      <c r="M5" s="13" t="s">
        <v>159</v>
      </c>
      <c r="N5" s="13" t="s">
        <v>31</v>
      </c>
      <c r="O5" s="13" t="s">
        <v>108</v>
      </c>
      <c r="P5" s="13" t="s">
        <v>132</v>
      </c>
      <c r="Q5" s="13" t="s">
        <v>160</v>
      </c>
      <c r="R5" s="13" t="s">
        <v>97</v>
      </c>
      <c r="S5" s="13" t="s">
        <v>161</v>
      </c>
    </row>
    <row r="6" spans="1:19" ht="34" customHeight="1">
      <c r="A6" s="1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/>
    </row>
    <row r="7" spans="1:19" ht="34" customHeight="1">
      <c r="A7" s="1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</row>
    <row r="8" spans="1:19" ht="34" customHeight="1">
      <c r="A8" s="1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7"/>
    </row>
    <row r="9" spans="1:19" ht="34" customHeight="1">
      <c r="A9" s="1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7"/>
    </row>
    <row r="10" spans="1:19" ht="34" customHeight="1">
      <c r="A10" s="1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7"/>
    </row>
    <row r="11" spans="1:19" ht="34" customHeight="1">
      <c r="A11" s="1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7"/>
    </row>
    <row r="12" spans="1:19" ht="34" customHeight="1">
      <c r="A12" s="1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7"/>
    </row>
    <row r="13" spans="1:19" ht="34" customHeight="1">
      <c r="A13" s="1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7"/>
    </row>
    <row r="14" spans="1:19" ht="34" customHeight="1">
      <c r="A14" s="1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7"/>
    </row>
    <row r="15" spans="1:19" ht="34" customHeight="1">
      <c r="A15" s="1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7"/>
    </row>
    <row r="16" spans="1:19" ht="34" customHeight="1">
      <c r="A16" s="1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7"/>
    </row>
    <row r="17" spans="1:19" ht="34" customHeight="1">
      <c r="A17" s="1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7"/>
    </row>
    <row r="18" spans="1:19" ht="34" customHeight="1">
      <c r="A18" s="1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7"/>
    </row>
    <row r="19" spans="1:19" ht="34" customHeight="1">
      <c r="A19" s="1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7"/>
    </row>
    <row r="20" spans="1:19" ht="34" customHeight="1">
      <c r="A20" s="1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7"/>
    </row>
    <row r="21" spans="1:19" ht="34" customHeight="1">
      <c r="A21" s="1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7"/>
    </row>
    <row r="22" spans="1:19" ht="34" customHeight="1">
      <c r="A22" s="1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7"/>
    </row>
    <row r="23" spans="1:19" ht="34" customHeight="1">
      <c r="A23" s="1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7"/>
    </row>
    <row r="24" spans="1:19" ht="34" customHeight="1">
      <c r="A24" s="1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7"/>
    </row>
    <row r="25" spans="1:19" ht="34" customHeight="1">
      <c r="A25" s="1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7"/>
    </row>
    <row r="26" spans="1:19" ht="34" customHeight="1">
      <c r="A26" s="1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7"/>
    </row>
    <row r="27" spans="1:19" ht="34" customHeight="1">
      <c r="A27" s="1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7"/>
    </row>
    <row r="28" spans="1:19" ht="34" customHeight="1">
      <c r="A28" s="1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7"/>
    </row>
    <row r="29" spans="1:19" ht="34" customHeight="1">
      <c r="A29" s="1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7"/>
    </row>
    <row r="30" spans="1:19" ht="34" customHeight="1">
      <c r="A30" s="1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7"/>
    </row>
    <row r="31" spans="1:19" ht="34" customHeight="1">
      <c r="A31" s="1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7"/>
    </row>
    <row r="32" spans="1:19" ht="34" customHeight="1">
      <c r="A32" s="1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7"/>
    </row>
    <row r="33" spans="1:19" ht="34" customHeight="1">
      <c r="A33" s="1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7"/>
    </row>
    <row r="34" spans="1:19" ht="34" customHeight="1">
      <c r="A34" s="1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7"/>
    </row>
    <row r="35" spans="1:19" ht="34" customHeight="1">
      <c r="A35" s="1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7"/>
    </row>
    <row r="36" spans="1:19" ht="34" customHeight="1">
      <c r="A36" s="1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7"/>
    </row>
    <row r="37" spans="1:19" ht="34" customHeight="1">
      <c r="A37" s="1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7"/>
    </row>
    <row r="38" spans="1:19" ht="34" customHeight="1">
      <c r="A38" s="1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7"/>
    </row>
    <row r="39" spans="1:19" ht="34" customHeight="1">
      <c r="A39" s="1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7"/>
    </row>
    <row r="40" spans="1:19" ht="34" customHeight="1">
      <c r="A40" s="1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7"/>
    </row>
    <row r="41" spans="1:19" ht="34" customHeight="1">
      <c r="A41" s="1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7"/>
    </row>
    <row r="42" spans="1:19" ht="34" customHeight="1">
      <c r="A42" s="1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7"/>
    </row>
    <row r="43" spans="1:19" ht="34" customHeight="1">
      <c r="A43" s="1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7"/>
    </row>
    <row r="44" spans="1:19" ht="34" customHeight="1">
      <c r="A44" s="1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7"/>
    </row>
    <row r="45" spans="1:19" ht="34" customHeight="1">
      <c r="A45" s="1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7"/>
    </row>
    <row r="46" spans="1:19" ht="34" customHeight="1">
      <c r="A46" s="1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7"/>
    </row>
    <row r="47" spans="1:19" ht="34" customHeight="1">
      <c r="A47" s="1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7"/>
    </row>
    <row r="48" spans="1:19" ht="34" customHeight="1">
      <c r="A48" s="1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7"/>
    </row>
    <row r="49" spans="1:19" ht="34" customHeight="1">
      <c r="A49" s="1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7"/>
    </row>
    <row r="50" spans="1:19" ht="34" customHeight="1">
      <c r="A50" s="1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7"/>
    </row>
    <row r="51" spans="1:19" ht="34" customHeight="1">
      <c r="A51" s="1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7"/>
    </row>
    <row r="52" spans="1:19" ht="34" customHeight="1">
      <c r="A52" s="1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7"/>
    </row>
    <row r="53" spans="1:19" ht="34" customHeight="1">
      <c r="A53" s="1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7"/>
    </row>
    <row r="54" spans="1:19" ht="34" customHeight="1">
      <c r="A54" s="1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7"/>
    </row>
    <row r="55" spans="1:19" ht="34" customHeight="1">
      <c r="A55" s="1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7"/>
    </row>
    <row r="56" spans="1:19" ht="34" customHeight="1">
      <c r="A56" s="1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7"/>
    </row>
    <row r="57" spans="1:19" ht="34" customHeight="1">
      <c r="A57" s="1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7"/>
    </row>
    <row r="58" spans="1:19" ht="34" customHeight="1">
      <c r="A58" s="1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7"/>
    </row>
    <row r="59" spans="1:19" ht="34" customHeight="1">
      <c r="A59" s="1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7"/>
    </row>
    <row r="60" spans="1:19" ht="34" customHeight="1">
      <c r="A60" s="1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7"/>
    </row>
    <row r="61" spans="1:19" ht="34" customHeight="1">
      <c r="A61" s="1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7"/>
    </row>
    <row r="62" spans="1:19" ht="34" customHeight="1">
      <c r="A62" s="1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7"/>
    </row>
    <row r="63" spans="1:19" ht="34" customHeight="1">
      <c r="A63" s="1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7"/>
    </row>
    <row r="64" spans="1:19" ht="34" customHeight="1">
      <c r="A64" s="15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7"/>
    </row>
    <row r="65" spans="1:19" ht="34" customHeight="1">
      <c r="A65" s="1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7"/>
    </row>
    <row r="66" spans="1:19" ht="34" customHeight="1">
      <c r="A66" s="15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7"/>
    </row>
    <row r="67" spans="1:19" ht="34" customHeight="1">
      <c r="A67" s="1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7"/>
    </row>
    <row r="68" spans="1:19" ht="34" customHeight="1">
      <c r="A68" s="15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7"/>
    </row>
    <row r="69" spans="1:19" ht="34" customHeight="1">
      <c r="A69" s="1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7"/>
    </row>
    <row r="70" spans="1:19" ht="34" customHeight="1">
      <c r="A70" s="1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7"/>
    </row>
    <row r="71" spans="1:19" ht="34" customHeight="1">
      <c r="A71" s="1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7"/>
    </row>
    <row r="72" spans="1:19" ht="34" customHeight="1">
      <c r="A72" s="15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7"/>
    </row>
    <row r="73" spans="1:19" ht="34" customHeight="1">
      <c r="A73" s="1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7"/>
    </row>
    <row r="74" spans="1:19" ht="34" customHeight="1">
      <c r="A74" s="15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7"/>
    </row>
    <row r="75" spans="1:19" ht="34" customHeight="1">
      <c r="A75" s="1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7"/>
    </row>
    <row r="76" spans="1:19" ht="34" customHeight="1">
      <c r="A76" s="15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7"/>
    </row>
    <row r="77" spans="1:19" ht="34" customHeight="1">
      <c r="A77" s="1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7"/>
    </row>
    <row r="78" spans="1:19" ht="34" customHeight="1">
      <c r="A78" s="15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7"/>
    </row>
    <row r="79" spans="1:19" ht="34" customHeight="1">
      <c r="A79" s="1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7"/>
    </row>
    <row r="80" spans="1:19" ht="34" customHeight="1">
      <c r="A80" s="15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7"/>
    </row>
    <row r="81" spans="1:19" ht="34" customHeight="1">
      <c r="A81" s="1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7"/>
    </row>
    <row r="82" spans="1:19" ht="34" customHeight="1">
      <c r="A82" s="15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7"/>
    </row>
    <row r="83" spans="1:19" ht="34" customHeight="1">
      <c r="A83" s="1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7"/>
    </row>
    <row r="84" spans="1:19" ht="34" customHeight="1">
      <c r="A84" s="1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7"/>
    </row>
    <row r="85" spans="1:19" ht="34" customHeight="1">
      <c r="A85" s="1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7"/>
    </row>
    <row r="86" spans="1:19" ht="34" customHeight="1">
      <c r="A86" s="1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7"/>
    </row>
    <row r="87" spans="1:19" ht="34" customHeight="1">
      <c r="A87" s="1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7"/>
    </row>
    <row r="88" spans="1:19" ht="34" customHeight="1">
      <c r="A88" s="1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7"/>
    </row>
    <row r="89" spans="1:19" ht="34" customHeight="1">
      <c r="A89" s="1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7"/>
    </row>
    <row r="90" spans="1:19" ht="34" customHeight="1">
      <c r="A90" s="1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7"/>
    </row>
    <row r="91" spans="1:19" ht="34" customHeight="1">
      <c r="A91" s="1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7"/>
    </row>
    <row r="92" spans="1:19" ht="34" customHeight="1">
      <c r="A92" s="1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7"/>
    </row>
    <row r="93" spans="1:19" ht="34" customHeight="1">
      <c r="A93" s="1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7"/>
    </row>
    <row r="94" spans="1:19" ht="34" customHeight="1">
      <c r="A94" s="1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7"/>
    </row>
    <row r="95" spans="1:19" ht="34" customHeight="1">
      <c r="A95" s="1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7"/>
    </row>
    <row r="96" spans="1:19" ht="34" customHeight="1">
      <c r="A96" s="15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7"/>
    </row>
    <row r="97" spans="1:19" ht="34" customHeight="1">
      <c r="A97" s="1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7"/>
    </row>
    <row r="98" spans="1:19" ht="34" customHeight="1">
      <c r="A98" s="15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7"/>
    </row>
    <row r="99" spans="1:19" ht="34" customHeight="1">
      <c r="A99" s="15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7"/>
    </row>
    <row r="100" spans="1:19" ht="34" customHeight="1">
      <c r="A100" s="15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7"/>
    </row>
    <row r="101" spans="1:19" ht="34" customHeight="1">
      <c r="A101" s="1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7"/>
    </row>
    <row r="102" spans="1:19" ht="34" customHeight="1">
      <c r="A102" s="1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7"/>
    </row>
    <row r="103" spans="1:19" ht="34" customHeight="1">
      <c r="A103" s="1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7"/>
    </row>
    <row r="104" spans="1:19" ht="34" customHeight="1">
      <c r="A104" s="1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7"/>
    </row>
    <row r="105" spans="1:19" ht="34" customHeight="1">
      <c r="A105" s="1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7"/>
    </row>
    <row r="106" spans="1:19" ht="34" customHeight="1">
      <c r="A106" s="1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7"/>
    </row>
    <row r="107" spans="1:19" ht="34" customHeight="1">
      <c r="A107" s="1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7"/>
    </row>
    <row r="108" spans="1:19" ht="34" customHeight="1">
      <c r="A108" s="1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7"/>
    </row>
    <row r="109" spans="1:19" ht="34" customHeight="1">
      <c r="A109" s="1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7"/>
    </row>
    <row r="110" spans="1:19" ht="34" customHeight="1">
      <c r="A110" s="1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7"/>
    </row>
    <row r="111" spans="1:19" ht="34" customHeight="1">
      <c r="A111" s="1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7"/>
    </row>
    <row r="112" spans="1:19" ht="34" customHeight="1">
      <c r="A112" s="1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7"/>
    </row>
    <row r="113" spans="1:19" ht="34" customHeight="1">
      <c r="A113" s="1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7"/>
    </row>
    <row r="114" spans="1:19" ht="34" customHeight="1">
      <c r="A114" s="1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7"/>
    </row>
    <row r="115" spans="1:19" ht="34" customHeight="1">
      <c r="A115" s="1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7"/>
    </row>
    <row r="116" spans="1:19" ht="34" customHeight="1">
      <c r="A116" s="1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7"/>
    </row>
    <row r="117" spans="1:19" ht="34" customHeight="1">
      <c r="A117" s="1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7"/>
    </row>
    <row r="118" spans="1:19" ht="34" customHeight="1">
      <c r="A118" s="1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7"/>
    </row>
    <row r="119" spans="1:19" ht="34" customHeight="1">
      <c r="A119" s="1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7"/>
    </row>
    <row r="120" spans="1:19" ht="34" customHeight="1">
      <c r="A120" s="1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7"/>
    </row>
    <row r="121" spans="1:19" ht="34" customHeight="1">
      <c r="A121" s="1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7"/>
    </row>
    <row r="122" spans="1:19" ht="34" customHeight="1">
      <c r="A122" s="1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7"/>
    </row>
    <row r="123" spans="1:19" ht="34" customHeight="1">
      <c r="A123" s="1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7"/>
    </row>
    <row r="124" spans="1:19" ht="34" customHeight="1">
      <c r="A124" s="1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7"/>
    </row>
    <row r="125" spans="1:19" ht="34" customHeight="1">
      <c r="A125" s="1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7"/>
    </row>
    <row r="126" spans="1:19" ht="34" customHeight="1">
      <c r="A126" s="1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7"/>
    </row>
    <row r="127" spans="1:19" ht="34" customHeight="1">
      <c r="A127" s="1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7"/>
    </row>
    <row r="128" spans="1:19" ht="34" customHeight="1">
      <c r="A128" s="1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7"/>
    </row>
    <row r="129" spans="1:19" ht="34" customHeight="1">
      <c r="A129" s="1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7"/>
    </row>
    <row r="130" spans="1:19" ht="34" customHeight="1">
      <c r="A130" s="1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7"/>
    </row>
    <row r="131" spans="1:19" ht="34" customHeight="1">
      <c r="A131" s="1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7"/>
    </row>
    <row r="132" spans="1:19" ht="34" customHeight="1">
      <c r="A132" s="1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7"/>
    </row>
    <row r="133" spans="1:19" ht="34" customHeight="1">
      <c r="A133" s="1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7"/>
    </row>
    <row r="134" spans="1:19" ht="34" customHeight="1">
      <c r="A134" s="1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7"/>
    </row>
    <row r="135" spans="1:19" ht="34" customHeight="1">
      <c r="A135" s="1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7"/>
    </row>
    <row r="136" spans="1:19" ht="34" customHeight="1">
      <c r="A136" s="1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7"/>
    </row>
    <row r="137" spans="1:19" ht="34" customHeight="1">
      <c r="A137" s="1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7"/>
    </row>
    <row r="138" spans="1:19" ht="34" customHeight="1">
      <c r="A138" s="1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7"/>
    </row>
    <row r="139" spans="1:19" ht="34" customHeight="1">
      <c r="A139" s="1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7"/>
    </row>
    <row r="140" spans="1:19" ht="34" customHeight="1">
      <c r="A140" s="1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7"/>
    </row>
    <row r="141" spans="1:19" ht="34" customHeight="1">
      <c r="A141" s="1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7"/>
    </row>
    <row r="142" spans="1:19" ht="34" customHeight="1">
      <c r="A142" s="1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7"/>
    </row>
    <row r="143" spans="1:19" ht="34" customHeight="1">
      <c r="A143" s="1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7"/>
    </row>
    <row r="144" spans="1:19" ht="34" customHeight="1">
      <c r="A144" s="1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7"/>
    </row>
    <row r="145" spans="1:19" ht="34" customHeight="1">
      <c r="A145" s="1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7"/>
    </row>
    <row r="146" spans="1:19" ht="34" customHeight="1">
      <c r="A146" s="1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7"/>
    </row>
    <row r="147" spans="1:19" ht="34" customHeight="1">
      <c r="A147" s="1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7"/>
    </row>
    <row r="148" spans="1:19" ht="34" customHeight="1">
      <c r="A148" s="1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7"/>
    </row>
    <row r="149" spans="1:19" ht="34" customHeight="1">
      <c r="A149" s="1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7"/>
    </row>
    <row r="150" spans="1:19" ht="34" customHeight="1">
      <c r="A150" s="1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7"/>
    </row>
    <row r="151" spans="1:19" ht="34" customHeight="1">
      <c r="A151" s="1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7"/>
    </row>
    <row r="152" spans="1:19" ht="34" customHeight="1">
      <c r="A152" s="1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7"/>
    </row>
    <row r="153" spans="1:19" ht="34" customHeight="1">
      <c r="A153" s="1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7"/>
    </row>
    <row r="154" spans="1:19" ht="34" customHeight="1">
      <c r="A154" s="1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7"/>
    </row>
    <row r="155" spans="1:19" ht="34" customHeight="1">
      <c r="A155" s="16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9"/>
    </row>
  </sheetData>
  <mergeCells count="3">
    <mergeCell ref="A1:S1"/>
    <mergeCell ref="A2:S2"/>
    <mergeCell ref="A4:S4"/>
  </mergeCells>
  <conditionalFormatting sqref="P6:P155">
    <cfRule type="containsText" dxfId="1" priority="2" operator="containsText" text="Excluded"/>
  </conditionalFormatting>
  <conditionalFormatting sqref="Q6:Q155">
    <cfRule type="containsText" dxfId="0" priority="1" operator="containsText" text="Yes"/>
  </conditionalFormatting>
  <dataValidations count="7">
    <dataValidation type="list" sqref="B6:B155" xr:uid="{00000000-0002-0000-0500-000000000000}">
      <formula1>"ChatGPT R1,ChatGPT R2,Llama R1,Llama R2,ThreMoLIA,OWASP Threat Dragon,Microsoft TMT"</formula1>
    </dataValidation>
    <dataValidation type="list" sqref="G6:G155" xr:uid="{00000000-0002-0000-0500-000001000000}">
      <formula1>"External Entity,Process,Data Store,Data Flow,Trust Boundary"</formula1>
    </dataValidation>
    <dataValidation type="list" sqref="K6:K155" xr:uid="{00000000-0002-0000-0500-000002000000}">
      <formula1>"Spoofing,Tampering,Repudiation,Information Disclosure,Denial of Service,Elevation of Privilege"</formula1>
    </dataValidation>
    <dataValidation type="list" sqref="L6:L155" xr:uid="{00000000-0002-0000-0500-000003000000}">
      <formula1>"High,Medium,Low,Informational,Not provided"</formula1>
    </dataValidation>
    <dataValidation type="list" sqref="M6:M155 Q6:Q155" xr:uid="{00000000-0002-0000-0500-000004000000}">
      <formula1>"Yes,No"</formula1>
    </dataValidation>
    <dataValidation type="list" sqref="N6:N155" xr:uid="{00000000-0002-0000-0500-000005000000}">
      <formula1>"Prompt injection,Insecure output handling,Sensitive data disclosure,Third-party LLM exposure,Model / service denial of service,Knowledge-base or supply-chain poisoning,LLM authorization / context isolation"</formula1>
    </dataValidation>
    <dataValidation type="list" sqref="P6:P155" xr:uid="{00000000-0002-0000-0500-000006000000}">
      <formula1>"Not reviewed,Reviewed,Included,Excluded,Duplicate / noise,Out of scope"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7"/>
  <sheetViews>
    <sheetView showGridLines="0" workbookViewId="0">
      <selection sqref="A1:L1"/>
    </sheetView>
  </sheetViews>
  <sheetFormatPr baseColWidth="10" defaultColWidth="8.83203125" defaultRowHeight="15"/>
  <cols>
    <col min="1" max="1" width="14" customWidth="1"/>
    <col min="2" max="2" width="21" customWidth="1"/>
    <col min="3" max="3" width="25" customWidth="1"/>
    <col min="4" max="4" width="14" customWidth="1"/>
    <col min="5" max="6" width="13" customWidth="1"/>
    <col min="7" max="7" width="20" customWidth="1"/>
    <col min="8" max="8" width="18" customWidth="1"/>
    <col min="9" max="9" width="22" customWidth="1"/>
    <col min="10" max="10" width="15" customWidth="1"/>
    <col min="11" max="11" width="16" customWidth="1"/>
    <col min="12" max="12" width="38" customWidth="1"/>
  </cols>
  <sheetData>
    <row r="1" spans="1:12" ht="28" customHeight="1">
      <c r="A1" s="44" t="s">
        <v>164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ht="30" customHeight="1">
      <c r="A2" s="46" t="s">
        <v>165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ht="32" customHeight="1">
      <c r="A4" s="32" t="s">
        <v>38</v>
      </c>
      <c r="B4" s="32" t="s">
        <v>39</v>
      </c>
      <c r="C4" s="32" t="s">
        <v>40</v>
      </c>
      <c r="D4" s="32" t="s">
        <v>166</v>
      </c>
      <c r="E4" s="32" t="s">
        <v>134</v>
      </c>
      <c r="F4" s="32" t="s">
        <v>27</v>
      </c>
      <c r="G4" s="32" t="s">
        <v>167</v>
      </c>
      <c r="H4" s="32" t="s">
        <v>168</v>
      </c>
      <c r="I4" s="32" t="s">
        <v>169</v>
      </c>
      <c r="J4" s="32" t="s">
        <v>170</v>
      </c>
      <c r="K4" s="32" t="s">
        <v>171</v>
      </c>
      <c r="L4" s="32" t="s">
        <v>172</v>
      </c>
    </row>
    <row r="5" spans="1:12" ht="30" customHeight="1">
      <c r="A5" s="14" t="s">
        <v>47</v>
      </c>
      <c r="B5" s="4" t="s">
        <v>48</v>
      </c>
      <c r="C5" s="4" t="s">
        <v>49</v>
      </c>
      <c r="D5" s="23">
        <f>COUNTIFS('Scenario 1 Raw'!$B$6:$B$155,$B5,'Scenario 1 Raw'!$C$6:$C$155,"&lt;&gt;")</f>
        <v>0</v>
      </c>
      <c r="E5" s="23">
        <f>COUNTIFS('Scenario 1 Raw'!$B$6:$B$155,$B5,'Scenario 1 Raw'!$C$6:$C$155,"&lt;&gt;",'Scenario 1 Raw'!$P$6:$P$155,"Reviewed")</f>
        <v>0</v>
      </c>
      <c r="F5" s="23">
        <f>COUNTIFS('Scenario 1 Raw'!$B$6:$B$155,$B5,'Scenario 1 Raw'!$C$6:$C$155,"&lt;&gt;",'Scenario 1 Raw'!$Q$6:$Q$155,"Yes")</f>
        <v>0</v>
      </c>
      <c r="G5" s="23">
        <f>COUNTIFS('Scenario 1 Raw'!$B$6:$B$155,$B5,'Scenario 1 Raw'!$C$6:$C$155,"&lt;&gt;",'Scenario 1 Raw'!$P$6:$P$155,"Excluded")+COUNTIFS('Scenario 1 Raw'!$B$6:$B$155,$B5,'Scenario 1 Raw'!$C$6:$C$155,"&lt;&gt;",'Scenario 1 Raw'!$P$6:$P$155,"Out of scope")</f>
        <v>0</v>
      </c>
      <c r="H5" s="23">
        <f>COUNTIFS('Scenario 1 Raw'!$B$6:$B$155,$B5,'Scenario 1 Raw'!$C$6:$C$155,"&lt;&gt;",'Scenario 1 Raw'!$P$6:$P$155,"Duplicate / noise")</f>
        <v>0</v>
      </c>
      <c r="I5" s="23">
        <f>COUNTIFS('Scenario 1 Raw'!$B$6:$B$155,$B5,'Scenario 1 Raw'!$C$6:$C$155,"&lt;&gt;",'Scenario 1 Raw'!$Q$6:$Q$155,"Yes",'Scenario 1 Raw'!$R$6:$R$155,"&lt;&gt;")</f>
        <v>0</v>
      </c>
      <c r="J5" s="26">
        <f t="shared" ref="J5:J25" si="0">IFERROR(F5/D5,0)</f>
        <v>0</v>
      </c>
      <c r="K5" s="26">
        <f t="shared" ref="K5:K25" si="1">IFERROR(I5/F5,0)</f>
        <v>0</v>
      </c>
      <c r="L5" s="5"/>
    </row>
    <row r="6" spans="1:12" ht="30" customHeight="1">
      <c r="A6" s="15" t="s">
        <v>47</v>
      </c>
      <c r="B6" s="6" t="s">
        <v>51</v>
      </c>
      <c r="C6" s="6" t="s">
        <v>49</v>
      </c>
      <c r="D6" s="24">
        <f>COUNTIFS('Scenario 1 Raw'!$B$6:$B$155,$B6,'Scenario 1 Raw'!$C$6:$C$155,"&lt;&gt;")</f>
        <v>0</v>
      </c>
      <c r="E6" s="24">
        <f>COUNTIFS('Scenario 1 Raw'!$B$6:$B$155,$B6,'Scenario 1 Raw'!$C$6:$C$155,"&lt;&gt;",'Scenario 1 Raw'!$P$6:$P$155,"Reviewed")</f>
        <v>0</v>
      </c>
      <c r="F6" s="24">
        <f>COUNTIFS('Scenario 1 Raw'!$B$6:$B$155,$B6,'Scenario 1 Raw'!$C$6:$C$155,"&lt;&gt;",'Scenario 1 Raw'!$Q$6:$Q$155,"Yes")</f>
        <v>0</v>
      </c>
      <c r="G6" s="24">
        <f>COUNTIFS('Scenario 1 Raw'!$B$6:$B$155,$B6,'Scenario 1 Raw'!$C$6:$C$155,"&lt;&gt;",'Scenario 1 Raw'!$P$6:$P$155,"Excluded")+COUNTIFS('Scenario 1 Raw'!$B$6:$B$155,$B6,'Scenario 1 Raw'!$C$6:$C$155,"&lt;&gt;",'Scenario 1 Raw'!$P$6:$P$155,"Out of scope")</f>
        <v>0</v>
      </c>
      <c r="H6" s="24">
        <f>COUNTIFS('Scenario 1 Raw'!$B$6:$B$155,$B6,'Scenario 1 Raw'!$C$6:$C$155,"&lt;&gt;",'Scenario 1 Raw'!$P$6:$P$155,"Duplicate / noise")</f>
        <v>0</v>
      </c>
      <c r="I6" s="24">
        <f>COUNTIFS('Scenario 1 Raw'!$B$6:$B$155,$B6,'Scenario 1 Raw'!$C$6:$C$155,"&lt;&gt;",'Scenario 1 Raw'!$Q$6:$Q$155,"Yes",'Scenario 1 Raw'!$R$6:$R$155,"&lt;&gt;")</f>
        <v>0</v>
      </c>
      <c r="J6" s="27">
        <f t="shared" si="0"/>
        <v>0</v>
      </c>
      <c r="K6" s="27">
        <f t="shared" si="1"/>
        <v>0</v>
      </c>
      <c r="L6" s="7"/>
    </row>
    <row r="7" spans="1:12" ht="30" customHeight="1">
      <c r="A7" s="15" t="s">
        <v>47</v>
      </c>
      <c r="B7" s="6" t="s">
        <v>53</v>
      </c>
      <c r="C7" s="6" t="s">
        <v>54</v>
      </c>
      <c r="D7" s="24">
        <f>COUNTIFS('Scenario 1 Raw'!$B$6:$B$155,$B7,'Scenario 1 Raw'!$C$6:$C$155,"&lt;&gt;")</f>
        <v>0</v>
      </c>
      <c r="E7" s="24">
        <f>COUNTIFS('Scenario 1 Raw'!$B$6:$B$155,$B7,'Scenario 1 Raw'!$C$6:$C$155,"&lt;&gt;",'Scenario 1 Raw'!$P$6:$P$155,"Reviewed")</f>
        <v>0</v>
      </c>
      <c r="F7" s="24">
        <f>COUNTIFS('Scenario 1 Raw'!$B$6:$B$155,$B7,'Scenario 1 Raw'!$C$6:$C$155,"&lt;&gt;",'Scenario 1 Raw'!$Q$6:$Q$155,"Yes")</f>
        <v>0</v>
      </c>
      <c r="G7" s="24">
        <f>COUNTIFS('Scenario 1 Raw'!$B$6:$B$155,$B7,'Scenario 1 Raw'!$C$6:$C$155,"&lt;&gt;",'Scenario 1 Raw'!$P$6:$P$155,"Excluded")+COUNTIFS('Scenario 1 Raw'!$B$6:$B$155,$B7,'Scenario 1 Raw'!$C$6:$C$155,"&lt;&gt;",'Scenario 1 Raw'!$P$6:$P$155,"Out of scope")</f>
        <v>0</v>
      </c>
      <c r="H7" s="24">
        <f>COUNTIFS('Scenario 1 Raw'!$B$6:$B$155,$B7,'Scenario 1 Raw'!$C$6:$C$155,"&lt;&gt;",'Scenario 1 Raw'!$P$6:$P$155,"Duplicate / noise")</f>
        <v>0</v>
      </c>
      <c r="I7" s="24">
        <f>COUNTIFS('Scenario 1 Raw'!$B$6:$B$155,$B7,'Scenario 1 Raw'!$C$6:$C$155,"&lt;&gt;",'Scenario 1 Raw'!$Q$6:$Q$155,"Yes",'Scenario 1 Raw'!$R$6:$R$155,"&lt;&gt;")</f>
        <v>0</v>
      </c>
      <c r="J7" s="27">
        <f t="shared" si="0"/>
        <v>0</v>
      </c>
      <c r="K7" s="27">
        <f t="shared" si="1"/>
        <v>0</v>
      </c>
      <c r="L7" s="7"/>
    </row>
    <row r="8" spans="1:12" ht="30" customHeight="1">
      <c r="A8" s="15" t="s">
        <v>47</v>
      </c>
      <c r="B8" s="6" t="s">
        <v>55</v>
      </c>
      <c r="C8" s="6" t="s">
        <v>54</v>
      </c>
      <c r="D8" s="24">
        <f>COUNTIFS('Scenario 1 Raw'!$B$6:$B$155,$B8,'Scenario 1 Raw'!$C$6:$C$155,"&lt;&gt;")</f>
        <v>0</v>
      </c>
      <c r="E8" s="24">
        <f>COUNTIFS('Scenario 1 Raw'!$B$6:$B$155,$B8,'Scenario 1 Raw'!$C$6:$C$155,"&lt;&gt;",'Scenario 1 Raw'!$P$6:$P$155,"Reviewed")</f>
        <v>0</v>
      </c>
      <c r="F8" s="24">
        <f>COUNTIFS('Scenario 1 Raw'!$B$6:$B$155,$B8,'Scenario 1 Raw'!$C$6:$C$155,"&lt;&gt;",'Scenario 1 Raw'!$Q$6:$Q$155,"Yes")</f>
        <v>0</v>
      </c>
      <c r="G8" s="24">
        <f>COUNTIFS('Scenario 1 Raw'!$B$6:$B$155,$B8,'Scenario 1 Raw'!$C$6:$C$155,"&lt;&gt;",'Scenario 1 Raw'!$P$6:$P$155,"Excluded")+COUNTIFS('Scenario 1 Raw'!$B$6:$B$155,$B8,'Scenario 1 Raw'!$C$6:$C$155,"&lt;&gt;",'Scenario 1 Raw'!$P$6:$P$155,"Out of scope")</f>
        <v>0</v>
      </c>
      <c r="H8" s="24">
        <f>COUNTIFS('Scenario 1 Raw'!$B$6:$B$155,$B8,'Scenario 1 Raw'!$C$6:$C$155,"&lt;&gt;",'Scenario 1 Raw'!$P$6:$P$155,"Duplicate / noise")</f>
        <v>0</v>
      </c>
      <c r="I8" s="24">
        <f>COUNTIFS('Scenario 1 Raw'!$B$6:$B$155,$B8,'Scenario 1 Raw'!$C$6:$C$155,"&lt;&gt;",'Scenario 1 Raw'!$Q$6:$Q$155,"Yes",'Scenario 1 Raw'!$R$6:$R$155,"&lt;&gt;")</f>
        <v>0</v>
      </c>
      <c r="J8" s="27">
        <f t="shared" si="0"/>
        <v>0</v>
      </c>
      <c r="K8" s="27">
        <f t="shared" si="1"/>
        <v>0</v>
      </c>
      <c r="L8" s="7"/>
    </row>
    <row r="9" spans="1:12" ht="30" customHeight="1">
      <c r="A9" s="15" t="s">
        <v>47</v>
      </c>
      <c r="B9" s="6" t="s">
        <v>56</v>
      </c>
      <c r="C9" s="6" t="s">
        <v>57</v>
      </c>
      <c r="D9" s="24">
        <f>COUNTIFS('Scenario 1 Raw'!$B$6:$B$155,$B9,'Scenario 1 Raw'!$C$6:$C$155,"&lt;&gt;")</f>
        <v>0</v>
      </c>
      <c r="E9" s="24">
        <f>COUNTIFS('Scenario 1 Raw'!$B$6:$B$155,$B9,'Scenario 1 Raw'!$C$6:$C$155,"&lt;&gt;",'Scenario 1 Raw'!$P$6:$P$155,"Reviewed")</f>
        <v>0</v>
      </c>
      <c r="F9" s="24">
        <f>COUNTIFS('Scenario 1 Raw'!$B$6:$B$155,$B9,'Scenario 1 Raw'!$C$6:$C$155,"&lt;&gt;",'Scenario 1 Raw'!$Q$6:$Q$155,"Yes")</f>
        <v>0</v>
      </c>
      <c r="G9" s="24">
        <f>COUNTIFS('Scenario 1 Raw'!$B$6:$B$155,$B9,'Scenario 1 Raw'!$C$6:$C$155,"&lt;&gt;",'Scenario 1 Raw'!$P$6:$P$155,"Excluded")+COUNTIFS('Scenario 1 Raw'!$B$6:$B$155,$B9,'Scenario 1 Raw'!$C$6:$C$155,"&lt;&gt;",'Scenario 1 Raw'!$P$6:$P$155,"Out of scope")</f>
        <v>0</v>
      </c>
      <c r="H9" s="24">
        <f>COUNTIFS('Scenario 1 Raw'!$B$6:$B$155,$B9,'Scenario 1 Raw'!$C$6:$C$155,"&lt;&gt;",'Scenario 1 Raw'!$P$6:$P$155,"Duplicate / noise")</f>
        <v>0</v>
      </c>
      <c r="I9" s="24">
        <f>COUNTIFS('Scenario 1 Raw'!$B$6:$B$155,$B9,'Scenario 1 Raw'!$C$6:$C$155,"&lt;&gt;",'Scenario 1 Raw'!$Q$6:$Q$155,"Yes",'Scenario 1 Raw'!$R$6:$R$155,"&lt;&gt;")</f>
        <v>0</v>
      </c>
      <c r="J9" s="27">
        <f t="shared" si="0"/>
        <v>0</v>
      </c>
      <c r="K9" s="27">
        <f t="shared" si="1"/>
        <v>0</v>
      </c>
      <c r="L9" s="7"/>
    </row>
    <row r="10" spans="1:12" ht="30" customHeight="1">
      <c r="A10" s="15" t="s">
        <v>47</v>
      </c>
      <c r="B10" s="6" t="s">
        <v>59</v>
      </c>
      <c r="C10" s="6" t="s">
        <v>60</v>
      </c>
      <c r="D10" s="24">
        <f>COUNTIFS('Scenario 1 Raw'!$B$6:$B$155,$B10,'Scenario 1 Raw'!$C$6:$C$155,"&lt;&gt;")</f>
        <v>0</v>
      </c>
      <c r="E10" s="24">
        <f>COUNTIFS('Scenario 1 Raw'!$B$6:$B$155,$B10,'Scenario 1 Raw'!$C$6:$C$155,"&lt;&gt;",'Scenario 1 Raw'!$P$6:$P$155,"Reviewed")</f>
        <v>0</v>
      </c>
      <c r="F10" s="24">
        <f>COUNTIFS('Scenario 1 Raw'!$B$6:$B$155,$B10,'Scenario 1 Raw'!$C$6:$C$155,"&lt;&gt;",'Scenario 1 Raw'!$Q$6:$Q$155,"Yes")</f>
        <v>0</v>
      </c>
      <c r="G10" s="24">
        <f>COUNTIFS('Scenario 1 Raw'!$B$6:$B$155,$B10,'Scenario 1 Raw'!$C$6:$C$155,"&lt;&gt;",'Scenario 1 Raw'!$P$6:$P$155,"Excluded")+COUNTIFS('Scenario 1 Raw'!$B$6:$B$155,$B10,'Scenario 1 Raw'!$C$6:$C$155,"&lt;&gt;",'Scenario 1 Raw'!$P$6:$P$155,"Out of scope")</f>
        <v>0</v>
      </c>
      <c r="H10" s="24">
        <f>COUNTIFS('Scenario 1 Raw'!$B$6:$B$155,$B10,'Scenario 1 Raw'!$C$6:$C$155,"&lt;&gt;",'Scenario 1 Raw'!$P$6:$P$155,"Duplicate / noise")</f>
        <v>0</v>
      </c>
      <c r="I10" s="24">
        <f>COUNTIFS('Scenario 1 Raw'!$B$6:$B$155,$B10,'Scenario 1 Raw'!$C$6:$C$155,"&lt;&gt;",'Scenario 1 Raw'!$Q$6:$Q$155,"Yes",'Scenario 1 Raw'!$R$6:$R$155,"&lt;&gt;")</f>
        <v>0</v>
      </c>
      <c r="J10" s="27">
        <f t="shared" si="0"/>
        <v>0</v>
      </c>
      <c r="K10" s="27">
        <f t="shared" si="1"/>
        <v>0</v>
      </c>
      <c r="L10" s="7"/>
    </row>
    <row r="11" spans="1:12" ht="30" customHeight="1">
      <c r="A11" s="15" t="s">
        <v>47</v>
      </c>
      <c r="B11" s="6" t="s">
        <v>61</v>
      </c>
      <c r="C11" s="6" t="s">
        <v>60</v>
      </c>
      <c r="D11" s="24">
        <f>COUNTIFS('Scenario 1 Raw'!$B$6:$B$155,$B11,'Scenario 1 Raw'!$C$6:$C$155,"&lt;&gt;")</f>
        <v>0</v>
      </c>
      <c r="E11" s="24">
        <f>COUNTIFS('Scenario 1 Raw'!$B$6:$B$155,$B11,'Scenario 1 Raw'!$C$6:$C$155,"&lt;&gt;",'Scenario 1 Raw'!$P$6:$P$155,"Reviewed")</f>
        <v>0</v>
      </c>
      <c r="F11" s="24">
        <f>COUNTIFS('Scenario 1 Raw'!$B$6:$B$155,$B11,'Scenario 1 Raw'!$C$6:$C$155,"&lt;&gt;",'Scenario 1 Raw'!$Q$6:$Q$155,"Yes")</f>
        <v>0</v>
      </c>
      <c r="G11" s="24">
        <f>COUNTIFS('Scenario 1 Raw'!$B$6:$B$155,$B11,'Scenario 1 Raw'!$C$6:$C$155,"&lt;&gt;",'Scenario 1 Raw'!$P$6:$P$155,"Excluded")+COUNTIFS('Scenario 1 Raw'!$B$6:$B$155,$B11,'Scenario 1 Raw'!$C$6:$C$155,"&lt;&gt;",'Scenario 1 Raw'!$P$6:$P$155,"Out of scope")</f>
        <v>0</v>
      </c>
      <c r="H11" s="24">
        <f>COUNTIFS('Scenario 1 Raw'!$B$6:$B$155,$B11,'Scenario 1 Raw'!$C$6:$C$155,"&lt;&gt;",'Scenario 1 Raw'!$P$6:$P$155,"Duplicate / noise")</f>
        <v>0</v>
      </c>
      <c r="I11" s="24">
        <f>COUNTIFS('Scenario 1 Raw'!$B$6:$B$155,$B11,'Scenario 1 Raw'!$C$6:$C$155,"&lt;&gt;",'Scenario 1 Raw'!$Q$6:$Q$155,"Yes",'Scenario 1 Raw'!$R$6:$R$155,"&lt;&gt;")</f>
        <v>0</v>
      </c>
      <c r="J11" s="27">
        <f t="shared" si="0"/>
        <v>0</v>
      </c>
      <c r="K11" s="27">
        <f t="shared" si="1"/>
        <v>0</v>
      </c>
      <c r="L11" s="7"/>
    </row>
    <row r="12" spans="1:12" ht="30" customHeight="1">
      <c r="A12" s="15" t="s">
        <v>62</v>
      </c>
      <c r="B12" s="6" t="s">
        <v>48</v>
      </c>
      <c r="C12" s="6" t="s">
        <v>49</v>
      </c>
      <c r="D12" s="24">
        <f>COUNTIFS('Scenario 2 Raw'!$B$6:$B$155,$B12,'Scenario 2 Raw'!$C$6:$C$155,"&lt;&gt;")</f>
        <v>0</v>
      </c>
      <c r="E12" s="24">
        <f>COUNTIFS('Scenario 2 Raw'!$B$6:$B$155,$B12,'Scenario 2 Raw'!$C$6:$C$155,"&lt;&gt;",'Scenario 2 Raw'!$P$6:$P$155,"Reviewed")</f>
        <v>0</v>
      </c>
      <c r="F12" s="24">
        <f>COUNTIFS('Scenario 2 Raw'!$B$6:$B$155,$B12,'Scenario 2 Raw'!$C$6:$C$155,"&lt;&gt;",'Scenario 2 Raw'!$Q$6:$Q$155,"Yes")</f>
        <v>0</v>
      </c>
      <c r="G12" s="24">
        <f>COUNTIFS('Scenario 2 Raw'!$B$6:$B$155,$B12,'Scenario 2 Raw'!$C$6:$C$155,"&lt;&gt;",'Scenario 2 Raw'!$P$6:$P$155,"Excluded")+COUNTIFS('Scenario 2 Raw'!$B$6:$B$155,$B12,'Scenario 2 Raw'!$C$6:$C$155,"&lt;&gt;",'Scenario 2 Raw'!$P$6:$P$155,"Out of scope")</f>
        <v>0</v>
      </c>
      <c r="H12" s="24">
        <f>COUNTIFS('Scenario 2 Raw'!$B$6:$B$155,$B12,'Scenario 2 Raw'!$C$6:$C$155,"&lt;&gt;",'Scenario 2 Raw'!$P$6:$P$155,"Duplicate / noise")</f>
        <v>0</v>
      </c>
      <c r="I12" s="24">
        <f>COUNTIFS('Scenario 2 Raw'!$B$6:$B$155,$B12,'Scenario 2 Raw'!$C$6:$C$155,"&lt;&gt;",'Scenario 2 Raw'!$Q$6:$Q$155,"Yes",'Scenario 2 Raw'!$R$6:$R$155,"&lt;&gt;")</f>
        <v>0</v>
      </c>
      <c r="J12" s="27">
        <f t="shared" si="0"/>
        <v>0</v>
      </c>
      <c r="K12" s="27">
        <f t="shared" si="1"/>
        <v>0</v>
      </c>
      <c r="L12" s="7"/>
    </row>
    <row r="13" spans="1:12" ht="30" customHeight="1">
      <c r="A13" s="15" t="s">
        <v>62</v>
      </c>
      <c r="B13" s="6" t="s">
        <v>51</v>
      </c>
      <c r="C13" s="6" t="s">
        <v>49</v>
      </c>
      <c r="D13" s="24">
        <f>COUNTIFS('Scenario 2 Raw'!$B$6:$B$155,$B13,'Scenario 2 Raw'!$C$6:$C$155,"&lt;&gt;")</f>
        <v>0</v>
      </c>
      <c r="E13" s="24">
        <f>COUNTIFS('Scenario 2 Raw'!$B$6:$B$155,$B13,'Scenario 2 Raw'!$C$6:$C$155,"&lt;&gt;",'Scenario 2 Raw'!$P$6:$P$155,"Reviewed")</f>
        <v>0</v>
      </c>
      <c r="F13" s="24">
        <f>COUNTIFS('Scenario 2 Raw'!$B$6:$B$155,$B13,'Scenario 2 Raw'!$C$6:$C$155,"&lt;&gt;",'Scenario 2 Raw'!$Q$6:$Q$155,"Yes")</f>
        <v>0</v>
      </c>
      <c r="G13" s="24">
        <f>COUNTIFS('Scenario 2 Raw'!$B$6:$B$155,$B13,'Scenario 2 Raw'!$C$6:$C$155,"&lt;&gt;",'Scenario 2 Raw'!$P$6:$P$155,"Excluded")+COUNTIFS('Scenario 2 Raw'!$B$6:$B$155,$B13,'Scenario 2 Raw'!$C$6:$C$155,"&lt;&gt;",'Scenario 2 Raw'!$P$6:$P$155,"Out of scope")</f>
        <v>0</v>
      </c>
      <c r="H13" s="24">
        <f>COUNTIFS('Scenario 2 Raw'!$B$6:$B$155,$B13,'Scenario 2 Raw'!$C$6:$C$155,"&lt;&gt;",'Scenario 2 Raw'!$P$6:$P$155,"Duplicate / noise")</f>
        <v>0</v>
      </c>
      <c r="I13" s="24">
        <f>COUNTIFS('Scenario 2 Raw'!$B$6:$B$155,$B13,'Scenario 2 Raw'!$C$6:$C$155,"&lt;&gt;",'Scenario 2 Raw'!$Q$6:$Q$155,"Yes",'Scenario 2 Raw'!$R$6:$R$155,"&lt;&gt;")</f>
        <v>0</v>
      </c>
      <c r="J13" s="27">
        <f t="shared" si="0"/>
        <v>0</v>
      </c>
      <c r="K13" s="27">
        <f t="shared" si="1"/>
        <v>0</v>
      </c>
      <c r="L13" s="7"/>
    </row>
    <row r="14" spans="1:12" ht="30" customHeight="1">
      <c r="A14" s="15" t="s">
        <v>62</v>
      </c>
      <c r="B14" s="6" t="s">
        <v>53</v>
      </c>
      <c r="C14" s="6" t="s">
        <v>54</v>
      </c>
      <c r="D14" s="24">
        <f>COUNTIFS('Scenario 2 Raw'!$B$6:$B$155,$B14,'Scenario 2 Raw'!$C$6:$C$155,"&lt;&gt;")</f>
        <v>0</v>
      </c>
      <c r="E14" s="24">
        <f>COUNTIFS('Scenario 2 Raw'!$B$6:$B$155,$B14,'Scenario 2 Raw'!$C$6:$C$155,"&lt;&gt;",'Scenario 2 Raw'!$P$6:$P$155,"Reviewed")</f>
        <v>0</v>
      </c>
      <c r="F14" s="24">
        <f>COUNTIFS('Scenario 2 Raw'!$B$6:$B$155,$B14,'Scenario 2 Raw'!$C$6:$C$155,"&lt;&gt;",'Scenario 2 Raw'!$Q$6:$Q$155,"Yes")</f>
        <v>0</v>
      </c>
      <c r="G14" s="24">
        <f>COUNTIFS('Scenario 2 Raw'!$B$6:$B$155,$B14,'Scenario 2 Raw'!$C$6:$C$155,"&lt;&gt;",'Scenario 2 Raw'!$P$6:$P$155,"Excluded")+COUNTIFS('Scenario 2 Raw'!$B$6:$B$155,$B14,'Scenario 2 Raw'!$C$6:$C$155,"&lt;&gt;",'Scenario 2 Raw'!$P$6:$P$155,"Out of scope")</f>
        <v>0</v>
      </c>
      <c r="H14" s="24">
        <f>COUNTIFS('Scenario 2 Raw'!$B$6:$B$155,$B14,'Scenario 2 Raw'!$C$6:$C$155,"&lt;&gt;",'Scenario 2 Raw'!$P$6:$P$155,"Duplicate / noise")</f>
        <v>0</v>
      </c>
      <c r="I14" s="24">
        <f>COUNTIFS('Scenario 2 Raw'!$B$6:$B$155,$B14,'Scenario 2 Raw'!$C$6:$C$155,"&lt;&gt;",'Scenario 2 Raw'!$Q$6:$Q$155,"Yes",'Scenario 2 Raw'!$R$6:$R$155,"&lt;&gt;")</f>
        <v>0</v>
      </c>
      <c r="J14" s="27">
        <f t="shared" si="0"/>
        <v>0</v>
      </c>
      <c r="K14" s="27">
        <f t="shared" si="1"/>
        <v>0</v>
      </c>
      <c r="L14" s="7"/>
    </row>
    <row r="15" spans="1:12" ht="30" customHeight="1">
      <c r="A15" s="15" t="s">
        <v>62</v>
      </c>
      <c r="B15" s="6" t="s">
        <v>55</v>
      </c>
      <c r="C15" s="6" t="s">
        <v>54</v>
      </c>
      <c r="D15" s="24">
        <f>COUNTIFS('Scenario 2 Raw'!$B$6:$B$155,$B15,'Scenario 2 Raw'!$C$6:$C$155,"&lt;&gt;")</f>
        <v>0</v>
      </c>
      <c r="E15" s="24">
        <f>COUNTIFS('Scenario 2 Raw'!$B$6:$B$155,$B15,'Scenario 2 Raw'!$C$6:$C$155,"&lt;&gt;",'Scenario 2 Raw'!$P$6:$P$155,"Reviewed")</f>
        <v>0</v>
      </c>
      <c r="F15" s="24">
        <f>COUNTIFS('Scenario 2 Raw'!$B$6:$B$155,$B15,'Scenario 2 Raw'!$C$6:$C$155,"&lt;&gt;",'Scenario 2 Raw'!$Q$6:$Q$155,"Yes")</f>
        <v>0</v>
      </c>
      <c r="G15" s="24">
        <f>COUNTIFS('Scenario 2 Raw'!$B$6:$B$155,$B15,'Scenario 2 Raw'!$C$6:$C$155,"&lt;&gt;",'Scenario 2 Raw'!$P$6:$P$155,"Excluded")+COUNTIFS('Scenario 2 Raw'!$B$6:$B$155,$B15,'Scenario 2 Raw'!$C$6:$C$155,"&lt;&gt;",'Scenario 2 Raw'!$P$6:$P$155,"Out of scope")</f>
        <v>0</v>
      </c>
      <c r="H15" s="24">
        <f>COUNTIFS('Scenario 2 Raw'!$B$6:$B$155,$B15,'Scenario 2 Raw'!$C$6:$C$155,"&lt;&gt;",'Scenario 2 Raw'!$P$6:$P$155,"Duplicate / noise")</f>
        <v>0</v>
      </c>
      <c r="I15" s="24">
        <f>COUNTIFS('Scenario 2 Raw'!$B$6:$B$155,$B15,'Scenario 2 Raw'!$C$6:$C$155,"&lt;&gt;",'Scenario 2 Raw'!$Q$6:$Q$155,"Yes",'Scenario 2 Raw'!$R$6:$R$155,"&lt;&gt;")</f>
        <v>0</v>
      </c>
      <c r="J15" s="27">
        <f t="shared" si="0"/>
        <v>0</v>
      </c>
      <c r="K15" s="27">
        <f t="shared" si="1"/>
        <v>0</v>
      </c>
      <c r="L15" s="7"/>
    </row>
    <row r="16" spans="1:12" ht="30" customHeight="1">
      <c r="A16" s="15" t="s">
        <v>62</v>
      </c>
      <c r="B16" s="6" t="s">
        <v>56</v>
      </c>
      <c r="C16" s="6" t="s">
        <v>57</v>
      </c>
      <c r="D16" s="24">
        <f>COUNTIFS('Scenario 2 Raw'!$B$6:$B$155,$B16,'Scenario 2 Raw'!$C$6:$C$155,"&lt;&gt;")</f>
        <v>0</v>
      </c>
      <c r="E16" s="24">
        <f>COUNTIFS('Scenario 2 Raw'!$B$6:$B$155,$B16,'Scenario 2 Raw'!$C$6:$C$155,"&lt;&gt;",'Scenario 2 Raw'!$P$6:$P$155,"Reviewed")</f>
        <v>0</v>
      </c>
      <c r="F16" s="24">
        <f>COUNTIFS('Scenario 2 Raw'!$B$6:$B$155,$B16,'Scenario 2 Raw'!$C$6:$C$155,"&lt;&gt;",'Scenario 2 Raw'!$Q$6:$Q$155,"Yes")</f>
        <v>0</v>
      </c>
      <c r="G16" s="24">
        <f>COUNTIFS('Scenario 2 Raw'!$B$6:$B$155,$B16,'Scenario 2 Raw'!$C$6:$C$155,"&lt;&gt;",'Scenario 2 Raw'!$P$6:$P$155,"Excluded")+COUNTIFS('Scenario 2 Raw'!$B$6:$B$155,$B16,'Scenario 2 Raw'!$C$6:$C$155,"&lt;&gt;",'Scenario 2 Raw'!$P$6:$P$155,"Out of scope")</f>
        <v>0</v>
      </c>
      <c r="H16" s="24">
        <f>COUNTIFS('Scenario 2 Raw'!$B$6:$B$155,$B16,'Scenario 2 Raw'!$C$6:$C$155,"&lt;&gt;",'Scenario 2 Raw'!$P$6:$P$155,"Duplicate / noise")</f>
        <v>0</v>
      </c>
      <c r="I16" s="24">
        <f>COUNTIFS('Scenario 2 Raw'!$B$6:$B$155,$B16,'Scenario 2 Raw'!$C$6:$C$155,"&lt;&gt;",'Scenario 2 Raw'!$Q$6:$Q$155,"Yes",'Scenario 2 Raw'!$R$6:$R$155,"&lt;&gt;")</f>
        <v>0</v>
      </c>
      <c r="J16" s="27">
        <f t="shared" si="0"/>
        <v>0</v>
      </c>
      <c r="K16" s="27">
        <f t="shared" si="1"/>
        <v>0</v>
      </c>
      <c r="L16" s="7"/>
    </row>
    <row r="17" spans="1:12" ht="30" customHeight="1">
      <c r="A17" s="15" t="s">
        <v>62</v>
      </c>
      <c r="B17" s="6" t="s">
        <v>59</v>
      </c>
      <c r="C17" s="6" t="s">
        <v>60</v>
      </c>
      <c r="D17" s="24">
        <f>COUNTIFS('Scenario 2 Raw'!$B$6:$B$155,$B17,'Scenario 2 Raw'!$C$6:$C$155,"&lt;&gt;")</f>
        <v>0</v>
      </c>
      <c r="E17" s="24">
        <f>COUNTIFS('Scenario 2 Raw'!$B$6:$B$155,$B17,'Scenario 2 Raw'!$C$6:$C$155,"&lt;&gt;",'Scenario 2 Raw'!$P$6:$P$155,"Reviewed")</f>
        <v>0</v>
      </c>
      <c r="F17" s="24">
        <f>COUNTIFS('Scenario 2 Raw'!$B$6:$B$155,$B17,'Scenario 2 Raw'!$C$6:$C$155,"&lt;&gt;",'Scenario 2 Raw'!$Q$6:$Q$155,"Yes")</f>
        <v>0</v>
      </c>
      <c r="G17" s="24">
        <f>COUNTIFS('Scenario 2 Raw'!$B$6:$B$155,$B17,'Scenario 2 Raw'!$C$6:$C$155,"&lt;&gt;",'Scenario 2 Raw'!$P$6:$P$155,"Excluded")+COUNTIFS('Scenario 2 Raw'!$B$6:$B$155,$B17,'Scenario 2 Raw'!$C$6:$C$155,"&lt;&gt;",'Scenario 2 Raw'!$P$6:$P$155,"Out of scope")</f>
        <v>0</v>
      </c>
      <c r="H17" s="24">
        <f>COUNTIFS('Scenario 2 Raw'!$B$6:$B$155,$B17,'Scenario 2 Raw'!$C$6:$C$155,"&lt;&gt;",'Scenario 2 Raw'!$P$6:$P$155,"Duplicate / noise")</f>
        <v>0</v>
      </c>
      <c r="I17" s="24">
        <f>COUNTIFS('Scenario 2 Raw'!$B$6:$B$155,$B17,'Scenario 2 Raw'!$C$6:$C$155,"&lt;&gt;",'Scenario 2 Raw'!$Q$6:$Q$155,"Yes",'Scenario 2 Raw'!$R$6:$R$155,"&lt;&gt;")</f>
        <v>0</v>
      </c>
      <c r="J17" s="27">
        <f t="shared" si="0"/>
        <v>0</v>
      </c>
      <c r="K17" s="27">
        <f t="shared" si="1"/>
        <v>0</v>
      </c>
      <c r="L17" s="7"/>
    </row>
    <row r="18" spans="1:12" ht="30" customHeight="1">
      <c r="A18" s="15" t="s">
        <v>62</v>
      </c>
      <c r="B18" s="6" t="s">
        <v>61</v>
      </c>
      <c r="C18" s="6" t="s">
        <v>60</v>
      </c>
      <c r="D18" s="24">
        <f>COUNTIFS('Scenario 2 Raw'!$B$6:$B$155,$B18,'Scenario 2 Raw'!$C$6:$C$155,"&lt;&gt;")</f>
        <v>0</v>
      </c>
      <c r="E18" s="24">
        <f>COUNTIFS('Scenario 2 Raw'!$B$6:$B$155,$B18,'Scenario 2 Raw'!$C$6:$C$155,"&lt;&gt;",'Scenario 2 Raw'!$P$6:$P$155,"Reviewed")</f>
        <v>0</v>
      </c>
      <c r="F18" s="24">
        <f>COUNTIFS('Scenario 2 Raw'!$B$6:$B$155,$B18,'Scenario 2 Raw'!$C$6:$C$155,"&lt;&gt;",'Scenario 2 Raw'!$Q$6:$Q$155,"Yes")</f>
        <v>0</v>
      </c>
      <c r="G18" s="24">
        <f>COUNTIFS('Scenario 2 Raw'!$B$6:$B$155,$B18,'Scenario 2 Raw'!$C$6:$C$155,"&lt;&gt;",'Scenario 2 Raw'!$P$6:$P$155,"Excluded")+COUNTIFS('Scenario 2 Raw'!$B$6:$B$155,$B18,'Scenario 2 Raw'!$C$6:$C$155,"&lt;&gt;",'Scenario 2 Raw'!$P$6:$P$155,"Out of scope")</f>
        <v>0</v>
      </c>
      <c r="H18" s="24">
        <f>COUNTIFS('Scenario 2 Raw'!$B$6:$B$155,$B18,'Scenario 2 Raw'!$C$6:$C$155,"&lt;&gt;",'Scenario 2 Raw'!$P$6:$P$155,"Duplicate / noise")</f>
        <v>0</v>
      </c>
      <c r="I18" s="24">
        <f>COUNTIFS('Scenario 2 Raw'!$B$6:$B$155,$B18,'Scenario 2 Raw'!$C$6:$C$155,"&lt;&gt;",'Scenario 2 Raw'!$Q$6:$Q$155,"Yes",'Scenario 2 Raw'!$R$6:$R$155,"&lt;&gt;")</f>
        <v>0</v>
      </c>
      <c r="J18" s="27">
        <f t="shared" si="0"/>
        <v>0</v>
      </c>
      <c r="K18" s="27">
        <f t="shared" si="1"/>
        <v>0</v>
      </c>
      <c r="L18" s="7"/>
    </row>
    <row r="19" spans="1:12" ht="30" customHeight="1">
      <c r="A19" s="15" t="s">
        <v>63</v>
      </c>
      <c r="B19" s="6" t="s">
        <v>48</v>
      </c>
      <c r="C19" s="6" t="s">
        <v>49</v>
      </c>
      <c r="D19" s="24">
        <f>COUNTIFS('Scenario 3 Raw'!$B$6:$B$155,$B19,'Scenario 3 Raw'!$C$6:$C$155,"&lt;&gt;")</f>
        <v>0</v>
      </c>
      <c r="E19" s="24">
        <f>COUNTIFS('Scenario 3 Raw'!$B$6:$B$155,$B19,'Scenario 3 Raw'!$C$6:$C$155,"&lt;&gt;",'Scenario 3 Raw'!$P$6:$P$155,"Reviewed")</f>
        <v>0</v>
      </c>
      <c r="F19" s="24">
        <f>COUNTIFS('Scenario 3 Raw'!$B$6:$B$155,$B19,'Scenario 3 Raw'!$C$6:$C$155,"&lt;&gt;",'Scenario 3 Raw'!$Q$6:$Q$155,"Yes")</f>
        <v>0</v>
      </c>
      <c r="G19" s="24">
        <f>COUNTIFS('Scenario 3 Raw'!$B$6:$B$155,$B19,'Scenario 3 Raw'!$C$6:$C$155,"&lt;&gt;",'Scenario 3 Raw'!$P$6:$P$155,"Excluded")+COUNTIFS('Scenario 3 Raw'!$B$6:$B$155,$B19,'Scenario 3 Raw'!$C$6:$C$155,"&lt;&gt;",'Scenario 3 Raw'!$P$6:$P$155,"Out of scope")</f>
        <v>0</v>
      </c>
      <c r="H19" s="24">
        <f>COUNTIFS('Scenario 3 Raw'!$B$6:$B$155,$B19,'Scenario 3 Raw'!$C$6:$C$155,"&lt;&gt;",'Scenario 3 Raw'!$P$6:$P$155,"Duplicate / noise")</f>
        <v>0</v>
      </c>
      <c r="I19" s="24">
        <f>COUNTIFS('Scenario 3 Raw'!$B$6:$B$155,$B19,'Scenario 3 Raw'!$C$6:$C$155,"&lt;&gt;",'Scenario 3 Raw'!$Q$6:$Q$155,"Yes",'Scenario 3 Raw'!$R$6:$R$155,"&lt;&gt;")</f>
        <v>0</v>
      </c>
      <c r="J19" s="27">
        <f t="shared" si="0"/>
        <v>0</v>
      </c>
      <c r="K19" s="27">
        <f t="shared" si="1"/>
        <v>0</v>
      </c>
      <c r="L19" s="7"/>
    </row>
    <row r="20" spans="1:12" ht="30" customHeight="1">
      <c r="A20" s="15" t="s">
        <v>63</v>
      </c>
      <c r="B20" s="6" t="s">
        <v>51</v>
      </c>
      <c r="C20" s="6" t="s">
        <v>49</v>
      </c>
      <c r="D20" s="24">
        <f>COUNTIFS('Scenario 3 Raw'!$B$6:$B$155,$B20,'Scenario 3 Raw'!$C$6:$C$155,"&lt;&gt;")</f>
        <v>0</v>
      </c>
      <c r="E20" s="24">
        <f>COUNTIFS('Scenario 3 Raw'!$B$6:$B$155,$B20,'Scenario 3 Raw'!$C$6:$C$155,"&lt;&gt;",'Scenario 3 Raw'!$P$6:$P$155,"Reviewed")</f>
        <v>0</v>
      </c>
      <c r="F20" s="24">
        <f>COUNTIFS('Scenario 3 Raw'!$B$6:$B$155,$B20,'Scenario 3 Raw'!$C$6:$C$155,"&lt;&gt;",'Scenario 3 Raw'!$Q$6:$Q$155,"Yes")</f>
        <v>0</v>
      </c>
      <c r="G20" s="24">
        <f>COUNTIFS('Scenario 3 Raw'!$B$6:$B$155,$B20,'Scenario 3 Raw'!$C$6:$C$155,"&lt;&gt;",'Scenario 3 Raw'!$P$6:$P$155,"Excluded")+COUNTIFS('Scenario 3 Raw'!$B$6:$B$155,$B20,'Scenario 3 Raw'!$C$6:$C$155,"&lt;&gt;",'Scenario 3 Raw'!$P$6:$P$155,"Out of scope")</f>
        <v>0</v>
      </c>
      <c r="H20" s="24">
        <f>COUNTIFS('Scenario 3 Raw'!$B$6:$B$155,$B20,'Scenario 3 Raw'!$C$6:$C$155,"&lt;&gt;",'Scenario 3 Raw'!$P$6:$P$155,"Duplicate / noise")</f>
        <v>0</v>
      </c>
      <c r="I20" s="24">
        <f>COUNTIFS('Scenario 3 Raw'!$B$6:$B$155,$B20,'Scenario 3 Raw'!$C$6:$C$155,"&lt;&gt;",'Scenario 3 Raw'!$Q$6:$Q$155,"Yes",'Scenario 3 Raw'!$R$6:$R$155,"&lt;&gt;")</f>
        <v>0</v>
      </c>
      <c r="J20" s="27">
        <f t="shared" si="0"/>
        <v>0</v>
      </c>
      <c r="K20" s="27">
        <f t="shared" si="1"/>
        <v>0</v>
      </c>
      <c r="L20" s="7"/>
    </row>
    <row r="21" spans="1:12" ht="30" customHeight="1">
      <c r="A21" s="15" t="s">
        <v>63</v>
      </c>
      <c r="B21" s="6" t="s">
        <v>53</v>
      </c>
      <c r="C21" s="6" t="s">
        <v>54</v>
      </c>
      <c r="D21" s="24">
        <f>COUNTIFS('Scenario 3 Raw'!$B$6:$B$155,$B21,'Scenario 3 Raw'!$C$6:$C$155,"&lt;&gt;")</f>
        <v>0</v>
      </c>
      <c r="E21" s="24">
        <f>COUNTIFS('Scenario 3 Raw'!$B$6:$B$155,$B21,'Scenario 3 Raw'!$C$6:$C$155,"&lt;&gt;",'Scenario 3 Raw'!$P$6:$P$155,"Reviewed")</f>
        <v>0</v>
      </c>
      <c r="F21" s="24">
        <f>COUNTIFS('Scenario 3 Raw'!$B$6:$B$155,$B21,'Scenario 3 Raw'!$C$6:$C$155,"&lt;&gt;",'Scenario 3 Raw'!$Q$6:$Q$155,"Yes")</f>
        <v>0</v>
      </c>
      <c r="G21" s="24">
        <f>COUNTIFS('Scenario 3 Raw'!$B$6:$B$155,$B21,'Scenario 3 Raw'!$C$6:$C$155,"&lt;&gt;",'Scenario 3 Raw'!$P$6:$P$155,"Excluded")+COUNTIFS('Scenario 3 Raw'!$B$6:$B$155,$B21,'Scenario 3 Raw'!$C$6:$C$155,"&lt;&gt;",'Scenario 3 Raw'!$P$6:$P$155,"Out of scope")</f>
        <v>0</v>
      </c>
      <c r="H21" s="24">
        <f>COUNTIFS('Scenario 3 Raw'!$B$6:$B$155,$B21,'Scenario 3 Raw'!$C$6:$C$155,"&lt;&gt;",'Scenario 3 Raw'!$P$6:$P$155,"Duplicate / noise")</f>
        <v>0</v>
      </c>
      <c r="I21" s="24">
        <f>COUNTIFS('Scenario 3 Raw'!$B$6:$B$155,$B21,'Scenario 3 Raw'!$C$6:$C$155,"&lt;&gt;",'Scenario 3 Raw'!$Q$6:$Q$155,"Yes",'Scenario 3 Raw'!$R$6:$R$155,"&lt;&gt;")</f>
        <v>0</v>
      </c>
      <c r="J21" s="27">
        <f t="shared" si="0"/>
        <v>0</v>
      </c>
      <c r="K21" s="27">
        <f t="shared" si="1"/>
        <v>0</v>
      </c>
      <c r="L21" s="7"/>
    </row>
    <row r="22" spans="1:12" ht="30" customHeight="1">
      <c r="A22" s="15" t="s">
        <v>63</v>
      </c>
      <c r="B22" s="6" t="s">
        <v>55</v>
      </c>
      <c r="C22" s="6" t="s">
        <v>54</v>
      </c>
      <c r="D22" s="24">
        <f>COUNTIFS('Scenario 3 Raw'!$B$6:$B$155,$B22,'Scenario 3 Raw'!$C$6:$C$155,"&lt;&gt;")</f>
        <v>0</v>
      </c>
      <c r="E22" s="24">
        <f>COUNTIFS('Scenario 3 Raw'!$B$6:$B$155,$B22,'Scenario 3 Raw'!$C$6:$C$155,"&lt;&gt;",'Scenario 3 Raw'!$P$6:$P$155,"Reviewed")</f>
        <v>0</v>
      </c>
      <c r="F22" s="24">
        <f>COUNTIFS('Scenario 3 Raw'!$B$6:$B$155,$B22,'Scenario 3 Raw'!$C$6:$C$155,"&lt;&gt;",'Scenario 3 Raw'!$Q$6:$Q$155,"Yes")</f>
        <v>0</v>
      </c>
      <c r="G22" s="24">
        <f>COUNTIFS('Scenario 3 Raw'!$B$6:$B$155,$B22,'Scenario 3 Raw'!$C$6:$C$155,"&lt;&gt;",'Scenario 3 Raw'!$P$6:$P$155,"Excluded")+COUNTIFS('Scenario 3 Raw'!$B$6:$B$155,$B22,'Scenario 3 Raw'!$C$6:$C$155,"&lt;&gt;",'Scenario 3 Raw'!$P$6:$P$155,"Out of scope")</f>
        <v>0</v>
      </c>
      <c r="H22" s="24">
        <f>COUNTIFS('Scenario 3 Raw'!$B$6:$B$155,$B22,'Scenario 3 Raw'!$C$6:$C$155,"&lt;&gt;",'Scenario 3 Raw'!$P$6:$P$155,"Duplicate / noise")</f>
        <v>0</v>
      </c>
      <c r="I22" s="24">
        <f>COUNTIFS('Scenario 3 Raw'!$B$6:$B$155,$B22,'Scenario 3 Raw'!$C$6:$C$155,"&lt;&gt;",'Scenario 3 Raw'!$Q$6:$Q$155,"Yes",'Scenario 3 Raw'!$R$6:$R$155,"&lt;&gt;")</f>
        <v>0</v>
      </c>
      <c r="J22" s="27">
        <f t="shared" si="0"/>
        <v>0</v>
      </c>
      <c r="K22" s="27">
        <f t="shared" si="1"/>
        <v>0</v>
      </c>
      <c r="L22" s="7"/>
    </row>
    <row r="23" spans="1:12" ht="30" customHeight="1">
      <c r="A23" s="15" t="s">
        <v>63</v>
      </c>
      <c r="B23" s="6" t="s">
        <v>56</v>
      </c>
      <c r="C23" s="6" t="s">
        <v>57</v>
      </c>
      <c r="D23" s="24">
        <f>COUNTIFS('Scenario 3 Raw'!$B$6:$B$155,$B23,'Scenario 3 Raw'!$C$6:$C$155,"&lt;&gt;")</f>
        <v>0</v>
      </c>
      <c r="E23" s="24">
        <f>COUNTIFS('Scenario 3 Raw'!$B$6:$B$155,$B23,'Scenario 3 Raw'!$C$6:$C$155,"&lt;&gt;",'Scenario 3 Raw'!$P$6:$P$155,"Reviewed")</f>
        <v>0</v>
      </c>
      <c r="F23" s="24">
        <f>COUNTIFS('Scenario 3 Raw'!$B$6:$B$155,$B23,'Scenario 3 Raw'!$C$6:$C$155,"&lt;&gt;",'Scenario 3 Raw'!$Q$6:$Q$155,"Yes")</f>
        <v>0</v>
      </c>
      <c r="G23" s="24">
        <f>COUNTIFS('Scenario 3 Raw'!$B$6:$B$155,$B23,'Scenario 3 Raw'!$C$6:$C$155,"&lt;&gt;",'Scenario 3 Raw'!$P$6:$P$155,"Excluded")+COUNTIFS('Scenario 3 Raw'!$B$6:$B$155,$B23,'Scenario 3 Raw'!$C$6:$C$155,"&lt;&gt;",'Scenario 3 Raw'!$P$6:$P$155,"Out of scope")</f>
        <v>0</v>
      </c>
      <c r="H23" s="24">
        <f>COUNTIFS('Scenario 3 Raw'!$B$6:$B$155,$B23,'Scenario 3 Raw'!$C$6:$C$155,"&lt;&gt;",'Scenario 3 Raw'!$P$6:$P$155,"Duplicate / noise")</f>
        <v>0</v>
      </c>
      <c r="I23" s="24">
        <f>COUNTIFS('Scenario 3 Raw'!$B$6:$B$155,$B23,'Scenario 3 Raw'!$C$6:$C$155,"&lt;&gt;",'Scenario 3 Raw'!$Q$6:$Q$155,"Yes",'Scenario 3 Raw'!$R$6:$R$155,"&lt;&gt;")</f>
        <v>0</v>
      </c>
      <c r="J23" s="27">
        <f t="shared" si="0"/>
        <v>0</v>
      </c>
      <c r="K23" s="27">
        <f t="shared" si="1"/>
        <v>0</v>
      </c>
      <c r="L23" s="7"/>
    </row>
    <row r="24" spans="1:12" ht="30" customHeight="1">
      <c r="A24" s="15" t="s">
        <v>63</v>
      </c>
      <c r="B24" s="6" t="s">
        <v>59</v>
      </c>
      <c r="C24" s="6" t="s">
        <v>60</v>
      </c>
      <c r="D24" s="24">
        <f>COUNTIFS('Scenario 3 Raw'!$B$6:$B$155,$B24,'Scenario 3 Raw'!$C$6:$C$155,"&lt;&gt;")</f>
        <v>0</v>
      </c>
      <c r="E24" s="24">
        <f>COUNTIFS('Scenario 3 Raw'!$B$6:$B$155,$B24,'Scenario 3 Raw'!$C$6:$C$155,"&lt;&gt;",'Scenario 3 Raw'!$P$6:$P$155,"Reviewed")</f>
        <v>0</v>
      </c>
      <c r="F24" s="24">
        <f>COUNTIFS('Scenario 3 Raw'!$B$6:$B$155,$B24,'Scenario 3 Raw'!$C$6:$C$155,"&lt;&gt;",'Scenario 3 Raw'!$Q$6:$Q$155,"Yes")</f>
        <v>0</v>
      </c>
      <c r="G24" s="24">
        <f>COUNTIFS('Scenario 3 Raw'!$B$6:$B$155,$B24,'Scenario 3 Raw'!$C$6:$C$155,"&lt;&gt;",'Scenario 3 Raw'!$P$6:$P$155,"Excluded")+COUNTIFS('Scenario 3 Raw'!$B$6:$B$155,$B24,'Scenario 3 Raw'!$C$6:$C$155,"&lt;&gt;",'Scenario 3 Raw'!$P$6:$P$155,"Out of scope")</f>
        <v>0</v>
      </c>
      <c r="H24" s="24">
        <f>COUNTIFS('Scenario 3 Raw'!$B$6:$B$155,$B24,'Scenario 3 Raw'!$C$6:$C$155,"&lt;&gt;",'Scenario 3 Raw'!$P$6:$P$155,"Duplicate / noise")</f>
        <v>0</v>
      </c>
      <c r="I24" s="24">
        <f>COUNTIFS('Scenario 3 Raw'!$B$6:$B$155,$B24,'Scenario 3 Raw'!$C$6:$C$155,"&lt;&gt;",'Scenario 3 Raw'!$Q$6:$Q$155,"Yes",'Scenario 3 Raw'!$R$6:$R$155,"&lt;&gt;")</f>
        <v>0</v>
      </c>
      <c r="J24" s="27">
        <f t="shared" si="0"/>
        <v>0</v>
      </c>
      <c r="K24" s="27">
        <f t="shared" si="1"/>
        <v>0</v>
      </c>
      <c r="L24" s="7"/>
    </row>
    <row r="25" spans="1:12" ht="30" customHeight="1">
      <c r="A25" s="16" t="s">
        <v>63</v>
      </c>
      <c r="B25" s="8" t="s">
        <v>61</v>
      </c>
      <c r="C25" s="8" t="s">
        <v>60</v>
      </c>
      <c r="D25" s="25">
        <f>COUNTIFS('Scenario 3 Raw'!$B$6:$B$155,$B25,'Scenario 3 Raw'!$C$6:$C$155,"&lt;&gt;")</f>
        <v>0</v>
      </c>
      <c r="E25" s="25">
        <f>COUNTIFS('Scenario 3 Raw'!$B$6:$B$155,$B25,'Scenario 3 Raw'!$C$6:$C$155,"&lt;&gt;",'Scenario 3 Raw'!$P$6:$P$155,"Reviewed")</f>
        <v>0</v>
      </c>
      <c r="F25" s="25">
        <f>COUNTIFS('Scenario 3 Raw'!$B$6:$B$155,$B25,'Scenario 3 Raw'!$C$6:$C$155,"&lt;&gt;",'Scenario 3 Raw'!$Q$6:$Q$155,"Yes")</f>
        <v>0</v>
      </c>
      <c r="G25" s="25">
        <f>COUNTIFS('Scenario 3 Raw'!$B$6:$B$155,$B25,'Scenario 3 Raw'!$C$6:$C$155,"&lt;&gt;",'Scenario 3 Raw'!$P$6:$P$155,"Excluded")+COUNTIFS('Scenario 3 Raw'!$B$6:$B$155,$B25,'Scenario 3 Raw'!$C$6:$C$155,"&lt;&gt;",'Scenario 3 Raw'!$P$6:$P$155,"Out of scope")</f>
        <v>0</v>
      </c>
      <c r="H25" s="25">
        <f>COUNTIFS('Scenario 3 Raw'!$B$6:$B$155,$B25,'Scenario 3 Raw'!$C$6:$C$155,"&lt;&gt;",'Scenario 3 Raw'!$P$6:$P$155,"Duplicate / noise")</f>
        <v>0</v>
      </c>
      <c r="I25" s="25">
        <f>COUNTIFS('Scenario 3 Raw'!$B$6:$B$155,$B25,'Scenario 3 Raw'!$C$6:$C$155,"&lt;&gt;",'Scenario 3 Raw'!$Q$6:$Q$155,"Yes",'Scenario 3 Raw'!$R$6:$R$155,"&lt;&gt;")</f>
        <v>0</v>
      </c>
      <c r="J25" s="28">
        <f t="shared" si="0"/>
        <v>0</v>
      </c>
      <c r="K25" s="28">
        <f t="shared" si="1"/>
        <v>0</v>
      </c>
      <c r="L25" s="9"/>
    </row>
    <row r="26" spans="1:12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</row>
    <row r="27" spans="1:12">
      <c r="A27" s="47" t="s">
        <v>173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</row>
  </sheetData>
  <mergeCells count="3">
    <mergeCell ref="A1:L1"/>
    <mergeCell ref="A2:L2"/>
    <mergeCell ref="A27:L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0"/>
  <sheetViews>
    <sheetView showGridLines="0" workbookViewId="0">
      <selection sqref="A1:F1"/>
    </sheetView>
  </sheetViews>
  <sheetFormatPr baseColWidth="10" defaultColWidth="8.83203125" defaultRowHeight="15"/>
  <cols>
    <col min="1" max="1" width="14" customWidth="1"/>
    <col min="2" max="2" width="21" customWidth="1"/>
    <col min="3" max="3" width="28" customWidth="1"/>
    <col min="4" max="4" width="18" customWidth="1"/>
    <col min="5" max="5" width="20" customWidth="1"/>
    <col min="6" max="6" width="38" customWidth="1"/>
  </cols>
  <sheetData>
    <row r="1" spans="1:6" ht="28" customHeight="1">
      <c r="A1" s="44" t="s">
        <v>174</v>
      </c>
      <c r="B1" s="45"/>
      <c r="C1" s="45"/>
      <c r="D1" s="45"/>
      <c r="E1" s="45"/>
      <c r="F1" s="45"/>
    </row>
    <row r="2" spans="1:6" ht="30" customHeight="1">
      <c r="A2" s="46" t="s">
        <v>175</v>
      </c>
      <c r="B2" s="45"/>
      <c r="C2" s="45"/>
      <c r="D2" s="45"/>
      <c r="E2" s="45"/>
      <c r="F2" s="45"/>
    </row>
    <row r="3" spans="1:6">
      <c r="A3" s="31"/>
      <c r="B3" s="31"/>
      <c r="C3" s="31"/>
      <c r="D3" s="31"/>
      <c r="E3" s="31"/>
      <c r="F3" s="31"/>
    </row>
    <row r="4" spans="1:6" ht="32" customHeight="1">
      <c r="A4" s="32" t="s">
        <v>38</v>
      </c>
      <c r="B4" s="32" t="s">
        <v>39</v>
      </c>
      <c r="C4" s="32" t="s">
        <v>89</v>
      </c>
      <c r="D4" s="32" t="s">
        <v>176</v>
      </c>
      <c r="E4" s="32" t="s">
        <v>177</v>
      </c>
      <c r="F4" s="32" t="s">
        <v>178</v>
      </c>
    </row>
    <row r="5" spans="1:6" ht="16">
      <c r="A5" s="14" t="s">
        <v>47</v>
      </c>
      <c r="B5" s="4" t="s">
        <v>48</v>
      </c>
      <c r="C5" s="4" t="s">
        <v>113</v>
      </c>
      <c r="D5" s="23">
        <f>COUNTIFS('Scenario 1 Raw'!$B$6:$B$155,$B5,'Scenario 1 Raw'!$C$6:$C$155,"&lt;&gt;",'Scenario 1 Raw'!$Q$6:$Q$155,"Yes",'Scenario 1 Raw'!$K$6:$K$155,$C5)</f>
        <v>0</v>
      </c>
      <c r="E5" s="26">
        <f>IFERROR(D5/COUNTIFS('Scenario 1 Raw'!$B$6:$B$155,$B5,'Scenario 1 Raw'!$C$6:$C$155,"&lt;&gt;",'Scenario 1 Raw'!$Q$6:$Q$155,"Yes"),0)</f>
        <v>0</v>
      </c>
      <c r="F5" s="5"/>
    </row>
    <row r="6" spans="1:6" ht="16">
      <c r="A6" s="15" t="s">
        <v>47</v>
      </c>
      <c r="B6" s="6" t="s">
        <v>48</v>
      </c>
      <c r="C6" s="6" t="s">
        <v>114</v>
      </c>
      <c r="D6" s="24">
        <f>COUNTIFS('Scenario 1 Raw'!$B$6:$B$155,$B6,'Scenario 1 Raw'!$C$6:$C$155,"&lt;&gt;",'Scenario 1 Raw'!$Q$6:$Q$155,"Yes",'Scenario 1 Raw'!$K$6:$K$155,$C6)</f>
        <v>0</v>
      </c>
      <c r="E6" s="27">
        <f>IFERROR(D6/COUNTIFS('Scenario 1 Raw'!$B$6:$B$155,$B6,'Scenario 1 Raw'!$C$6:$C$155,"&lt;&gt;",'Scenario 1 Raw'!$Q$6:$Q$155,"Yes"),0)</f>
        <v>0</v>
      </c>
      <c r="F6" s="7"/>
    </row>
    <row r="7" spans="1:6" ht="16">
      <c r="A7" s="15" t="s">
        <v>47</v>
      </c>
      <c r="B7" s="6" t="s">
        <v>48</v>
      </c>
      <c r="C7" s="6" t="s">
        <v>115</v>
      </c>
      <c r="D7" s="24">
        <f>COUNTIFS('Scenario 1 Raw'!$B$6:$B$155,$B7,'Scenario 1 Raw'!$C$6:$C$155,"&lt;&gt;",'Scenario 1 Raw'!$Q$6:$Q$155,"Yes",'Scenario 1 Raw'!$K$6:$K$155,$C7)</f>
        <v>0</v>
      </c>
      <c r="E7" s="27">
        <f>IFERROR(D7/COUNTIFS('Scenario 1 Raw'!$B$6:$B$155,$B7,'Scenario 1 Raw'!$C$6:$C$155,"&lt;&gt;",'Scenario 1 Raw'!$Q$6:$Q$155,"Yes"),0)</f>
        <v>0</v>
      </c>
      <c r="F7" s="7"/>
    </row>
    <row r="8" spans="1:6" ht="16">
      <c r="A8" s="15" t="s">
        <v>47</v>
      </c>
      <c r="B8" s="6" t="s">
        <v>48</v>
      </c>
      <c r="C8" s="6" t="s">
        <v>92</v>
      </c>
      <c r="D8" s="24">
        <f>COUNTIFS('Scenario 1 Raw'!$B$6:$B$155,$B8,'Scenario 1 Raw'!$C$6:$C$155,"&lt;&gt;",'Scenario 1 Raw'!$Q$6:$Q$155,"Yes",'Scenario 1 Raw'!$K$6:$K$155,$C8)</f>
        <v>0</v>
      </c>
      <c r="E8" s="27">
        <f>IFERROR(D8/COUNTIFS('Scenario 1 Raw'!$B$6:$B$155,$B8,'Scenario 1 Raw'!$C$6:$C$155,"&lt;&gt;",'Scenario 1 Raw'!$Q$6:$Q$155,"Yes"),0)</f>
        <v>0</v>
      </c>
      <c r="F8" s="7"/>
    </row>
    <row r="9" spans="1:6" ht="16">
      <c r="A9" s="15" t="s">
        <v>47</v>
      </c>
      <c r="B9" s="6" t="s">
        <v>48</v>
      </c>
      <c r="C9" s="6" t="s">
        <v>116</v>
      </c>
      <c r="D9" s="24">
        <f>COUNTIFS('Scenario 1 Raw'!$B$6:$B$155,$B9,'Scenario 1 Raw'!$C$6:$C$155,"&lt;&gt;",'Scenario 1 Raw'!$Q$6:$Q$155,"Yes",'Scenario 1 Raw'!$K$6:$K$155,$C9)</f>
        <v>0</v>
      </c>
      <c r="E9" s="27">
        <f>IFERROR(D9/COUNTIFS('Scenario 1 Raw'!$B$6:$B$155,$B9,'Scenario 1 Raw'!$C$6:$C$155,"&lt;&gt;",'Scenario 1 Raw'!$Q$6:$Q$155,"Yes"),0)</f>
        <v>0</v>
      </c>
      <c r="F9" s="7"/>
    </row>
    <row r="10" spans="1:6" ht="16">
      <c r="A10" s="15" t="s">
        <v>47</v>
      </c>
      <c r="B10" s="6" t="s">
        <v>48</v>
      </c>
      <c r="C10" s="6" t="s">
        <v>117</v>
      </c>
      <c r="D10" s="24">
        <f>COUNTIFS('Scenario 1 Raw'!$B$6:$B$155,$B10,'Scenario 1 Raw'!$C$6:$C$155,"&lt;&gt;",'Scenario 1 Raw'!$Q$6:$Q$155,"Yes",'Scenario 1 Raw'!$K$6:$K$155,$C10)</f>
        <v>0</v>
      </c>
      <c r="E10" s="27">
        <f>IFERROR(D10/COUNTIFS('Scenario 1 Raw'!$B$6:$B$155,$B10,'Scenario 1 Raw'!$C$6:$C$155,"&lt;&gt;",'Scenario 1 Raw'!$Q$6:$Q$155,"Yes"),0)</f>
        <v>0</v>
      </c>
      <c r="F10" s="7"/>
    </row>
    <row r="11" spans="1:6" ht="16">
      <c r="A11" s="15" t="s">
        <v>47</v>
      </c>
      <c r="B11" s="6" t="s">
        <v>51</v>
      </c>
      <c r="C11" s="6" t="s">
        <v>113</v>
      </c>
      <c r="D11" s="24">
        <f>COUNTIFS('Scenario 1 Raw'!$B$6:$B$155,$B11,'Scenario 1 Raw'!$C$6:$C$155,"&lt;&gt;",'Scenario 1 Raw'!$Q$6:$Q$155,"Yes",'Scenario 1 Raw'!$K$6:$K$155,$C11)</f>
        <v>0</v>
      </c>
      <c r="E11" s="27">
        <f>IFERROR(D11/COUNTIFS('Scenario 1 Raw'!$B$6:$B$155,$B11,'Scenario 1 Raw'!$C$6:$C$155,"&lt;&gt;",'Scenario 1 Raw'!$Q$6:$Q$155,"Yes"),0)</f>
        <v>0</v>
      </c>
      <c r="F11" s="7"/>
    </row>
    <row r="12" spans="1:6" ht="16">
      <c r="A12" s="15" t="s">
        <v>47</v>
      </c>
      <c r="B12" s="6" t="s">
        <v>51</v>
      </c>
      <c r="C12" s="6" t="s">
        <v>114</v>
      </c>
      <c r="D12" s="24">
        <f>COUNTIFS('Scenario 1 Raw'!$B$6:$B$155,$B12,'Scenario 1 Raw'!$C$6:$C$155,"&lt;&gt;",'Scenario 1 Raw'!$Q$6:$Q$155,"Yes",'Scenario 1 Raw'!$K$6:$K$155,$C12)</f>
        <v>0</v>
      </c>
      <c r="E12" s="27">
        <f>IFERROR(D12/COUNTIFS('Scenario 1 Raw'!$B$6:$B$155,$B12,'Scenario 1 Raw'!$C$6:$C$155,"&lt;&gt;",'Scenario 1 Raw'!$Q$6:$Q$155,"Yes"),0)</f>
        <v>0</v>
      </c>
      <c r="F12" s="7"/>
    </row>
    <row r="13" spans="1:6" ht="16">
      <c r="A13" s="15" t="s">
        <v>47</v>
      </c>
      <c r="B13" s="6" t="s">
        <v>51</v>
      </c>
      <c r="C13" s="6" t="s">
        <v>115</v>
      </c>
      <c r="D13" s="24">
        <f>COUNTIFS('Scenario 1 Raw'!$B$6:$B$155,$B13,'Scenario 1 Raw'!$C$6:$C$155,"&lt;&gt;",'Scenario 1 Raw'!$Q$6:$Q$155,"Yes",'Scenario 1 Raw'!$K$6:$K$155,$C13)</f>
        <v>0</v>
      </c>
      <c r="E13" s="27">
        <f>IFERROR(D13/COUNTIFS('Scenario 1 Raw'!$B$6:$B$155,$B13,'Scenario 1 Raw'!$C$6:$C$155,"&lt;&gt;",'Scenario 1 Raw'!$Q$6:$Q$155,"Yes"),0)</f>
        <v>0</v>
      </c>
      <c r="F13" s="7"/>
    </row>
    <row r="14" spans="1:6" ht="16">
      <c r="A14" s="15" t="s">
        <v>47</v>
      </c>
      <c r="B14" s="6" t="s">
        <v>51</v>
      </c>
      <c r="C14" s="6" t="s">
        <v>92</v>
      </c>
      <c r="D14" s="24">
        <f>COUNTIFS('Scenario 1 Raw'!$B$6:$B$155,$B14,'Scenario 1 Raw'!$C$6:$C$155,"&lt;&gt;",'Scenario 1 Raw'!$Q$6:$Q$155,"Yes",'Scenario 1 Raw'!$K$6:$K$155,$C14)</f>
        <v>0</v>
      </c>
      <c r="E14" s="27">
        <f>IFERROR(D14/COUNTIFS('Scenario 1 Raw'!$B$6:$B$155,$B14,'Scenario 1 Raw'!$C$6:$C$155,"&lt;&gt;",'Scenario 1 Raw'!$Q$6:$Q$155,"Yes"),0)</f>
        <v>0</v>
      </c>
      <c r="F14" s="7"/>
    </row>
    <row r="15" spans="1:6" ht="16">
      <c r="A15" s="15" t="s">
        <v>47</v>
      </c>
      <c r="B15" s="6" t="s">
        <v>51</v>
      </c>
      <c r="C15" s="6" t="s">
        <v>116</v>
      </c>
      <c r="D15" s="24">
        <f>COUNTIFS('Scenario 1 Raw'!$B$6:$B$155,$B15,'Scenario 1 Raw'!$C$6:$C$155,"&lt;&gt;",'Scenario 1 Raw'!$Q$6:$Q$155,"Yes",'Scenario 1 Raw'!$K$6:$K$155,$C15)</f>
        <v>0</v>
      </c>
      <c r="E15" s="27">
        <f>IFERROR(D15/COUNTIFS('Scenario 1 Raw'!$B$6:$B$155,$B15,'Scenario 1 Raw'!$C$6:$C$155,"&lt;&gt;",'Scenario 1 Raw'!$Q$6:$Q$155,"Yes"),0)</f>
        <v>0</v>
      </c>
      <c r="F15" s="7"/>
    </row>
    <row r="16" spans="1:6" ht="16">
      <c r="A16" s="15" t="s">
        <v>47</v>
      </c>
      <c r="B16" s="6" t="s">
        <v>51</v>
      </c>
      <c r="C16" s="6" t="s">
        <v>117</v>
      </c>
      <c r="D16" s="24">
        <f>COUNTIFS('Scenario 1 Raw'!$B$6:$B$155,$B16,'Scenario 1 Raw'!$C$6:$C$155,"&lt;&gt;",'Scenario 1 Raw'!$Q$6:$Q$155,"Yes",'Scenario 1 Raw'!$K$6:$K$155,$C16)</f>
        <v>0</v>
      </c>
      <c r="E16" s="27">
        <f>IFERROR(D16/COUNTIFS('Scenario 1 Raw'!$B$6:$B$155,$B16,'Scenario 1 Raw'!$C$6:$C$155,"&lt;&gt;",'Scenario 1 Raw'!$Q$6:$Q$155,"Yes"),0)</f>
        <v>0</v>
      </c>
      <c r="F16" s="7"/>
    </row>
    <row r="17" spans="1:6" ht="16">
      <c r="A17" s="15" t="s">
        <v>47</v>
      </c>
      <c r="B17" s="6" t="s">
        <v>53</v>
      </c>
      <c r="C17" s="6" t="s">
        <v>113</v>
      </c>
      <c r="D17" s="24">
        <f>COUNTIFS('Scenario 1 Raw'!$B$6:$B$155,$B17,'Scenario 1 Raw'!$C$6:$C$155,"&lt;&gt;",'Scenario 1 Raw'!$Q$6:$Q$155,"Yes",'Scenario 1 Raw'!$K$6:$K$155,$C17)</f>
        <v>0</v>
      </c>
      <c r="E17" s="27">
        <f>IFERROR(D17/COUNTIFS('Scenario 1 Raw'!$B$6:$B$155,$B17,'Scenario 1 Raw'!$C$6:$C$155,"&lt;&gt;",'Scenario 1 Raw'!$Q$6:$Q$155,"Yes"),0)</f>
        <v>0</v>
      </c>
      <c r="F17" s="7"/>
    </row>
    <row r="18" spans="1:6" ht="16">
      <c r="A18" s="15" t="s">
        <v>47</v>
      </c>
      <c r="B18" s="6" t="s">
        <v>53</v>
      </c>
      <c r="C18" s="6" t="s">
        <v>114</v>
      </c>
      <c r="D18" s="24">
        <f>COUNTIFS('Scenario 1 Raw'!$B$6:$B$155,$B18,'Scenario 1 Raw'!$C$6:$C$155,"&lt;&gt;",'Scenario 1 Raw'!$Q$6:$Q$155,"Yes",'Scenario 1 Raw'!$K$6:$K$155,$C18)</f>
        <v>0</v>
      </c>
      <c r="E18" s="27">
        <f>IFERROR(D18/COUNTIFS('Scenario 1 Raw'!$B$6:$B$155,$B18,'Scenario 1 Raw'!$C$6:$C$155,"&lt;&gt;",'Scenario 1 Raw'!$Q$6:$Q$155,"Yes"),0)</f>
        <v>0</v>
      </c>
      <c r="F18" s="7"/>
    </row>
    <row r="19" spans="1:6" ht="16">
      <c r="A19" s="15" t="s">
        <v>47</v>
      </c>
      <c r="B19" s="6" t="s">
        <v>53</v>
      </c>
      <c r="C19" s="6" t="s">
        <v>115</v>
      </c>
      <c r="D19" s="24">
        <f>COUNTIFS('Scenario 1 Raw'!$B$6:$B$155,$B19,'Scenario 1 Raw'!$C$6:$C$155,"&lt;&gt;",'Scenario 1 Raw'!$Q$6:$Q$155,"Yes",'Scenario 1 Raw'!$K$6:$K$155,$C19)</f>
        <v>0</v>
      </c>
      <c r="E19" s="27">
        <f>IFERROR(D19/COUNTIFS('Scenario 1 Raw'!$B$6:$B$155,$B19,'Scenario 1 Raw'!$C$6:$C$155,"&lt;&gt;",'Scenario 1 Raw'!$Q$6:$Q$155,"Yes"),0)</f>
        <v>0</v>
      </c>
      <c r="F19" s="7"/>
    </row>
    <row r="20" spans="1:6" ht="16">
      <c r="A20" s="15" t="s">
        <v>47</v>
      </c>
      <c r="B20" s="6" t="s">
        <v>53</v>
      </c>
      <c r="C20" s="6" t="s">
        <v>92</v>
      </c>
      <c r="D20" s="24">
        <f>COUNTIFS('Scenario 1 Raw'!$B$6:$B$155,$B20,'Scenario 1 Raw'!$C$6:$C$155,"&lt;&gt;",'Scenario 1 Raw'!$Q$6:$Q$155,"Yes",'Scenario 1 Raw'!$K$6:$K$155,$C20)</f>
        <v>0</v>
      </c>
      <c r="E20" s="27">
        <f>IFERROR(D20/COUNTIFS('Scenario 1 Raw'!$B$6:$B$155,$B20,'Scenario 1 Raw'!$C$6:$C$155,"&lt;&gt;",'Scenario 1 Raw'!$Q$6:$Q$155,"Yes"),0)</f>
        <v>0</v>
      </c>
      <c r="F20" s="7"/>
    </row>
    <row r="21" spans="1:6" ht="16">
      <c r="A21" s="15" t="s">
        <v>47</v>
      </c>
      <c r="B21" s="6" t="s">
        <v>53</v>
      </c>
      <c r="C21" s="6" t="s">
        <v>116</v>
      </c>
      <c r="D21" s="24">
        <f>COUNTIFS('Scenario 1 Raw'!$B$6:$B$155,$B21,'Scenario 1 Raw'!$C$6:$C$155,"&lt;&gt;",'Scenario 1 Raw'!$Q$6:$Q$155,"Yes",'Scenario 1 Raw'!$K$6:$K$155,$C21)</f>
        <v>0</v>
      </c>
      <c r="E21" s="27">
        <f>IFERROR(D21/COUNTIFS('Scenario 1 Raw'!$B$6:$B$155,$B21,'Scenario 1 Raw'!$C$6:$C$155,"&lt;&gt;",'Scenario 1 Raw'!$Q$6:$Q$155,"Yes"),0)</f>
        <v>0</v>
      </c>
      <c r="F21" s="7"/>
    </row>
    <row r="22" spans="1:6" ht="16">
      <c r="A22" s="15" t="s">
        <v>47</v>
      </c>
      <c r="B22" s="6" t="s">
        <v>53</v>
      </c>
      <c r="C22" s="6" t="s">
        <v>117</v>
      </c>
      <c r="D22" s="24">
        <f>COUNTIFS('Scenario 1 Raw'!$B$6:$B$155,$B22,'Scenario 1 Raw'!$C$6:$C$155,"&lt;&gt;",'Scenario 1 Raw'!$Q$6:$Q$155,"Yes",'Scenario 1 Raw'!$K$6:$K$155,$C22)</f>
        <v>0</v>
      </c>
      <c r="E22" s="27">
        <f>IFERROR(D22/COUNTIFS('Scenario 1 Raw'!$B$6:$B$155,$B22,'Scenario 1 Raw'!$C$6:$C$155,"&lt;&gt;",'Scenario 1 Raw'!$Q$6:$Q$155,"Yes"),0)</f>
        <v>0</v>
      </c>
      <c r="F22" s="7"/>
    </row>
    <row r="23" spans="1:6" ht="16">
      <c r="A23" s="15" t="s">
        <v>47</v>
      </c>
      <c r="B23" s="6" t="s">
        <v>55</v>
      </c>
      <c r="C23" s="6" t="s">
        <v>113</v>
      </c>
      <c r="D23" s="24">
        <f>COUNTIFS('Scenario 1 Raw'!$B$6:$B$155,$B23,'Scenario 1 Raw'!$C$6:$C$155,"&lt;&gt;",'Scenario 1 Raw'!$Q$6:$Q$155,"Yes",'Scenario 1 Raw'!$K$6:$K$155,$C23)</f>
        <v>0</v>
      </c>
      <c r="E23" s="27">
        <f>IFERROR(D23/COUNTIFS('Scenario 1 Raw'!$B$6:$B$155,$B23,'Scenario 1 Raw'!$C$6:$C$155,"&lt;&gt;",'Scenario 1 Raw'!$Q$6:$Q$155,"Yes"),0)</f>
        <v>0</v>
      </c>
      <c r="F23" s="7"/>
    </row>
    <row r="24" spans="1:6" ht="16">
      <c r="A24" s="15" t="s">
        <v>47</v>
      </c>
      <c r="B24" s="6" t="s">
        <v>55</v>
      </c>
      <c r="C24" s="6" t="s">
        <v>114</v>
      </c>
      <c r="D24" s="24">
        <f>COUNTIFS('Scenario 1 Raw'!$B$6:$B$155,$B24,'Scenario 1 Raw'!$C$6:$C$155,"&lt;&gt;",'Scenario 1 Raw'!$Q$6:$Q$155,"Yes",'Scenario 1 Raw'!$K$6:$K$155,$C24)</f>
        <v>0</v>
      </c>
      <c r="E24" s="27">
        <f>IFERROR(D24/COUNTIFS('Scenario 1 Raw'!$B$6:$B$155,$B24,'Scenario 1 Raw'!$C$6:$C$155,"&lt;&gt;",'Scenario 1 Raw'!$Q$6:$Q$155,"Yes"),0)</f>
        <v>0</v>
      </c>
      <c r="F24" s="7"/>
    </row>
    <row r="25" spans="1:6" ht="16">
      <c r="A25" s="15" t="s">
        <v>47</v>
      </c>
      <c r="B25" s="6" t="s">
        <v>55</v>
      </c>
      <c r="C25" s="6" t="s">
        <v>115</v>
      </c>
      <c r="D25" s="24">
        <f>COUNTIFS('Scenario 1 Raw'!$B$6:$B$155,$B25,'Scenario 1 Raw'!$C$6:$C$155,"&lt;&gt;",'Scenario 1 Raw'!$Q$6:$Q$155,"Yes",'Scenario 1 Raw'!$K$6:$K$155,$C25)</f>
        <v>0</v>
      </c>
      <c r="E25" s="27">
        <f>IFERROR(D25/COUNTIFS('Scenario 1 Raw'!$B$6:$B$155,$B25,'Scenario 1 Raw'!$C$6:$C$155,"&lt;&gt;",'Scenario 1 Raw'!$Q$6:$Q$155,"Yes"),0)</f>
        <v>0</v>
      </c>
      <c r="F25" s="7"/>
    </row>
    <row r="26" spans="1:6" ht="16">
      <c r="A26" s="15" t="s">
        <v>47</v>
      </c>
      <c r="B26" s="6" t="s">
        <v>55</v>
      </c>
      <c r="C26" s="6" t="s">
        <v>92</v>
      </c>
      <c r="D26" s="24">
        <f>COUNTIFS('Scenario 1 Raw'!$B$6:$B$155,$B26,'Scenario 1 Raw'!$C$6:$C$155,"&lt;&gt;",'Scenario 1 Raw'!$Q$6:$Q$155,"Yes",'Scenario 1 Raw'!$K$6:$K$155,$C26)</f>
        <v>0</v>
      </c>
      <c r="E26" s="27">
        <f>IFERROR(D26/COUNTIFS('Scenario 1 Raw'!$B$6:$B$155,$B26,'Scenario 1 Raw'!$C$6:$C$155,"&lt;&gt;",'Scenario 1 Raw'!$Q$6:$Q$155,"Yes"),0)</f>
        <v>0</v>
      </c>
      <c r="F26" s="7"/>
    </row>
    <row r="27" spans="1:6" ht="16">
      <c r="A27" s="15" t="s">
        <v>47</v>
      </c>
      <c r="B27" s="6" t="s">
        <v>55</v>
      </c>
      <c r="C27" s="6" t="s">
        <v>116</v>
      </c>
      <c r="D27" s="24">
        <f>COUNTIFS('Scenario 1 Raw'!$B$6:$B$155,$B27,'Scenario 1 Raw'!$C$6:$C$155,"&lt;&gt;",'Scenario 1 Raw'!$Q$6:$Q$155,"Yes",'Scenario 1 Raw'!$K$6:$K$155,$C27)</f>
        <v>0</v>
      </c>
      <c r="E27" s="27">
        <f>IFERROR(D27/COUNTIFS('Scenario 1 Raw'!$B$6:$B$155,$B27,'Scenario 1 Raw'!$C$6:$C$155,"&lt;&gt;",'Scenario 1 Raw'!$Q$6:$Q$155,"Yes"),0)</f>
        <v>0</v>
      </c>
      <c r="F27" s="7"/>
    </row>
    <row r="28" spans="1:6" ht="16">
      <c r="A28" s="15" t="s">
        <v>47</v>
      </c>
      <c r="B28" s="6" t="s">
        <v>55</v>
      </c>
      <c r="C28" s="6" t="s">
        <v>117</v>
      </c>
      <c r="D28" s="24">
        <f>COUNTIFS('Scenario 1 Raw'!$B$6:$B$155,$B28,'Scenario 1 Raw'!$C$6:$C$155,"&lt;&gt;",'Scenario 1 Raw'!$Q$6:$Q$155,"Yes",'Scenario 1 Raw'!$K$6:$K$155,$C28)</f>
        <v>0</v>
      </c>
      <c r="E28" s="27">
        <f>IFERROR(D28/COUNTIFS('Scenario 1 Raw'!$B$6:$B$155,$B28,'Scenario 1 Raw'!$C$6:$C$155,"&lt;&gt;",'Scenario 1 Raw'!$Q$6:$Q$155,"Yes"),0)</f>
        <v>0</v>
      </c>
      <c r="F28" s="7"/>
    </row>
    <row r="29" spans="1:6" ht="16">
      <c r="A29" s="15" t="s">
        <v>47</v>
      </c>
      <c r="B29" s="6" t="s">
        <v>56</v>
      </c>
      <c r="C29" s="6" t="s">
        <v>113</v>
      </c>
      <c r="D29" s="24">
        <f>COUNTIFS('Scenario 1 Raw'!$B$6:$B$155,$B29,'Scenario 1 Raw'!$C$6:$C$155,"&lt;&gt;",'Scenario 1 Raw'!$Q$6:$Q$155,"Yes",'Scenario 1 Raw'!$K$6:$K$155,$C29)</f>
        <v>0</v>
      </c>
      <c r="E29" s="27">
        <f>IFERROR(D29/COUNTIFS('Scenario 1 Raw'!$B$6:$B$155,$B29,'Scenario 1 Raw'!$C$6:$C$155,"&lt;&gt;",'Scenario 1 Raw'!$Q$6:$Q$155,"Yes"),0)</f>
        <v>0</v>
      </c>
      <c r="F29" s="7"/>
    </row>
    <row r="30" spans="1:6" ht="16">
      <c r="A30" s="15" t="s">
        <v>47</v>
      </c>
      <c r="B30" s="6" t="s">
        <v>56</v>
      </c>
      <c r="C30" s="6" t="s">
        <v>114</v>
      </c>
      <c r="D30" s="24">
        <f>COUNTIFS('Scenario 1 Raw'!$B$6:$B$155,$B30,'Scenario 1 Raw'!$C$6:$C$155,"&lt;&gt;",'Scenario 1 Raw'!$Q$6:$Q$155,"Yes",'Scenario 1 Raw'!$K$6:$K$155,$C30)</f>
        <v>0</v>
      </c>
      <c r="E30" s="27">
        <f>IFERROR(D30/COUNTIFS('Scenario 1 Raw'!$B$6:$B$155,$B30,'Scenario 1 Raw'!$C$6:$C$155,"&lt;&gt;",'Scenario 1 Raw'!$Q$6:$Q$155,"Yes"),0)</f>
        <v>0</v>
      </c>
      <c r="F30" s="7"/>
    </row>
    <row r="31" spans="1:6" ht="16">
      <c r="A31" s="15" t="s">
        <v>47</v>
      </c>
      <c r="B31" s="6" t="s">
        <v>56</v>
      </c>
      <c r="C31" s="6" t="s">
        <v>115</v>
      </c>
      <c r="D31" s="24">
        <f>COUNTIFS('Scenario 1 Raw'!$B$6:$B$155,$B31,'Scenario 1 Raw'!$C$6:$C$155,"&lt;&gt;",'Scenario 1 Raw'!$Q$6:$Q$155,"Yes",'Scenario 1 Raw'!$K$6:$K$155,$C31)</f>
        <v>0</v>
      </c>
      <c r="E31" s="27">
        <f>IFERROR(D31/COUNTIFS('Scenario 1 Raw'!$B$6:$B$155,$B31,'Scenario 1 Raw'!$C$6:$C$155,"&lt;&gt;",'Scenario 1 Raw'!$Q$6:$Q$155,"Yes"),0)</f>
        <v>0</v>
      </c>
      <c r="F31" s="7"/>
    </row>
    <row r="32" spans="1:6" ht="16">
      <c r="A32" s="15" t="s">
        <v>47</v>
      </c>
      <c r="B32" s="6" t="s">
        <v>56</v>
      </c>
      <c r="C32" s="6" t="s">
        <v>92</v>
      </c>
      <c r="D32" s="24">
        <f>COUNTIFS('Scenario 1 Raw'!$B$6:$B$155,$B32,'Scenario 1 Raw'!$C$6:$C$155,"&lt;&gt;",'Scenario 1 Raw'!$Q$6:$Q$155,"Yes",'Scenario 1 Raw'!$K$6:$K$155,$C32)</f>
        <v>0</v>
      </c>
      <c r="E32" s="27">
        <f>IFERROR(D32/COUNTIFS('Scenario 1 Raw'!$B$6:$B$155,$B32,'Scenario 1 Raw'!$C$6:$C$155,"&lt;&gt;",'Scenario 1 Raw'!$Q$6:$Q$155,"Yes"),0)</f>
        <v>0</v>
      </c>
      <c r="F32" s="7"/>
    </row>
    <row r="33" spans="1:6" ht="16">
      <c r="A33" s="15" t="s">
        <v>47</v>
      </c>
      <c r="B33" s="6" t="s">
        <v>56</v>
      </c>
      <c r="C33" s="6" t="s">
        <v>116</v>
      </c>
      <c r="D33" s="24">
        <f>COUNTIFS('Scenario 1 Raw'!$B$6:$B$155,$B33,'Scenario 1 Raw'!$C$6:$C$155,"&lt;&gt;",'Scenario 1 Raw'!$Q$6:$Q$155,"Yes",'Scenario 1 Raw'!$K$6:$K$155,$C33)</f>
        <v>0</v>
      </c>
      <c r="E33" s="27">
        <f>IFERROR(D33/COUNTIFS('Scenario 1 Raw'!$B$6:$B$155,$B33,'Scenario 1 Raw'!$C$6:$C$155,"&lt;&gt;",'Scenario 1 Raw'!$Q$6:$Q$155,"Yes"),0)</f>
        <v>0</v>
      </c>
      <c r="F33" s="7"/>
    </row>
    <row r="34" spans="1:6" ht="16">
      <c r="A34" s="15" t="s">
        <v>47</v>
      </c>
      <c r="B34" s="6" t="s">
        <v>56</v>
      </c>
      <c r="C34" s="6" t="s">
        <v>117</v>
      </c>
      <c r="D34" s="24">
        <f>COUNTIFS('Scenario 1 Raw'!$B$6:$B$155,$B34,'Scenario 1 Raw'!$C$6:$C$155,"&lt;&gt;",'Scenario 1 Raw'!$Q$6:$Q$155,"Yes",'Scenario 1 Raw'!$K$6:$K$155,$C34)</f>
        <v>0</v>
      </c>
      <c r="E34" s="27">
        <f>IFERROR(D34/COUNTIFS('Scenario 1 Raw'!$B$6:$B$155,$B34,'Scenario 1 Raw'!$C$6:$C$155,"&lt;&gt;",'Scenario 1 Raw'!$Q$6:$Q$155,"Yes"),0)</f>
        <v>0</v>
      </c>
      <c r="F34" s="7"/>
    </row>
    <row r="35" spans="1:6" ht="16">
      <c r="A35" s="15" t="s">
        <v>47</v>
      </c>
      <c r="B35" s="6" t="s">
        <v>59</v>
      </c>
      <c r="C35" s="6" t="s">
        <v>113</v>
      </c>
      <c r="D35" s="24">
        <f>COUNTIFS('Scenario 1 Raw'!$B$6:$B$155,$B35,'Scenario 1 Raw'!$C$6:$C$155,"&lt;&gt;",'Scenario 1 Raw'!$Q$6:$Q$155,"Yes",'Scenario 1 Raw'!$K$6:$K$155,$C35)</f>
        <v>0</v>
      </c>
      <c r="E35" s="27">
        <f>IFERROR(D35/COUNTIFS('Scenario 1 Raw'!$B$6:$B$155,$B35,'Scenario 1 Raw'!$C$6:$C$155,"&lt;&gt;",'Scenario 1 Raw'!$Q$6:$Q$155,"Yes"),0)</f>
        <v>0</v>
      </c>
      <c r="F35" s="7"/>
    </row>
    <row r="36" spans="1:6" ht="16">
      <c r="A36" s="15" t="s">
        <v>47</v>
      </c>
      <c r="B36" s="6" t="s">
        <v>59</v>
      </c>
      <c r="C36" s="6" t="s">
        <v>114</v>
      </c>
      <c r="D36" s="24">
        <f>COUNTIFS('Scenario 1 Raw'!$B$6:$B$155,$B36,'Scenario 1 Raw'!$C$6:$C$155,"&lt;&gt;",'Scenario 1 Raw'!$Q$6:$Q$155,"Yes",'Scenario 1 Raw'!$K$6:$K$155,$C36)</f>
        <v>0</v>
      </c>
      <c r="E36" s="27">
        <f>IFERROR(D36/COUNTIFS('Scenario 1 Raw'!$B$6:$B$155,$B36,'Scenario 1 Raw'!$C$6:$C$155,"&lt;&gt;",'Scenario 1 Raw'!$Q$6:$Q$155,"Yes"),0)</f>
        <v>0</v>
      </c>
      <c r="F36" s="7"/>
    </row>
    <row r="37" spans="1:6" ht="16">
      <c r="A37" s="15" t="s">
        <v>47</v>
      </c>
      <c r="B37" s="6" t="s">
        <v>59</v>
      </c>
      <c r="C37" s="6" t="s">
        <v>115</v>
      </c>
      <c r="D37" s="24">
        <f>COUNTIFS('Scenario 1 Raw'!$B$6:$B$155,$B37,'Scenario 1 Raw'!$C$6:$C$155,"&lt;&gt;",'Scenario 1 Raw'!$Q$6:$Q$155,"Yes",'Scenario 1 Raw'!$K$6:$K$155,$C37)</f>
        <v>0</v>
      </c>
      <c r="E37" s="27">
        <f>IFERROR(D37/COUNTIFS('Scenario 1 Raw'!$B$6:$B$155,$B37,'Scenario 1 Raw'!$C$6:$C$155,"&lt;&gt;",'Scenario 1 Raw'!$Q$6:$Q$155,"Yes"),0)</f>
        <v>0</v>
      </c>
      <c r="F37" s="7"/>
    </row>
    <row r="38" spans="1:6" ht="16">
      <c r="A38" s="15" t="s">
        <v>47</v>
      </c>
      <c r="B38" s="6" t="s">
        <v>59</v>
      </c>
      <c r="C38" s="6" t="s">
        <v>92</v>
      </c>
      <c r="D38" s="24">
        <f>COUNTIFS('Scenario 1 Raw'!$B$6:$B$155,$B38,'Scenario 1 Raw'!$C$6:$C$155,"&lt;&gt;",'Scenario 1 Raw'!$Q$6:$Q$155,"Yes",'Scenario 1 Raw'!$K$6:$K$155,$C38)</f>
        <v>0</v>
      </c>
      <c r="E38" s="27">
        <f>IFERROR(D38/COUNTIFS('Scenario 1 Raw'!$B$6:$B$155,$B38,'Scenario 1 Raw'!$C$6:$C$155,"&lt;&gt;",'Scenario 1 Raw'!$Q$6:$Q$155,"Yes"),0)</f>
        <v>0</v>
      </c>
      <c r="F38" s="7"/>
    </row>
    <row r="39" spans="1:6" ht="16">
      <c r="A39" s="15" t="s">
        <v>47</v>
      </c>
      <c r="B39" s="6" t="s">
        <v>59</v>
      </c>
      <c r="C39" s="6" t="s">
        <v>116</v>
      </c>
      <c r="D39" s="24">
        <f>COUNTIFS('Scenario 1 Raw'!$B$6:$B$155,$B39,'Scenario 1 Raw'!$C$6:$C$155,"&lt;&gt;",'Scenario 1 Raw'!$Q$6:$Q$155,"Yes",'Scenario 1 Raw'!$K$6:$K$155,$C39)</f>
        <v>0</v>
      </c>
      <c r="E39" s="27">
        <f>IFERROR(D39/COUNTIFS('Scenario 1 Raw'!$B$6:$B$155,$B39,'Scenario 1 Raw'!$C$6:$C$155,"&lt;&gt;",'Scenario 1 Raw'!$Q$6:$Q$155,"Yes"),0)</f>
        <v>0</v>
      </c>
      <c r="F39" s="7"/>
    </row>
    <row r="40" spans="1:6" ht="16">
      <c r="A40" s="15" t="s">
        <v>47</v>
      </c>
      <c r="B40" s="6" t="s">
        <v>59</v>
      </c>
      <c r="C40" s="6" t="s">
        <v>117</v>
      </c>
      <c r="D40" s="24">
        <f>COUNTIFS('Scenario 1 Raw'!$B$6:$B$155,$B40,'Scenario 1 Raw'!$C$6:$C$155,"&lt;&gt;",'Scenario 1 Raw'!$Q$6:$Q$155,"Yes",'Scenario 1 Raw'!$K$6:$K$155,$C40)</f>
        <v>0</v>
      </c>
      <c r="E40" s="27">
        <f>IFERROR(D40/COUNTIFS('Scenario 1 Raw'!$B$6:$B$155,$B40,'Scenario 1 Raw'!$C$6:$C$155,"&lt;&gt;",'Scenario 1 Raw'!$Q$6:$Q$155,"Yes"),0)</f>
        <v>0</v>
      </c>
      <c r="F40" s="7"/>
    </row>
    <row r="41" spans="1:6" ht="16">
      <c r="A41" s="15" t="s">
        <v>47</v>
      </c>
      <c r="B41" s="6" t="s">
        <v>61</v>
      </c>
      <c r="C41" s="6" t="s">
        <v>113</v>
      </c>
      <c r="D41" s="24">
        <f>COUNTIFS('Scenario 1 Raw'!$B$6:$B$155,$B41,'Scenario 1 Raw'!$C$6:$C$155,"&lt;&gt;",'Scenario 1 Raw'!$Q$6:$Q$155,"Yes",'Scenario 1 Raw'!$K$6:$K$155,$C41)</f>
        <v>0</v>
      </c>
      <c r="E41" s="27">
        <f>IFERROR(D41/COUNTIFS('Scenario 1 Raw'!$B$6:$B$155,$B41,'Scenario 1 Raw'!$C$6:$C$155,"&lt;&gt;",'Scenario 1 Raw'!$Q$6:$Q$155,"Yes"),0)</f>
        <v>0</v>
      </c>
      <c r="F41" s="7"/>
    </row>
    <row r="42" spans="1:6" ht="16">
      <c r="A42" s="15" t="s">
        <v>47</v>
      </c>
      <c r="B42" s="6" t="s">
        <v>61</v>
      </c>
      <c r="C42" s="6" t="s">
        <v>114</v>
      </c>
      <c r="D42" s="24">
        <f>COUNTIFS('Scenario 1 Raw'!$B$6:$B$155,$B42,'Scenario 1 Raw'!$C$6:$C$155,"&lt;&gt;",'Scenario 1 Raw'!$Q$6:$Q$155,"Yes",'Scenario 1 Raw'!$K$6:$K$155,$C42)</f>
        <v>0</v>
      </c>
      <c r="E42" s="27">
        <f>IFERROR(D42/COUNTIFS('Scenario 1 Raw'!$B$6:$B$155,$B42,'Scenario 1 Raw'!$C$6:$C$155,"&lt;&gt;",'Scenario 1 Raw'!$Q$6:$Q$155,"Yes"),0)</f>
        <v>0</v>
      </c>
      <c r="F42" s="7"/>
    </row>
    <row r="43" spans="1:6" ht="16">
      <c r="A43" s="15" t="s">
        <v>47</v>
      </c>
      <c r="B43" s="6" t="s">
        <v>61</v>
      </c>
      <c r="C43" s="6" t="s">
        <v>115</v>
      </c>
      <c r="D43" s="24">
        <f>COUNTIFS('Scenario 1 Raw'!$B$6:$B$155,$B43,'Scenario 1 Raw'!$C$6:$C$155,"&lt;&gt;",'Scenario 1 Raw'!$Q$6:$Q$155,"Yes",'Scenario 1 Raw'!$K$6:$K$155,$C43)</f>
        <v>0</v>
      </c>
      <c r="E43" s="27">
        <f>IFERROR(D43/COUNTIFS('Scenario 1 Raw'!$B$6:$B$155,$B43,'Scenario 1 Raw'!$C$6:$C$155,"&lt;&gt;",'Scenario 1 Raw'!$Q$6:$Q$155,"Yes"),0)</f>
        <v>0</v>
      </c>
      <c r="F43" s="7"/>
    </row>
    <row r="44" spans="1:6" ht="16">
      <c r="A44" s="15" t="s">
        <v>47</v>
      </c>
      <c r="B44" s="6" t="s">
        <v>61</v>
      </c>
      <c r="C44" s="6" t="s">
        <v>92</v>
      </c>
      <c r="D44" s="24">
        <f>COUNTIFS('Scenario 1 Raw'!$B$6:$B$155,$B44,'Scenario 1 Raw'!$C$6:$C$155,"&lt;&gt;",'Scenario 1 Raw'!$Q$6:$Q$155,"Yes",'Scenario 1 Raw'!$K$6:$K$155,$C44)</f>
        <v>0</v>
      </c>
      <c r="E44" s="27">
        <f>IFERROR(D44/COUNTIFS('Scenario 1 Raw'!$B$6:$B$155,$B44,'Scenario 1 Raw'!$C$6:$C$155,"&lt;&gt;",'Scenario 1 Raw'!$Q$6:$Q$155,"Yes"),0)</f>
        <v>0</v>
      </c>
      <c r="F44" s="7"/>
    </row>
    <row r="45" spans="1:6" ht="16">
      <c r="A45" s="15" t="s">
        <v>47</v>
      </c>
      <c r="B45" s="6" t="s">
        <v>61</v>
      </c>
      <c r="C45" s="6" t="s">
        <v>116</v>
      </c>
      <c r="D45" s="24">
        <f>COUNTIFS('Scenario 1 Raw'!$B$6:$B$155,$B45,'Scenario 1 Raw'!$C$6:$C$155,"&lt;&gt;",'Scenario 1 Raw'!$Q$6:$Q$155,"Yes",'Scenario 1 Raw'!$K$6:$K$155,$C45)</f>
        <v>0</v>
      </c>
      <c r="E45" s="27">
        <f>IFERROR(D45/COUNTIFS('Scenario 1 Raw'!$B$6:$B$155,$B45,'Scenario 1 Raw'!$C$6:$C$155,"&lt;&gt;",'Scenario 1 Raw'!$Q$6:$Q$155,"Yes"),0)</f>
        <v>0</v>
      </c>
      <c r="F45" s="7"/>
    </row>
    <row r="46" spans="1:6" ht="16">
      <c r="A46" s="15" t="s">
        <v>47</v>
      </c>
      <c r="B46" s="6" t="s">
        <v>61</v>
      </c>
      <c r="C46" s="6" t="s">
        <v>117</v>
      </c>
      <c r="D46" s="24">
        <f>COUNTIFS('Scenario 1 Raw'!$B$6:$B$155,$B46,'Scenario 1 Raw'!$C$6:$C$155,"&lt;&gt;",'Scenario 1 Raw'!$Q$6:$Q$155,"Yes",'Scenario 1 Raw'!$K$6:$K$155,$C46)</f>
        <v>0</v>
      </c>
      <c r="E46" s="27">
        <f>IFERROR(D46/COUNTIFS('Scenario 1 Raw'!$B$6:$B$155,$B46,'Scenario 1 Raw'!$C$6:$C$155,"&lt;&gt;",'Scenario 1 Raw'!$Q$6:$Q$155,"Yes"),0)</f>
        <v>0</v>
      </c>
      <c r="F46" s="7"/>
    </row>
    <row r="47" spans="1:6" ht="16">
      <c r="A47" s="15" t="s">
        <v>62</v>
      </c>
      <c r="B47" s="6" t="s">
        <v>48</v>
      </c>
      <c r="C47" s="6" t="s">
        <v>113</v>
      </c>
      <c r="D47" s="24">
        <f>COUNTIFS('Scenario 2 Raw'!$B$6:$B$155,$B47,'Scenario 2 Raw'!$C$6:$C$155,"&lt;&gt;",'Scenario 2 Raw'!$Q$6:$Q$155,"Yes",'Scenario 2 Raw'!$K$6:$K$155,$C47)</f>
        <v>0</v>
      </c>
      <c r="E47" s="27">
        <f>IFERROR(D47/COUNTIFS('Scenario 2 Raw'!$B$6:$B$155,$B47,'Scenario 2 Raw'!$C$6:$C$155,"&lt;&gt;",'Scenario 2 Raw'!$Q$6:$Q$155,"Yes"),0)</f>
        <v>0</v>
      </c>
      <c r="F47" s="7"/>
    </row>
    <row r="48" spans="1:6" ht="16">
      <c r="A48" s="15" t="s">
        <v>62</v>
      </c>
      <c r="B48" s="6" t="s">
        <v>48</v>
      </c>
      <c r="C48" s="6" t="s">
        <v>114</v>
      </c>
      <c r="D48" s="24">
        <f>COUNTIFS('Scenario 2 Raw'!$B$6:$B$155,$B48,'Scenario 2 Raw'!$C$6:$C$155,"&lt;&gt;",'Scenario 2 Raw'!$Q$6:$Q$155,"Yes",'Scenario 2 Raw'!$K$6:$K$155,$C48)</f>
        <v>0</v>
      </c>
      <c r="E48" s="27">
        <f>IFERROR(D48/COUNTIFS('Scenario 2 Raw'!$B$6:$B$155,$B48,'Scenario 2 Raw'!$C$6:$C$155,"&lt;&gt;",'Scenario 2 Raw'!$Q$6:$Q$155,"Yes"),0)</f>
        <v>0</v>
      </c>
      <c r="F48" s="7"/>
    </row>
    <row r="49" spans="1:6" ht="16">
      <c r="A49" s="15" t="s">
        <v>62</v>
      </c>
      <c r="B49" s="6" t="s">
        <v>48</v>
      </c>
      <c r="C49" s="6" t="s">
        <v>115</v>
      </c>
      <c r="D49" s="24">
        <f>COUNTIFS('Scenario 2 Raw'!$B$6:$B$155,$B49,'Scenario 2 Raw'!$C$6:$C$155,"&lt;&gt;",'Scenario 2 Raw'!$Q$6:$Q$155,"Yes",'Scenario 2 Raw'!$K$6:$K$155,$C49)</f>
        <v>0</v>
      </c>
      <c r="E49" s="27">
        <f>IFERROR(D49/COUNTIFS('Scenario 2 Raw'!$B$6:$B$155,$B49,'Scenario 2 Raw'!$C$6:$C$155,"&lt;&gt;",'Scenario 2 Raw'!$Q$6:$Q$155,"Yes"),0)</f>
        <v>0</v>
      </c>
      <c r="F49" s="7"/>
    </row>
    <row r="50" spans="1:6" ht="16">
      <c r="A50" s="15" t="s">
        <v>62</v>
      </c>
      <c r="B50" s="6" t="s">
        <v>48</v>
      </c>
      <c r="C50" s="6" t="s">
        <v>92</v>
      </c>
      <c r="D50" s="24">
        <f>COUNTIFS('Scenario 2 Raw'!$B$6:$B$155,$B50,'Scenario 2 Raw'!$C$6:$C$155,"&lt;&gt;",'Scenario 2 Raw'!$Q$6:$Q$155,"Yes",'Scenario 2 Raw'!$K$6:$K$155,$C50)</f>
        <v>0</v>
      </c>
      <c r="E50" s="27">
        <f>IFERROR(D50/COUNTIFS('Scenario 2 Raw'!$B$6:$B$155,$B50,'Scenario 2 Raw'!$C$6:$C$155,"&lt;&gt;",'Scenario 2 Raw'!$Q$6:$Q$155,"Yes"),0)</f>
        <v>0</v>
      </c>
      <c r="F50" s="7"/>
    </row>
    <row r="51" spans="1:6" ht="16">
      <c r="A51" s="15" t="s">
        <v>62</v>
      </c>
      <c r="B51" s="6" t="s">
        <v>48</v>
      </c>
      <c r="C51" s="6" t="s">
        <v>116</v>
      </c>
      <c r="D51" s="24">
        <f>COUNTIFS('Scenario 2 Raw'!$B$6:$B$155,$B51,'Scenario 2 Raw'!$C$6:$C$155,"&lt;&gt;",'Scenario 2 Raw'!$Q$6:$Q$155,"Yes",'Scenario 2 Raw'!$K$6:$K$155,$C51)</f>
        <v>0</v>
      </c>
      <c r="E51" s="27">
        <f>IFERROR(D51/COUNTIFS('Scenario 2 Raw'!$B$6:$B$155,$B51,'Scenario 2 Raw'!$C$6:$C$155,"&lt;&gt;",'Scenario 2 Raw'!$Q$6:$Q$155,"Yes"),0)</f>
        <v>0</v>
      </c>
      <c r="F51" s="7"/>
    </row>
    <row r="52" spans="1:6" ht="16">
      <c r="A52" s="15" t="s">
        <v>62</v>
      </c>
      <c r="B52" s="6" t="s">
        <v>48</v>
      </c>
      <c r="C52" s="6" t="s">
        <v>117</v>
      </c>
      <c r="D52" s="24">
        <f>COUNTIFS('Scenario 2 Raw'!$B$6:$B$155,$B52,'Scenario 2 Raw'!$C$6:$C$155,"&lt;&gt;",'Scenario 2 Raw'!$Q$6:$Q$155,"Yes",'Scenario 2 Raw'!$K$6:$K$155,$C52)</f>
        <v>0</v>
      </c>
      <c r="E52" s="27">
        <f>IFERROR(D52/COUNTIFS('Scenario 2 Raw'!$B$6:$B$155,$B52,'Scenario 2 Raw'!$C$6:$C$155,"&lt;&gt;",'Scenario 2 Raw'!$Q$6:$Q$155,"Yes"),0)</f>
        <v>0</v>
      </c>
      <c r="F52" s="7"/>
    </row>
    <row r="53" spans="1:6" ht="16">
      <c r="A53" s="15" t="s">
        <v>62</v>
      </c>
      <c r="B53" s="6" t="s">
        <v>51</v>
      </c>
      <c r="C53" s="6" t="s">
        <v>113</v>
      </c>
      <c r="D53" s="24">
        <f>COUNTIFS('Scenario 2 Raw'!$B$6:$B$155,$B53,'Scenario 2 Raw'!$C$6:$C$155,"&lt;&gt;",'Scenario 2 Raw'!$Q$6:$Q$155,"Yes",'Scenario 2 Raw'!$K$6:$K$155,$C53)</f>
        <v>0</v>
      </c>
      <c r="E53" s="27">
        <f>IFERROR(D53/COUNTIFS('Scenario 2 Raw'!$B$6:$B$155,$B53,'Scenario 2 Raw'!$C$6:$C$155,"&lt;&gt;",'Scenario 2 Raw'!$Q$6:$Q$155,"Yes"),0)</f>
        <v>0</v>
      </c>
      <c r="F53" s="7"/>
    </row>
    <row r="54" spans="1:6" ht="16">
      <c r="A54" s="15" t="s">
        <v>62</v>
      </c>
      <c r="B54" s="6" t="s">
        <v>51</v>
      </c>
      <c r="C54" s="6" t="s">
        <v>114</v>
      </c>
      <c r="D54" s="24">
        <f>COUNTIFS('Scenario 2 Raw'!$B$6:$B$155,$B54,'Scenario 2 Raw'!$C$6:$C$155,"&lt;&gt;",'Scenario 2 Raw'!$Q$6:$Q$155,"Yes",'Scenario 2 Raw'!$K$6:$K$155,$C54)</f>
        <v>0</v>
      </c>
      <c r="E54" s="27">
        <f>IFERROR(D54/COUNTIFS('Scenario 2 Raw'!$B$6:$B$155,$B54,'Scenario 2 Raw'!$C$6:$C$155,"&lt;&gt;",'Scenario 2 Raw'!$Q$6:$Q$155,"Yes"),0)</f>
        <v>0</v>
      </c>
      <c r="F54" s="7"/>
    </row>
    <row r="55" spans="1:6" ht="16">
      <c r="A55" s="15" t="s">
        <v>62</v>
      </c>
      <c r="B55" s="6" t="s">
        <v>51</v>
      </c>
      <c r="C55" s="6" t="s">
        <v>115</v>
      </c>
      <c r="D55" s="24">
        <f>COUNTIFS('Scenario 2 Raw'!$B$6:$B$155,$B55,'Scenario 2 Raw'!$C$6:$C$155,"&lt;&gt;",'Scenario 2 Raw'!$Q$6:$Q$155,"Yes",'Scenario 2 Raw'!$K$6:$K$155,$C55)</f>
        <v>0</v>
      </c>
      <c r="E55" s="27">
        <f>IFERROR(D55/COUNTIFS('Scenario 2 Raw'!$B$6:$B$155,$B55,'Scenario 2 Raw'!$C$6:$C$155,"&lt;&gt;",'Scenario 2 Raw'!$Q$6:$Q$155,"Yes"),0)</f>
        <v>0</v>
      </c>
      <c r="F55" s="7"/>
    </row>
    <row r="56" spans="1:6" ht="16">
      <c r="A56" s="15" t="s">
        <v>62</v>
      </c>
      <c r="B56" s="6" t="s">
        <v>51</v>
      </c>
      <c r="C56" s="6" t="s">
        <v>92</v>
      </c>
      <c r="D56" s="24">
        <f>COUNTIFS('Scenario 2 Raw'!$B$6:$B$155,$B56,'Scenario 2 Raw'!$C$6:$C$155,"&lt;&gt;",'Scenario 2 Raw'!$Q$6:$Q$155,"Yes",'Scenario 2 Raw'!$K$6:$K$155,$C56)</f>
        <v>0</v>
      </c>
      <c r="E56" s="27">
        <f>IFERROR(D56/COUNTIFS('Scenario 2 Raw'!$B$6:$B$155,$B56,'Scenario 2 Raw'!$C$6:$C$155,"&lt;&gt;",'Scenario 2 Raw'!$Q$6:$Q$155,"Yes"),0)</f>
        <v>0</v>
      </c>
      <c r="F56" s="7"/>
    </row>
    <row r="57" spans="1:6" ht="16">
      <c r="A57" s="15" t="s">
        <v>62</v>
      </c>
      <c r="B57" s="6" t="s">
        <v>51</v>
      </c>
      <c r="C57" s="6" t="s">
        <v>116</v>
      </c>
      <c r="D57" s="24">
        <f>COUNTIFS('Scenario 2 Raw'!$B$6:$B$155,$B57,'Scenario 2 Raw'!$C$6:$C$155,"&lt;&gt;",'Scenario 2 Raw'!$Q$6:$Q$155,"Yes",'Scenario 2 Raw'!$K$6:$K$155,$C57)</f>
        <v>0</v>
      </c>
      <c r="E57" s="27">
        <f>IFERROR(D57/COUNTIFS('Scenario 2 Raw'!$B$6:$B$155,$B57,'Scenario 2 Raw'!$C$6:$C$155,"&lt;&gt;",'Scenario 2 Raw'!$Q$6:$Q$155,"Yes"),0)</f>
        <v>0</v>
      </c>
      <c r="F57" s="7"/>
    </row>
    <row r="58" spans="1:6" ht="16">
      <c r="A58" s="15" t="s">
        <v>62</v>
      </c>
      <c r="B58" s="6" t="s">
        <v>51</v>
      </c>
      <c r="C58" s="6" t="s">
        <v>117</v>
      </c>
      <c r="D58" s="24">
        <f>COUNTIFS('Scenario 2 Raw'!$B$6:$B$155,$B58,'Scenario 2 Raw'!$C$6:$C$155,"&lt;&gt;",'Scenario 2 Raw'!$Q$6:$Q$155,"Yes",'Scenario 2 Raw'!$K$6:$K$155,$C58)</f>
        <v>0</v>
      </c>
      <c r="E58" s="27">
        <f>IFERROR(D58/COUNTIFS('Scenario 2 Raw'!$B$6:$B$155,$B58,'Scenario 2 Raw'!$C$6:$C$155,"&lt;&gt;",'Scenario 2 Raw'!$Q$6:$Q$155,"Yes"),0)</f>
        <v>0</v>
      </c>
      <c r="F58" s="7"/>
    </row>
    <row r="59" spans="1:6" ht="16">
      <c r="A59" s="15" t="s">
        <v>62</v>
      </c>
      <c r="B59" s="6" t="s">
        <v>53</v>
      </c>
      <c r="C59" s="6" t="s">
        <v>113</v>
      </c>
      <c r="D59" s="24">
        <f>COUNTIFS('Scenario 2 Raw'!$B$6:$B$155,$B59,'Scenario 2 Raw'!$C$6:$C$155,"&lt;&gt;",'Scenario 2 Raw'!$Q$6:$Q$155,"Yes",'Scenario 2 Raw'!$K$6:$K$155,$C59)</f>
        <v>0</v>
      </c>
      <c r="E59" s="27">
        <f>IFERROR(D59/COUNTIFS('Scenario 2 Raw'!$B$6:$B$155,$B59,'Scenario 2 Raw'!$C$6:$C$155,"&lt;&gt;",'Scenario 2 Raw'!$Q$6:$Q$155,"Yes"),0)</f>
        <v>0</v>
      </c>
      <c r="F59" s="7"/>
    </row>
    <row r="60" spans="1:6" ht="16">
      <c r="A60" s="15" t="s">
        <v>62</v>
      </c>
      <c r="B60" s="6" t="s">
        <v>53</v>
      </c>
      <c r="C60" s="6" t="s">
        <v>114</v>
      </c>
      <c r="D60" s="24">
        <f>COUNTIFS('Scenario 2 Raw'!$B$6:$B$155,$B60,'Scenario 2 Raw'!$C$6:$C$155,"&lt;&gt;",'Scenario 2 Raw'!$Q$6:$Q$155,"Yes",'Scenario 2 Raw'!$K$6:$K$155,$C60)</f>
        <v>0</v>
      </c>
      <c r="E60" s="27">
        <f>IFERROR(D60/COUNTIFS('Scenario 2 Raw'!$B$6:$B$155,$B60,'Scenario 2 Raw'!$C$6:$C$155,"&lt;&gt;",'Scenario 2 Raw'!$Q$6:$Q$155,"Yes"),0)</f>
        <v>0</v>
      </c>
      <c r="F60" s="7"/>
    </row>
    <row r="61" spans="1:6" ht="16">
      <c r="A61" s="15" t="s">
        <v>62</v>
      </c>
      <c r="B61" s="6" t="s">
        <v>53</v>
      </c>
      <c r="C61" s="6" t="s">
        <v>115</v>
      </c>
      <c r="D61" s="24">
        <f>COUNTIFS('Scenario 2 Raw'!$B$6:$B$155,$B61,'Scenario 2 Raw'!$C$6:$C$155,"&lt;&gt;",'Scenario 2 Raw'!$Q$6:$Q$155,"Yes",'Scenario 2 Raw'!$K$6:$K$155,$C61)</f>
        <v>0</v>
      </c>
      <c r="E61" s="27">
        <f>IFERROR(D61/COUNTIFS('Scenario 2 Raw'!$B$6:$B$155,$B61,'Scenario 2 Raw'!$C$6:$C$155,"&lt;&gt;",'Scenario 2 Raw'!$Q$6:$Q$155,"Yes"),0)</f>
        <v>0</v>
      </c>
      <c r="F61" s="7"/>
    </row>
    <row r="62" spans="1:6" ht="16">
      <c r="A62" s="15" t="s">
        <v>62</v>
      </c>
      <c r="B62" s="6" t="s">
        <v>53</v>
      </c>
      <c r="C62" s="6" t="s">
        <v>92</v>
      </c>
      <c r="D62" s="24">
        <f>COUNTIFS('Scenario 2 Raw'!$B$6:$B$155,$B62,'Scenario 2 Raw'!$C$6:$C$155,"&lt;&gt;",'Scenario 2 Raw'!$Q$6:$Q$155,"Yes",'Scenario 2 Raw'!$K$6:$K$155,$C62)</f>
        <v>0</v>
      </c>
      <c r="E62" s="27">
        <f>IFERROR(D62/COUNTIFS('Scenario 2 Raw'!$B$6:$B$155,$B62,'Scenario 2 Raw'!$C$6:$C$155,"&lt;&gt;",'Scenario 2 Raw'!$Q$6:$Q$155,"Yes"),0)</f>
        <v>0</v>
      </c>
      <c r="F62" s="7"/>
    </row>
    <row r="63" spans="1:6" ht="16">
      <c r="A63" s="15" t="s">
        <v>62</v>
      </c>
      <c r="B63" s="6" t="s">
        <v>53</v>
      </c>
      <c r="C63" s="6" t="s">
        <v>116</v>
      </c>
      <c r="D63" s="24">
        <f>COUNTIFS('Scenario 2 Raw'!$B$6:$B$155,$B63,'Scenario 2 Raw'!$C$6:$C$155,"&lt;&gt;",'Scenario 2 Raw'!$Q$6:$Q$155,"Yes",'Scenario 2 Raw'!$K$6:$K$155,$C63)</f>
        <v>0</v>
      </c>
      <c r="E63" s="27">
        <f>IFERROR(D63/COUNTIFS('Scenario 2 Raw'!$B$6:$B$155,$B63,'Scenario 2 Raw'!$C$6:$C$155,"&lt;&gt;",'Scenario 2 Raw'!$Q$6:$Q$155,"Yes"),0)</f>
        <v>0</v>
      </c>
      <c r="F63" s="7"/>
    </row>
    <row r="64" spans="1:6" ht="16">
      <c r="A64" s="15" t="s">
        <v>62</v>
      </c>
      <c r="B64" s="6" t="s">
        <v>53</v>
      </c>
      <c r="C64" s="6" t="s">
        <v>117</v>
      </c>
      <c r="D64" s="24">
        <f>COUNTIFS('Scenario 2 Raw'!$B$6:$B$155,$B64,'Scenario 2 Raw'!$C$6:$C$155,"&lt;&gt;",'Scenario 2 Raw'!$Q$6:$Q$155,"Yes",'Scenario 2 Raw'!$K$6:$K$155,$C64)</f>
        <v>0</v>
      </c>
      <c r="E64" s="27">
        <f>IFERROR(D64/COUNTIFS('Scenario 2 Raw'!$B$6:$B$155,$B64,'Scenario 2 Raw'!$C$6:$C$155,"&lt;&gt;",'Scenario 2 Raw'!$Q$6:$Q$155,"Yes"),0)</f>
        <v>0</v>
      </c>
      <c r="F64" s="7"/>
    </row>
    <row r="65" spans="1:6" ht="16">
      <c r="A65" s="15" t="s">
        <v>62</v>
      </c>
      <c r="B65" s="6" t="s">
        <v>55</v>
      </c>
      <c r="C65" s="6" t="s">
        <v>113</v>
      </c>
      <c r="D65" s="24">
        <f>COUNTIFS('Scenario 2 Raw'!$B$6:$B$155,$B65,'Scenario 2 Raw'!$C$6:$C$155,"&lt;&gt;",'Scenario 2 Raw'!$Q$6:$Q$155,"Yes",'Scenario 2 Raw'!$K$6:$K$155,$C65)</f>
        <v>0</v>
      </c>
      <c r="E65" s="27">
        <f>IFERROR(D65/COUNTIFS('Scenario 2 Raw'!$B$6:$B$155,$B65,'Scenario 2 Raw'!$C$6:$C$155,"&lt;&gt;",'Scenario 2 Raw'!$Q$6:$Q$155,"Yes"),0)</f>
        <v>0</v>
      </c>
      <c r="F65" s="7"/>
    </row>
    <row r="66" spans="1:6" ht="16">
      <c r="A66" s="15" t="s">
        <v>62</v>
      </c>
      <c r="B66" s="6" t="s">
        <v>55</v>
      </c>
      <c r="C66" s="6" t="s">
        <v>114</v>
      </c>
      <c r="D66" s="24">
        <f>COUNTIFS('Scenario 2 Raw'!$B$6:$B$155,$B66,'Scenario 2 Raw'!$C$6:$C$155,"&lt;&gt;",'Scenario 2 Raw'!$Q$6:$Q$155,"Yes",'Scenario 2 Raw'!$K$6:$K$155,$C66)</f>
        <v>0</v>
      </c>
      <c r="E66" s="27">
        <f>IFERROR(D66/COUNTIFS('Scenario 2 Raw'!$B$6:$B$155,$B66,'Scenario 2 Raw'!$C$6:$C$155,"&lt;&gt;",'Scenario 2 Raw'!$Q$6:$Q$155,"Yes"),0)</f>
        <v>0</v>
      </c>
      <c r="F66" s="7"/>
    </row>
    <row r="67" spans="1:6" ht="16">
      <c r="A67" s="15" t="s">
        <v>62</v>
      </c>
      <c r="B67" s="6" t="s">
        <v>55</v>
      </c>
      <c r="C67" s="6" t="s">
        <v>115</v>
      </c>
      <c r="D67" s="24">
        <f>COUNTIFS('Scenario 2 Raw'!$B$6:$B$155,$B67,'Scenario 2 Raw'!$C$6:$C$155,"&lt;&gt;",'Scenario 2 Raw'!$Q$6:$Q$155,"Yes",'Scenario 2 Raw'!$K$6:$K$155,$C67)</f>
        <v>0</v>
      </c>
      <c r="E67" s="27">
        <f>IFERROR(D67/COUNTIFS('Scenario 2 Raw'!$B$6:$B$155,$B67,'Scenario 2 Raw'!$C$6:$C$155,"&lt;&gt;",'Scenario 2 Raw'!$Q$6:$Q$155,"Yes"),0)</f>
        <v>0</v>
      </c>
      <c r="F67" s="7"/>
    </row>
    <row r="68" spans="1:6" ht="16">
      <c r="A68" s="15" t="s">
        <v>62</v>
      </c>
      <c r="B68" s="6" t="s">
        <v>55</v>
      </c>
      <c r="C68" s="6" t="s">
        <v>92</v>
      </c>
      <c r="D68" s="24">
        <f>COUNTIFS('Scenario 2 Raw'!$B$6:$B$155,$B68,'Scenario 2 Raw'!$C$6:$C$155,"&lt;&gt;",'Scenario 2 Raw'!$Q$6:$Q$155,"Yes",'Scenario 2 Raw'!$K$6:$K$155,$C68)</f>
        <v>0</v>
      </c>
      <c r="E68" s="27">
        <f>IFERROR(D68/COUNTIFS('Scenario 2 Raw'!$B$6:$B$155,$B68,'Scenario 2 Raw'!$C$6:$C$155,"&lt;&gt;",'Scenario 2 Raw'!$Q$6:$Q$155,"Yes"),0)</f>
        <v>0</v>
      </c>
      <c r="F68" s="7"/>
    </row>
    <row r="69" spans="1:6" ht="16">
      <c r="A69" s="15" t="s">
        <v>62</v>
      </c>
      <c r="B69" s="6" t="s">
        <v>55</v>
      </c>
      <c r="C69" s="6" t="s">
        <v>116</v>
      </c>
      <c r="D69" s="24">
        <f>COUNTIFS('Scenario 2 Raw'!$B$6:$B$155,$B69,'Scenario 2 Raw'!$C$6:$C$155,"&lt;&gt;",'Scenario 2 Raw'!$Q$6:$Q$155,"Yes",'Scenario 2 Raw'!$K$6:$K$155,$C69)</f>
        <v>0</v>
      </c>
      <c r="E69" s="27">
        <f>IFERROR(D69/COUNTIFS('Scenario 2 Raw'!$B$6:$B$155,$B69,'Scenario 2 Raw'!$C$6:$C$155,"&lt;&gt;",'Scenario 2 Raw'!$Q$6:$Q$155,"Yes"),0)</f>
        <v>0</v>
      </c>
      <c r="F69" s="7"/>
    </row>
    <row r="70" spans="1:6" ht="16">
      <c r="A70" s="15" t="s">
        <v>62</v>
      </c>
      <c r="B70" s="6" t="s">
        <v>55</v>
      </c>
      <c r="C70" s="6" t="s">
        <v>117</v>
      </c>
      <c r="D70" s="24">
        <f>COUNTIFS('Scenario 2 Raw'!$B$6:$B$155,$B70,'Scenario 2 Raw'!$C$6:$C$155,"&lt;&gt;",'Scenario 2 Raw'!$Q$6:$Q$155,"Yes",'Scenario 2 Raw'!$K$6:$K$155,$C70)</f>
        <v>0</v>
      </c>
      <c r="E70" s="27">
        <f>IFERROR(D70/COUNTIFS('Scenario 2 Raw'!$B$6:$B$155,$B70,'Scenario 2 Raw'!$C$6:$C$155,"&lt;&gt;",'Scenario 2 Raw'!$Q$6:$Q$155,"Yes"),0)</f>
        <v>0</v>
      </c>
      <c r="F70" s="7"/>
    </row>
    <row r="71" spans="1:6" ht="16">
      <c r="A71" s="15" t="s">
        <v>62</v>
      </c>
      <c r="B71" s="6" t="s">
        <v>56</v>
      </c>
      <c r="C71" s="6" t="s">
        <v>113</v>
      </c>
      <c r="D71" s="24">
        <f>COUNTIFS('Scenario 2 Raw'!$B$6:$B$155,$B71,'Scenario 2 Raw'!$C$6:$C$155,"&lt;&gt;",'Scenario 2 Raw'!$Q$6:$Q$155,"Yes",'Scenario 2 Raw'!$K$6:$K$155,$C71)</f>
        <v>0</v>
      </c>
      <c r="E71" s="27">
        <f>IFERROR(D71/COUNTIFS('Scenario 2 Raw'!$B$6:$B$155,$B71,'Scenario 2 Raw'!$C$6:$C$155,"&lt;&gt;",'Scenario 2 Raw'!$Q$6:$Q$155,"Yes"),0)</f>
        <v>0</v>
      </c>
      <c r="F71" s="7"/>
    </row>
    <row r="72" spans="1:6" ht="16">
      <c r="A72" s="15" t="s">
        <v>62</v>
      </c>
      <c r="B72" s="6" t="s">
        <v>56</v>
      </c>
      <c r="C72" s="6" t="s">
        <v>114</v>
      </c>
      <c r="D72" s="24">
        <f>COUNTIFS('Scenario 2 Raw'!$B$6:$B$155,$B72,'Scenario 2 Raw'!$C$6:$C$155,"&lt;&gt;",'Scenario 2 Raw'!$Q$6:$Q$155,"Yes",'Scenario 2 Raw'!$K$6:$K$155,$C72)</f>
        <v>0</v>
      </c>
      <c r="E72" s="27">
        <f>IFERROR(D72/COUNTIFS('Scenario 2 Raw'!$B$6:$B$155,$B72,'Scenario 2 Raw'!$C$6:$C$155,"&lt;&gt;",'Scenario 2 Raw'!$Q$6:$Q$155,"Yes"),0)</f>
        <v>0</v>
      </c>
      <c r="F72" s="7"/>
    </row>
    <row r="73" spans="1:6" ht="16">
      <c r="A73" s="15" t="s">
        <v>62</v>
      </c>
      <c r="B73" s="6" t="s">
        <v>56</v>
      </c>
      <c r="C73" s="6" t="s">
        <v>115</v>
      </c>
      <c r="D73" s="24">
        <f>COUNTIFS('Scenario 2 Raw'!$B$6:$B$155,$B73,'Scenario 2 Raw'!$C$6:$C$155,"&lt;&gt;",'Scenario 2 Raw'!$Q$6:$Q$155,"Yes",'Scenario 2 Raw'!$K$6:$K$155,$C73)</f>
        <v>0</v>
      </c>
      <c r="E73" s="27">
        <f>IFERROR(D73/COUNTIFS('Scenario 2 Raw'!$B$6:$B$155,$B73,'Scenario 2 Raw'!$C$6:$C$155,"&lt;&gt;",'Scenario 2 Raw'!$Q$6:$Q$155,"Yes"),0)</f>
        <v>0</v>
      </c>
      <c r="F73" s="7"/>
    </row>
    <row r="74" spans="1:6" ht="16">
      <c r="A74" s="15" t="s">
        <v>62</v>
      </c>
      <c r="B74" s="6" t="s">
        <v>56</v>
      </c>
      <c r="C74" s="6" t="s">
        <v>92</v>
      </c>
      <c r="D74" s="24">
        <f>COUNTIFS('Scenario 2 Raw'!$B$6:$B$155,$B74,'Scenario 2 Raw'!$C$6:$C$155,"&lt;&gt;",'Scenario 2 Raw'!$Q$6:$Q$155,"Yes",'Scenario 2 Raw'!$K$6:$K$155,$C74)</f>
        <v>0</v>
      </c>
      <c r="E74" s="27">
        <f>IFERROR(D74/COUNTIFS('Scenario 2 Raw'!$B$6:$B$155,$B74,'Scenario 2 Raw'!$C$6:$C$155,"&lt;&gt;",'Scenario 2 Raw'!$Q$6:$Q$155,"Yes"),0)</f>
        <v>0</v>
      </c>
      <c r="F74" s="7"/>
    </row>
    <row r="75" spans="1:6" ht="16">
      <c r="A75" s="15" t="s">
        <v>62</v>
      </c>
      <c r="B75" s="6" t="s">
        <v>56</v>
      </c>
      <c r="C75" s="6" t="s">
        <v>116</v>
      </c>
      <c r="D75" s="24">
        <f>COUNTIFS('Scenario 2 Raw'!$B$6:$B$155,$B75,'Scenario 2 Raw'!$C$6:$C$155,"&lt;&gt;",'Scenario 2 Raw'!$Q$6:$Q$155,"Yes",'Scenario 2 Raw'!$K$6:$K$155,$C75)</f>
        <v>0</v>
      </c>
      <c r="E75" s="27">
        <f>IFERROR(D75/COUNTIFS('Scenario 2 Raw'!$B$6:$B$155,$B75,'Scenario 2 Raw'!$C$6:$C$155,"&lt;&gt;",'Scenario 2 Raw'!$Q$6:$Q$155,"Yes"),0)</f>
        <v>0</v>
      </c>
      <c r="F75" s="7"/>
    </row>
    <row r="76" spans="1:6" ht="16">
      <c r="A76" s="15" t="s">
        <v>62</v>
      </c>
      <c r="B76" s="6" t="s">
        <v>56</v>
      </c>
      <c r="C76" s="6" t="s">
        <v>117</v>
      </c>
      <c r="D76" s="24">
        <f>COUNTIFS('Scenario 2 Raw'!$B$6:$B$155,$B76,'Scenario 2 Raw'!$C$6:$C$155,"&lt;&gt;",'Scenario 2 Raw'!$Q$6:$Q$155,"Yes",'Scenario 2 Raw'!$K$6:$K$155,$C76)</f>
        <v>0</v>
      </c>
      <c r="E76" s="27">
        <f>IFERROR(D76/COUNTIFS('Scenario 2 Raw'!$B$6:$B$155,$B76,'Scenario 2 Raw'!$C$6:$C$155,"&lt;&gt;",'Scenario 2 Raw'!$Q$6:$Q$155,"Yes"),0)</f>
        <v>0</v>
      </c>
      <c r="F76" s="7"/>
    </row>
    <row r="77" spans="1:6" ht="16">
      <c r="A77" s="15" t="s">
        <v>62</v>
      </c>
      <c r="B77" s="6" t="s">
        <v>59</v>
      </c>
      <c r="C77" s="6" t="s">
        <v>113</v>
      </c>
      <c r="D77" s="24">
        <f>COUNTIFS('Scenario 2 Raw'!$B$6:$B$155,$B77,'Scenario 2 Raw'!$C$6:$C$155,"&lt;&gt;",'Scenario 2 Raw'!$Q$6:$Q$155,"Yes",'Scenario 2 Raw'!$K$6:$K$155,$C77)</f>
        <v>0</v>
      </c>
      <c r="E77" s="27">
        <f>IFERROR(D77/COUNTIFS('Scenario 2 Raw'!$B$6:$B$155,$B77,'Scenario 2 Raw'!$C$6:$C$155,"&lt;&gt;",'Scenario 2 Raw'!$Q$6:$Q$155,"Yes"),0)</f>
        <v>0</v>
      </c>
      <c r="F77" s="7"/>
    </row>
    <row r="78" spans="1:6" ht="16">
      <c r="A78" s="15" t="s">
        <v>62</v>
      </c>
      <c r="B78" s="6" t="s">
        <v>59</v>
      </c>
      <c r="C78" s="6" t="s">
        <v>114</v>
      </c>
      <c r="D78" s="24">
        <f>COUNTIFS('Scenario 2 Raw'!$B$6:$B$155,$B78,'Scenario 2 Raw'!$C$6:$C$155,"&lt;&gt;",'Scenario 2 Raw'!$Q$6:$Q$155,"Yes",'Scenario 2 Raw'!$K$6:$K$155,$C78)</f>
        <v>0</v>
      </c>
      <c r="E78" s="27">
        <f>IFERROR(D78/COUNTIFS('Scenario 2 Raw'!$B$6:$B$155,$B78,'Scenario 2 Raw'!$C$6:$C$155,"&lt;&gt;",'Scenario 2 Raw'!$Q$6:$Q$155,"Yes"),0)</f>
        <v>0</v>
      </c>
      <c r="F78" s="7"/>
    </row>
    <row r="79" spans="1:6" ht="16">
      <c r="A79" s="15" t="s">
        <v>62</v>
      </c>
      <c r="B79" s="6" t="s">
        <v>59</v>
      </c>
      <c r="C79" s="6" t="s">
        <v>115</v>
      </c>
      <c r="D79" s="24">
        <f>COUNTIFS('Scenario 2 Raw'!$B$6:$B$155,$B79,'Scenario 2 Raw'!$C$6:$C$155,"&lt;&gt;",'Scenario 2 Raw'!$Q$6:$Q$155,"Yes",'Scenario 2 Raw'!$K$6:$K$155,$C79)</f>
        <v>0</v>
      </c>
      <c r="E79" s="27">
        <f>IFERROR(D79/COUNTIFS('Scenario 2 Raw'!$B$6:$B$155,$B79,'Scenario 2 Raw'!$C$6:$C$155,"&lt;&gt;",'Scenario 2 Raw'!$Q$6:$Q$155,"Yes"),0)</f>
        <v>0</v>
      </c>
      <c r="F79" s="7"/>
    </row>
    <row r="80" spans="1:6" ht="16">
      <c r="A80" s="15" t="s">
        <v>62</v>
      </c>
      <c r="B80" s="6" t="s">
        <v>59</v>
      </c>
      <c r="C80" s="6" t="s">
        <v>92</v>
      </c>
      <c r="D80" s="24">
        <f>COUNTIFS('Scenario 2 Raw'!$B$6:$B$155,$B80,'Scenario 2 Raw'!$C$6:$C$155,"&lt;&gt;",'Scenario 2 Raw'!$Q$6:$Q$155,"Yes",'Scenario 2 Raw'!$K$6:$K$155,$C80)</f>
        <v>0</v>
      </c>
      <c r="E80" s="27">
        <f>IFERROR(D80/COUNTIFS('Scenario 2 Raw'!$B$6:$B$155,$B80,'Scenario 2 Raw'!$C$6:$C$155,"&lt;&gt;",'Scenario 2 Raw'!$Q$6:$Q$155,"Yes"),0)</f>
        <v>0</v>
      </c>
      <c r="F80" s="7"/>
    </row>
    <row r="81" spans="1:6" ht="16">
      <c r="A81" s="15" t="s">
        <v>62</v>
      </c>
      <c r="B81" s="6" t="s">
        <v>59</v>
      </c>
      <c r="C81" s="6" t="s">
        <v>116</v>
      </c>
      <c r="D81" s="24">
        <f>COUNTIFS('Scenario 2 Raw'!$B$6:$B$155,$B81,'Scenario 2 Raw'!$C$6:$C$155,"&lt;&gt;",'Scenario 2 Raw'!$Q$6:$Q$155,"Yes",'Scenario 2 Raw'!$K$6:$K$155,$C81)</f>
        <v>0</v>
      </c>
      <c r="E81" s="27">
        <f>IFERROR(D81/COUNTIFS('Scenario 2 Raw'!$B$6:$B$155,$B81,'Scenario 2 Raw'!$C$6:$C$155,"&lt;&gt;",'Scenario 2 Raw'!$Q$6:$Q$155,"Yes"),0)</f>
        <v>0</v>
      </c>
      <c r="F81" s="7"/>
    </row>
    <row r="82" spans="1:6" ht="16">
      <c r="A82" s="15" t="s">
        <v>62</v>
      </c>
      <c r="B82" s="6" t="s">
        <v>59</v>
      </c>
      <c r="C82" s="6" t="s">
        <v>117</v>
      </c>
      <c r="D82" s="24">
        <f>COUNTIFS('Scenario 2 Raw'!$B$6:$B$155,$B82,'Scenario 2 Raw'!$C$6:$C$155,"&lt;&gt;",'Scenario 2 Raw'!$Q$6:$Q$155,"Yes",'Scenario 2 Raw'!$K$6:$K$155,$C82)</f>
        <v>0</v>
      </c>
      <c r="E82" s="27">
        <f>IFERROR(D82/COUNTIFS('Scenario 2 Raw'!$B$6:$B$155,$B82,'Scenario 2 Raw'!$C$6:$C$155,"&lt;&gt;",'Scenario 2 Raw'!$Q$6:$Q$155,"Yes"),0)</f>
        <v>0</v>
      </c>
      <c r="F82" s="7"/>
    </row>
    <row r="83" spans="1:6" ht="16">
      <c r="A83" s="15" t="s">
        <v>62</v>
      </c>
      <c r="B83" s="6" t="s">
        <v>61</v>
      </c>
      <c r="C83" s="6" t="s">
        <v>113</v>
      </c>
      <c r="D83" s="24">
        <f>COUNTIFS('Scenario 2 Raw'!$B$6:$B$155,$B83,'Scenario 2 Raw'!$C$6:$C$155,"&lt;&gt;",'Scenario 2 Raw'!$Q$6:$Q$155,"Yes",'Scenario 2 Raw'!$K$6:$K$155,$C83)</f>
        <v>0</v>
      </c>
      <c r="E83" s="27">
        <f>IFERROR(D83/COUNTIFS('Scenario 2 Raw'!$B$6:$B$155,$B83,'Scenario 2 Raw'!$C$6:$C$155,"&lt;&gt;",'Scenario 2 Raw'!$Q$6:$Q$155,"Yes"),0)</f>
        <v>0</v>
      </c>
      <c r="F83" s="7"/>
    </row>
    <row r="84" spans="1:6" ht="16">
      <c r="A84" s="15" t="s">
        <v>62</v>
      </c>
      <c r="B84" s="6" t="s">
        <v>61</v>
      </c>
      <c r="C84" s="6" t="s">
        <v>114</v>
      </c>
      <c r="D84" s="24">
        <f>COUNTIFS('Scenario 2 Raw'!$B$6:$B$155,$B84,'Scenario 2 Raw'!$C$6:$C$155,"&lt;&gt;",'Scenario 2 Raw'!$Q$6:$Q$155,"Yes",'Scenario 2 Raw'!$K$6:$K$155,$C84)</f>
        <v>0</v>
      </c>
      <c r="E84" s="27">
        <f>IFERROR(D84/COUNTIFS('Scenario 2 Raw'!$B$6:$B$155,$B84,'Scenario 2 Raw'!$C$6:$C$155,"&lt;&gt;",'Scenario 2 Raw'!$Q$6:$Q$155,"Yes"),0)</f>
        <v>0</v>
      </c>
      <c r="F84" s="7"/>
    </row>
    <row r="85" spans="1:6" ht="16">
      <c r="A85" s="15" t="s">
        <v>62</v>
      </c>
      <c r="B85" s="6" t="s">
        <v>61</v>
      </c>
      <c r="C85" s="6" t="s">
        <v>115</v>
      </c>
      <c r="D85" s="24">
        <f>COUNTIFS('Scenario 2 Raw'!$B$6:$B$155,$B85,'Scenario 2 Raw'!$C$6:$C$155,"&lt;&gt;",'Scenario 2 Raw'!$Q$6:$Q$155,"Yes",'Scenario 2 Raw'!$K$6:$K$155,$C85)</f>
        <v>0</v>
      </c>
      <c r="E85" s="27">
        <f>IFERROR(D85/COUNTIFS('Scenario 2 Raw'!$B$6:$B$155,$B85,'Scenario 2 Raw'!$C$6:$C$155,"&lt;&gt;",'Scenario 2 Raw'!$Q$6:$Q$155,"Yes"),0)</f>
        <v>0</v>
      </c>
      <c r="F85" s="7"/>
    </row>
    <row r="86" spans="1:6" ht="16">
      <c r="A86" s="15" t="s">
        <v>62</v>
      </c>
      <c r="B86" s="6" t="s">
        <v>61</v>
      </c>
      <c r="C86" s="6" t="s">
        <v>92</v>
      </c>
      <c r="D86" s="24">
        <f>COUNTIFS('Scenario 2 Raw'!$B$6:$B$155,$B86,'Scenario 2 Raw'!$C$6:$C$155,"&lt;&gt;",'Scenario 2 Raw'!$Q$6:$Q$155,"Yes",'Scenario 2 Raw'!$K$6:$K$155,$C86)</f>
        <v>0</v>
      </c>
      <c r="E86" s="27">
        <f>IFERROR(D86/COUNTIFS('Scenario 2 Raw'!$B$6:$B$155,$B86,'Scenario 2 Raw'!$C$6:$C$155,"&lt;&gt;",'Scenario 2 Raw'!$Q$6:$Q$155,"Yes"),0)</f>
        <v>0</v>
      </c>
      <c r="F86" s="7"/>
    </row>
    <row r="87" spans="1:6" ht="16">
      <c r="A87" s="15" t="s">
        <v>62</v>
      </c>
      <c r="B87" s="6" t="s">
        <v>61</v>
      </c>
      <c r="C87" s="6" t="s">
        <v>116</v>
      </c>
      <c r="D87" s="24">
        <f>COUNTIFS('Scenario 2 Raw'!$B$6:$B$155,$B87,'Scenario 2 Raw'!$C$6:$C$155,"&lt;&gt;",'Scenario 2 Raw'!$Q$6:$Q$155,"Yes",'Scenario 2 Raw'!$K$6:$K$155,$C87)</f>
        <v>0</v>
      </c>
      <c r="E87" s="27">
        <f>IFERROR(D87/COUNTIFS('Scenario 2 Raw'!$B$6:$B$155,$B87,'Scenario 2 Raw'!$C$6:$C$155,"&lt;&gt;",'Scenario 2 Raw'!$Q$6:$Q$155,"Yes"),0)</f>
        <v>0</v>
      </c>
      <c r="F87" s="7"/>
    </row>
    <row r="88" spans="1:6" ht="16">
      <c r="A88" s="15" t="s">
        <v>62</v>
      </c>
      <c r="B88" s="6" t="s">
        <v>61</v>
      </c>
      <c r="C88" s="6" t="s">
        <v>117</v>
      </c>
      <c r="D88" s="24">
        <f>COUNTIFS('Scenario 2 Raw'!$B$6:$B$155,$B88,'Scenario 2 Raw'!$C$6:$C$155,"&lt;&gt;",'Scenario 2 Raw'!$Q$6:$Q$155,"Yes",'Scenario 2 Raw'!$K$6:$K$155,$C88)</f>
        <v>0</v>
      </c>
      <c r="E88" s="27">
        <f>IFERROR(D88/COUNTIFS('Scenario 2 Raw'!$B$6:$B$155,$B88,'Scenario 2 Raw'!$C$6:$C$155,"&lt;&gt;",'Scenario 2 Raw'!$Q$6:$Q$155,"Yes"),0)</f>
        <v>0</v>
      </c>
      <c r="F88" s="7"/>
    </row>
    <row r="89" spans="1:6" ht="16">
      <c r="A89" s="15" t="s">
        <v>63</v>
      </c>
      <c r="B89" s="6" t="s">
        <v>48</v>
      </c>
      <c r="C89" s="6" t="s">
        <v>113</v>
      </c>
      <c r="D89" s="24">
        <f>COUNTIFS('Scenario 3 Raw'!$B$6:$B$155,$B89,'Scenario 3 Raw'!$C$6:$C$155,"&lt;&gt;",'Scenario 3 Raw'!$Q$6:$Q$155,"Yes",'Scenario 3 Raw'!$K$6:$K$155,$C89)</f>
        <v>0</v>
      </c>
      <c r="E89" s="27">
        <f>IFERROR(D89/COUNTIFS('Scenario 3 Raw'!$B$6:$B$155,$B89,'Scenario 3 Raw'!$C$6:$C$155,"&lt;&gt;",'Scenario 3 Raw'!$Q$6:$Q$155,"Yes"),0)</f>
        <v>0</v>
      </c>
      <c r="F89" s="7"/>
    </row>
    <row r="90" spans="1:6" ht="16">
      <c r="A90" s="15" t="s">
        <v>63</v>
      </c>
      <c r="B90" s="6" t="s">
        <v>48</v>
      </c>
      <c r="C90" s="6" t="s">
        <v>114</v>
      </c>
      <c r="D90" s="24">
        <f>COUNTIFS('Scenario 3 Raw'!$B$6:$B$155,$B90,'Scenario 3 Raw'!$C$6:$C$155,"&lt;&gt;",'Scenario 3 Raw'!$Q$6:$Q$155,"Yes",'Scenario 3 Raw'!$K$6:$K$155,$C90)</f>
        <v>0</v>
      </c>
      <c r="E90" s="27">
        <f>IFERROR(D90/COUNTIFS('Scenario 3 Raw'!$B$6:$B$155,$B90,'Scenario 3 Raw'!$C$6:$C$155,"&lt;&gt;",'Scenario 3 Raw'!$Q$6:$Q$155,"Yes"),0)</f>
        <v>0</v>
      </c>
      <c r="F90" s="7"/>
    </row>
    <row r="91" spans="1:6" ht="16">
      <c r="A91" s="15" t="s">
        <v>63</v>
      </c>
      <c r="B91" s="6" t="s">
        <v>48</v>
      </c>
      <c r="C91" s="6" t="s">
        <v>115</v>
      </c>
      <c r="D91" s="24">
        <f>COUNTIFS('Scenario 3 Raw'!$B$6:$B$155,$B91,'Scenario 3 Raw'!$C$6:$C$155,"&lt;&gt;",'Scenario 3 Raw'!$Q$6:$Q$155,"Yes",'Scenario 3 Raw'!$K$6:$K$155,$C91)</f>
        <v>0</v>
      </c>
      <c r="E91" s="27">
        <f>IFERROR(D91/COUNTIFS('Scenario 3 Raw'!$B$6:$B$155,$B91,'Scenario 3 Raw'!$C$6:$C$155,"&lt;&gt;",'Scenario 3 Raw'!$Q$6:$Q$155,"Yes"),0)</f>
        <v>0</v>
      </c>
      <c r="F91" s="7"/>
    </row>
    <row r="92" spans="1:6" ht="16">
      <c r="A92" s="15" t="s">
        <v>63</v>
      </c>
      <c r="B92" s="6" t="s">
        <v>48</v>
      </c>
      <c r="C92" s="6" t="s">
        <v>92</v>
      </c>
      <c r="D92" s="24">
        <f>COUNTIFS('Scenario 3 Raw'!$B$6:$B$155,$B92,'Scenario 3 Raw'!$C$6:$C$155,"&lt;&gt;",'Scenario 3 Raw'!$Q$6:$Q$155,"Yes",'Scenario 3 Raw'!$K$6:$K$155,$C92)</f>
        <v>0</v>
      </c>
      <c r="E92" s="27">
        <f>IFERROR(D92/COUNTIFS('Scenario 3 Raw'!$B$6:$B$155,$B92,'Scenario 3 Raw'!$C$6:$C$155,"&lt;&gt;",'Scenario 3 Raw'!$Q$6:$Q$155,"Yes"),0)</f>
        <v>0</v>
      </c>
      <c r="F92" s="7"/>
    </row>
    <row r="93" spans="1:6" ht="16">
      <c r="A93" s="15" t="s">
        <v>63</v>
      </c>
      <c r="B93" s="6" t="s">
        <v>48</v>
      </c>
      <c r="C93" s="6" t="s">
        <v>116</v>
      </c>
      <c r="D93" s="24">
        <f>COUNTIFS('Scenario 3 Raw'!$B$6:$B$155,$B93,'Scenario 3 Raw'!$C$6:$C$155,"&lt;&gt;",'Scenario 3 Raw'!$Q$6:$Q$155,"Yes",'Scenario 3 Raw'!$K$6:$K$155,$C93)</f>
        <v>0</v>
      </c>
      <c r="E93" s="27">
        <f>IFERROR(D93/COUNTIFS('Scenario 3 Raw'!$B$6:$B$155,$B93,'Scenario 3 Raw'!$C$6:$C$155,"&lt;&gt;",'Scenario 3 Raw'!$Q$6:$Q$155,"Yes"),0)</f>
        <v>0</v>
      </c>
      <c r="F93" s="7"/>
    </row>
    <row r="94" spans="1:6" ht="16">
      <c r="A94" s="15" t="s">
        <v>63</v>
      </c>
      <c r="B94" s="6" t="s">
        <v>48</v>
      </c>
      <c r="C94" s="6" t="s">
        <v>117</v>
      </c>
      <c r="D94" s="24">
        <f>COUNTIFS('Scenario 3 Raw'!$B$6:$B$155,$B94,'Scenario 3 Raw'!$C$6:$C$155,"&lt;&gt;",'Scenario 3 Raw'!$Q$6:$Q$155,"Yes",'Scenario 3 Raw'!$K$6:$K$155,$C94)</f>
        <v>0</v>
      </c>
      <c r="E94" s="27">
        <f>IFERROR(D94/COUNTIFS('Scenario 3 Raw'!$B$6:$B$155,$B94,'Scenario 3 Raw'!$C$6:$C$155,"&lt;&gt;",'Scenario 3 Raw'!$Q$6:$Q$155,"Yes"),0)</f>
        <v>0</v>
      </c>
      <c r="F94" s="7"/>
    </row>
    <row r="95" spans="1:6" ht="16">
      <c r="A95" s="15" t="s">
        <v>63</v>
      </c>
      <c r="B95" s="6" t="s">
        <v>51</v>
      </c>
      <c r="C95" s="6" t="s">
        <v>113</v>
      </c>
      <c r="D95" s="24">
        <f>COUNTIFS('Scenario 3 Raw'!$B$6:$B$155,$B95,'Scenario 3 Raw'!$C$6:$C$155,"&lt;&gt;",'Scenario 3 Raw'!$Q$6:$Q$155,"Yes",'Scenario 3 Raw'!$K$6:$K$155,$C95)</f>
        <v>0</v>
      </c>
      <c r="E95" s="27">
        <f>IFERROR(D95/COUNTIFS('Scenario 3 Raw'!$B$6:$B$155,$B95,'Scenario 3 Raw'!$C$6:$C$155,"&lt;&gt;",'Scenario 3 Raw'!$Q$6:$Q$155,"Yes"),0)</f>
        <v>0</v>
      </c>
      <c r="F95" s="7"/>
    </row>
    <row r="96" spans="1:6" ht="16">
      <c r="A96" s="15" t="s">
        <v>63</v>
      </c>
      <c r="B96" s="6" t="s">
        <v>51</v>
      </c>
      <c r="C96" s="6" t="s">
        <v>114</v>
      </c>
      <c r="D96" s="24">
        <f>COUNTIFS('Scenario 3 Raw'!$B$6:$B$155,$B96,'Scenario 3 Raw'!$C$6:$C$155,"&lt;&gt;",'Scenario 3 Raw'!$Q$6:$Q$155,"Yes",'Scenario 3 Raw'!$K$6:$K$155,$C96)</f>
        <v>0</v>
      </c>
      <c r="E96" s="27">
        <f>IFERROR(D96/COUNTIFS('Scenario 3 Raw'!$B$6:$B$155,$B96,'Scenario 3 Raw'!$C$6:$C$155,"&lt;&gt;",'Scenario 3 Raw'!$Q$6:$Q$155,"Yes"),0)</f>
        <v>0</v>
      </c>
      <c r="F96" s="7"/>
    </row>
    <row r="97" spans="1:6" ht="16">
      <c r="A97" s="15" t="s">
        <v>63</v>
      </c>
      <c r="B97" s="6" t="s">
        <v>51</v>
      </c>
      <c r="C97" s="6" t="s">
        <v>115</v>
      </c>
      <c r="D97" s="24">
        <f>COUNTIFS('Scenario 3 Raw'!$B$6:$B$155,$B97,'Scenario 3 Raw'!$C$6:$C$155,"&lt;&gt;",'Scenario 3 Raw'!$Q$6:$Q$155,"Yes",'Scenario 3 Raw'!$K$6:$K$155,$C97)</f>
        <v>0</v>
      </c>
      <c r="E97" s="27">
        <f>IFERROR(D97/COUNTIFS('Scenario 3 Raw'!$B$6:$B$155,$B97,'Scenario 3 Raw'!$C$6:$C$155,"&lt;&gt;",'Scenario 3 Raw'!$Q$6:$Q$155,"Yes"),0)</f>
        <v>0</v>
      </c>
      <c r="F97" s="7"/>
    </row>
    <row r="98" spans="1:6" ht="16">
      <c r="A98" s="15" t="s">
        <v>63</v>
      </c>
      <c r="B98" s="6" t="s">
        <v>51</v>
      </c>
      <c r="C98" s="6" t="s">
        <v>92</v>
      </c>
      <c r="D98" s="24">
        <f>COUNTIFS('Scenario 3 Raw'!$B$6:$B$155,$B98,'Scenario 3 Raw'!$C$6:$C$155,"&lt;&gt;",'Scenario 3 Raw'!$Q$6:$Q$155,"Yes",'Scenario 3 Raw'!$K$6:$K$155,$C98)</f>
        <v>0</v>
      </c>
      <c r="E98" s="27">
        <f>IFERROR(D98/COUNTIFS('Scenario 3 Raw'!$B$6:$B$155,$B98,'Scenario 3 Raw'!$C$6:$C$155,"&lt;&gt;",'Scenario 3 Raw'!$Q$6:$Q$155,"Yes"),0)</f>
        <v>0</v>
      </c>
      <c r="F98" s="7"/>
    </row>
    <row r="99" spans="1:6" ht="16">
      <c r="A99" s="15" t="s">
        <v>63</v>
      </c>
      <c r="B99" s="6" t="s">
        <v>51</v>
      </c>
      <c r="C99" s="6" t="s">
        <v>116</v>
      </c>
      <c r="D99" s="24">
        <f>COUNTIFS('Scenario 3 Raw'!$B$6:$B$155,$B99,'Scenario 3 Raw'!$C$6:$C$155,"&lt;&gt;",'Scenario 3 Raw'!$Q$6:$Q$155,"Yes",'Scenario 3 Raw'!$K$6:$K$155,$C99)</f>
        <v>0</v>
      </c>
      <c r="E99" s="27">
        <f>IFERROR(D99/COUNTIFS('Scenario 3 Raw'!$B$6:$B$155,$B99,'Scenario 3 Raw'!$C$6:$C$155,"&lt;&gt;",'Scenario 3 Raw'!$Q$6:$Q$155,"Yes"),0)</f>
        <v>0</v>
      </c>
      <c r="F99" s="7"/>
    </row>
    <row r="100" spans="1:6" ht="16">
      <c r="A100" s="15" t="s">
        <v>63</v>
      </c>
      <c r="B100" s="6" t="s">
        <v>51</v>
      </c>
      <c r="C100" s="6" t="s">
        <v>117</v>
      </c>
      <c r="D100" s="24">
        <f>COUNTIFS('Scenario 3 Raw'!$B$6:$B$155,$B100,'Scenario 3 Raw'!$C$6:$C$155,"&lt;&gt;",'Scenario 3 Raw'!$Q$6:$Q$155,"Yes",'Scenario 3 Raw'!$K$6:$K$155,$C100)</f>
        <v>0</v>
      </c>
      <c r="E100" s="27">
        <f>IFERROR(D100/COUNTIFS('Scenario 3 Raw'!$B$6:$B$155,$B100,'Scenario 3 Raw'!$C$6:$C$155,"&lt;&gt;",'Scenario 3 Raw'!$Q$6:$Q$155,"Yes"),0)</f>
        <v>0</v>
      </c>
      <c r="F100" s="7"/>
    </row>
    <row r="101" spans="1:6" ht="16">
      <c r="A101" s="15" t="s">
        <v>63</v>
      </c>
      <c r="B101" s="6" t="s">
        <v>53</v>
      </c>
      <c r="C101" s="6" t="s">
        <v>113</v>
      </c>
      <c r="D101" s="24">
        <f>COUNTIFS('Scenario 3 Raw'!$B$6:$B$155,$B101,'Scenario 3 Raw'!$C$6:$C$155,"&lt;&gt;",'Scenario 3 Raw'!$Q$6:$Q$155,"Yes",'Scenario 3 Raw'!$K$6:$K$155,$C101)</f>
        <v>0</v>
      </c>
      <c r="E101" s="27">
        <f>IFERROR(D101/COUNTIFS('Scenario 3 Raw'!$B$6:$B$155,$B101,'Scenario 3 Raw'!$C$6:$C$155,"&lt;&gt;",'Scenario 3 Raw'!$Q$6:$Q$155,"Yes"),0)</f>
        <v>0</v>
      </c>
      <c r="F101" s="7"/>
    </row>
    <row r="102" spans="1:6" ht="16">
      <c r="A102" s="15" t="s">
        <v>63</v>
      </c>
      <c r="B102" s="6" t="s">
        <v>53</v>
      </c>
      <c r="C102" s="6" t="s">
        <v>114</v>
      </c>
      <c r="D102" s="24">
        <f>COUNTIFS('Scenario 3 Raw'!$B$6:$B$155,$B102,'Scenario 3 Raw'!$C$6:$C$155,"&lt;&gt;",'Scenario 3 Raw'!$Q$6:$Q$155,"Yes",'Scenario 3 Raw'!$K$6:$K$155,$C102)</f>
        <v>0</v>
      </c>
      <c r="E102" s="27">
        <f>IFERROR(D102/COUNTIFS('Scenario 3 Raw'!$B$6:$B$155,$B102,'Scenario 3 Raw'!$C$6:$C$155,"&lt;&gt;",'Scenario 3 Raw'!$Q$6:$Q$155,"Yes"),0)</f>
        <v>0</v>
      </c>
      <c r="F102" s="7"/>
    </row>
    <row r="103" spans="1:6" ht="16">
      <c r="A103" s="15" t="s">
        <v>63</v>
      </c>
      <c r="B103" s="6" t="s">
        <v>53</v>
      </c>
      <c r="C103" s="6" t="s">
        <v>115</v>
      </c>
      <c r="D103" s="24">
        <f>COUNTIFS('Scenario 3 Raw'!$B$6:$B$155,$B103,'Scenario 3 Raw'!$C$6:$C$155,"&lt;&gt;",'Scenario 3 Raw'!$Q$6:$Q$155,"Yes",'Scenario 3 Raw'!$K$6:$K$155,$C103)</f>
        <v>0</v>
      </c>
      <c r="E103" s="27">
        <f>IFERROR(D103/COUNTIFS('Scenario 3 Raw'!$B$6:$B$155,$B103,'Scenario 3 Raw'!$C$6:$C$155,"&lt;&gt;",'Scenario 3 Raw'!$Q$6:$Q$155,"Yes"),0)</f>
        <v>0</v>
      </c>
      <c r="F103" s="7"/>
    </row>
    <row r="104" spans="1:6" ht="16">
      <c r="A104" s="15" t="s">
        <v>63</v>
      </c>
      <c r="B104" s="6" t="s">
        <v>53</v>
      </c>
      <c r="C104" s="6" t="s">
        <v>92</v>
      </c>
      <c r="D104" s="24">
        <f>COUNTIFS('Scenario 3 Raw'!$B$6:$B$155,$B104,'Scenario 3 Raw'!$C$6:$C$155,"&lt;&gt;",'Scenario 3 Raw'!$Q$6:$Q$155,"Yes",'Scenario 3 Raw'!$K$6:$K$155,$C104)</f>
        <v>0</v>
      </c>
      <c r="E104" s="27">
        <f>IFERROR(D104/COUNTIFS('Scenario 3 Raw'!$B$6:$B$155,$B104,'Scenario 3 Raw'!$C$6:$C$155,"&lt;&gt;",'Scenario 3 Raw'!$Q$6:$Q$155,"Yes"),0)</f>
        <v>0</v>
      </c>
      <c r="F104" s="7"/>
    </row>
    <row r="105" spans="1:6" ht="16">
      <c r="A105" s="15" t="s">
        <v>63</v>
      </c>
      <c r="B105" s="6" t="s">
        <v>53</v>
      </c>
      <c r="C105" s="6" t="s">
        <v>116</v>
      </c>
      <c r="D105" s="24">
        <f>COUNTIFS('Scenario 3 Raw'!$B$6:$B$155,$B105,'Scenario 3 Raw'!$C$6:$C$155,"&lt;&gt;",'Scenario 3 Raw'!$Q$6:$Q$155,"Yes",'Scenario 3 Raw'!$K$6:$K$155,$C105)</f>
        <v>0</v>
      </c>
      <c r="E105" s="27">
        <f>IFERROR(D105/COUNTIFS('Scenario 3 Raw'!$B$6:$B$155,$B105,'Scenario 3 Raw'!$C$6:$C$155,"&lt;&gt;",'Scenario 3 Raw'!$Q$6:$Q$155,"Yes"),0)</f>
        <v>0</v>
      </c>
      <c r="F105" s="7"/>
    </row>
    <row r="106" spans="1:6" ht="16">
      <c r="A106" s="15" t="s">
        <v>63</v>
      </c>
      <c r="B106" s="6" t="s">
        <v>53</v>
      </c>
      <c r="C106" s="6" t="s">
        <v>117</v>
      </c>
      <c r="D106" s="24">
        <f>COUNTIFS('Scenario 3 Raw'!$B$6:$B$155,$B106,'Scenario 3 Raw'!$C$6:$C$155,"&lt;&gt;",'Scenario 3 Raw'!$Q$6:$Q$155,"Yes",'Scenario 3 Raw'!$K$6:$K$155,$C106)</f>
        <v>0</v>
      </c>
      <c r="E106" s="27">
        <f>IFERROR(D106/COUNTIFS('Scenario 3 Raw'!$B$6:$B$155,$B106,'Scenario 3 Raw'!$C$6:$C$155,"&lt;&gt;",'Scenario 3 Raw'!$Q$6:$Q$155,"Yes"),0)</f>
        <v>0</v>
      </c>
      <c r="F106" s="7"/>
    </row>
    <row r="107" spans="1:6" ht="16">
      <c r="A107" s="15" t="s">
        <v>63</v>
      </c>
      <c r="B107" s="6" t="s">
        <v>55</v>
      </c>
      <c r="C107" s="6" t="s">
        <v>113</v>
      </c>
      <c r="D107" s="24">
        <f>COUNTIFS('Scenario 3 Raw'!$B$6:$B$155,$B107,'Scenario 3 Raw'!$C$6:$C$155,"&lt;&gt;",'Scenario 3 Raw'!$Q$6:$Q$155,"Yes",'Scenario 3 Raw'!$K$6:$K$155,$C107)</f>
        <v>0</v>
      </c>
      <c r="E107" s="27">
        <f>IFERROR(D107/COUNTIFS('Scenario 3 Raw'!$B$6:$B$155,$B107,'Scenario 3 Raw'!$C$6:$C$155,"&lt;&gt;",'Scenario 3 Raw'!$Q$6:$Q$155,"Yes"),0)</f>
        <v>0</v>
      </c>
      <c r="F107" s="7"/>
    </row>
    <row r="108" spans="1:6" ht="16">
      <c r="A108" s="15" t="s">
        <v>63</v>
      </c>
      <c r="B108" s="6" t="s">
        <v>55</v>
      </c>
      <c r="C108" s="6" t="s">
        <v>114</v>
      </c>
      <c r="D108" s="24">
        <f>COUNTIFS('Scenario 3 Raw'!$B$6:$B$155,$B108,'Scenario 3 Raw'!$C$6:$C$155,"&lt;&gt;",'Scenario 3 Raw'!$Q$6:$Q$155,"Yes",'Scenario 3 Raw'!$K$6:$K$155,$C108)</f>
        <v>0</v>
      </c>
      <c r="E108" s="27">
        <f>IFERROR(D108/COUNTIFS('Scenario 3 Raw'!$B$6:$B$155,$B108,'Scenario 3 Raw'!$C$6:$C$155,"&lt;&gt;",'Scenario 3 Raw'!$Q$6:$Q$155,"Yes"),0)</f>
        <v>0</v>
      </c>
      <c r="F108" s="7"/>
    </row>
    <row r="109" spans="1:6" ht="16">
      <c r="A109" s="15" t="s">
        <v>63</v>
      </c>
      <c r="B109" s="6" t="s">
        <v>55</v>
      </c>
      <c r="C109" s="6" t="s">
        <v>115</v>
      </c>
      <c r="D109" s="24">
        <f>COUNTIFS('Scenario 3 Raw'!$B$6:$B$155,$B109,'Scenario 3 Raw'!$C$6:$C$155,"&lt;&gt;",'Scenario 3 Raw'!$Q$6:$Q$155,"Yes",'Scenario 3 Raw'!$K$6:$K$155,$C109)</f>
        <v>0</v>
      </c>
      <c r="E109" s="27">
        <f>IFERROR(D109/COUNTIFS('Scenario 3 Raw'!$B$6:$B$155,$B109,'Scenario 3 Raw'!$C$6:$C$155,"&lt;&gt;",'Scenario 3 Raw'!$Q$6:$Q$155,"Yes"),0)</f>
        <v>0</v>
      </c>
      <c r="F109" s="7"/>
    </row>
    <row r="110" spans="1:6" ht="16">
      <c r="A110" s="15" t="s">
        <v>63</v>
      </c>
      <c r="B110" s="6" t="s">
        <v>55</v>
      </c>
      <c r="C110" s="6" t="s">
        <v>92</v>
      </c>
      <c r="D110" s="24">
        <f>COUNTIFS('Scenario 3 Raw'!$B$6:$B$155,$B110,'Scenario 3 Raw'!$C$6:$C$155,"&lt;&gt;",'Scenario 3 Raw'!$Q$6:$Q$155,"Yes",'Scenario 3 Raw'!$K$6:$K$155,$C110)</f>
        <v>0</v>
      </c>
      <c r="E110" s="27">
        <f>IFERROR(D110/COUNTIFS('Scenario 3 Raw'!$B$6:$B$155,$B110,'Scenario 3 Raw'!$C$6:$C$155,"&lt;&gt;",'Scenario 3 Raw'!$Q$6:$Q$155,"Yes"),0)</f>
        <v>0</v>
      </c>
      <c r="F110" s="7"/>
    </row>
    <row r="111" spans="1:6" ht="16">
      <c r="A111" s="15" t="s">
        <v>63</v>
      </c>
      <c r="B111" s="6" t="s">
        <v>55</v>
      </c>
      <c r="C111" s="6" t="s">
        <v>116</v>
      </c>
      <c r="D111" s="24">
        <f>COUNTIFS('Scenario 3 Raw'!$B$6:$B$155,$B111,'Scenario 3 Raw'!$C$6:$C$155,"&lt;&gt;",'Scenario 3 Raw'!$Q$6:$Q$155,"Yes",'Scenario 3 Raw'!$K$6:$K$155,$C111)</f>
        <v>0</v>
      </c>
      <c r="E111" s="27">
        <f>IFERROR(D111/COUNTIFS('Scenario 3 Raw'!$B$6:$B$155,$B111,'Scenario 3 Raw'!$C$6:$C$155,"&lt;&gt;",'Scenario 3 Raw'!$Q$6:$Q$155,"Yes"),0)</f>
        <v>0</v>
      </c>
      <c r="F111" s="7"/>
    </row>
    <row r="112" spans="1:6" ht="16">
      <c r="A112" s="15" t="s">
        <v>63</v>
      </c>
      <c r="B112" s="6" t="s">
        <v>55</v>
      </c>
      <c r="C112" s="6" t="s">
        <v>117</v>
      </c>
      <c r="D112" s="24">
        <f>COUNTIFS('Scenario 3 Raw'!$B$6:$B$155,$B112,'Scenario 3 Raw'!$C$6:$C$155,"&lt;&gt;",'Scenario 3 Raw'!$Q$6:$Q$155,"Yes",'Scenario 3 Raw'!$K$6:$K$155,$C112)</f>
        <v>0</v>
      </c>
      <c r="E112" s="27">
        <f>IFERROR(D112/COUNTIFS('Scenario 3 Raw'!$B$6:$B$155,$B112,'Scenario 3 Raw'!$C$6:$C$155,"&lt;&gt;",'Scenario 3 Raw'!$Q$6:$Q$155,"Yes"),0)</f>
        <v>0</v>
      </c>
      <c r="F112" s="7"/>
    </row>
    <row r="113" spans="1:6" ht="16">
      <c r="A113" s="15" t="s">
        <v>63</v>
      </c>
      <c r="B113" s="6" t="s">
        <v>56</v>
      </c>
      <c r="C113" s="6" t="s">
        <v>113</v>
      </c>
      <c r="D113" s="24">
        <f>COUNTIFS('Scenario 3 Raw'!$B$6:$B$155,$B113,'Scenario 3 Raw'!$C$6:$C$155,"&lt;&gt;",'Scenario 3 Raw'!$Q$6:$Q$155,"Yes",'Scenario 3 Raw'!$K$6:$K$155,$C113)</f>
        <v>0</v>
      </c>
      <c r="E113" s="27">
        <f>IFERROR(D113/COUNTIFS('Scenario 3 Raw'!$B$6:$B$155,$B113,'Scenario 3 Raw'!$C$6:$C$155,"&lt;&gt;",'Scenario 3 Raw'!$Q$6:$Q$155,"Yes"),0)</f>
        <v>0</v>
      </c>
      <c r="F113" s="7"/>
    </row>
    <row r="114" spans="1:6" ht="16">
      <c r="A114" s="15" t="s">
        <v>63</v>
      </c>
      <c r="B114" s="6" t="s">
        <v>56</v>
      </c>
      <c r="C114" s="6" t="s">
        <v>114</v>
      </c>
      <c r="D114" s="24">
        <f>COUNTIFS('Scenario 3 Raw'!$B$6:$B$155,$B114,'Scenario 3 Raw'!$C$6:$C$155,"&lt;&gt;",'Scenario 3 Raw'!$Q$6:$Q$155,"Yes",'Scenario 3 Raw'!$K$6:$K$155,$C114)</f>
        <v>0</v>
      </c>
      <c r="E114" s="27">
        <f>IFERROR(D114/COUNTIFS('Scenario 3 Raw'!$B$6:$B$155,$B114,'Scenario 3 Raw'!$C$6:$C$155,"&lt;&gt;",'Scenario 3 Raw'!$Q$6:$Q$155,"Yes"),0)</f>
        <v>0</v>
      </c>
      <c r="F114" s="7"/>
    </row>
    <row r="115" spans="1:6" ht="16">
      <c r="A115" s="15" t="s">
        <v>63</v>
      </c>
      <c r="B115" s="6" t="s">
        <v>56</v>
      </c>
      <c r="C115" s="6" t="s">
        <v>115</v>
      </c>
      <c r="D115" s="24">
        <f>COUNTIFS('Scenario 3 Raw'!$B$6:$B$155,$B115,'Scenario 3 Raw'!$C$6:$C$155,"&lt;&gt;",'Scenario 3 Raw'!$Q$6:$Q$155,"Yes",'Scenario 3 Raw'!$K$6:$K$155,$C115)</f>
        <v>0</v>
      </c>
      <c r="E115" s="27">
        <f>IFERROR(D115/COUNTIFS('Scenario 3 Raw'!$B$6:$B$155,$B115,'Scenario 3 Raw'!$C$6:$C$155,"&lt;&gt;",'Scenario 3 Raw'!$Q$6:$Q$155,"Yes"),0)</f>
        <v>0</v>
      </c>
      <c r="F115" s="7"/>
    </row>
    <row r="116" spans="1:6" ht="16">
      <c r="A116" s="15" t="s">
        <v>63</v>
      </c>
      <c r="B116" s="6" t="s">
        <v>56</v>
      </c>
      <c r="C116" s="6" t="s">
        <v>92</v>
      </c>
      <c r="D116" s="24">
        <f>COUNTIFS('Scenario 3 Raw'!$B$6:$B$155,$B116,'Scenario 3 Raw'!$C$6:$C$155,"&lt;&gt;",'Scenario 3 Raw'!$Q$6:$Q$155,"Yes",'Scenario 3 Raw'!$K$6:$K$155,$C116)</f>
        <v>0</v>
      </c>
      <c r="E116" s="27">
        <f>IFERROR(D116/COUNTIFS('Scenario 3 Raw'!$B$6:$B$155,$B116,'Scenario 3 Raw'!$C$6:$C$155,"&lt;&gt;",'Scenario 3 Raw'!$Q$6:$Q$155,"Yes"),0)</f>
        <v>0</v>
      </c>
      <c r="F116" s="7"/>
    </row>
    <row r="117" spans="1:6" ht="16">
      <c r="A117" s="15" t="s">
        <v>63</v>
      </c>
      <c r="B117" s="6" t="s">
        <v>56</v>
      </c>
      <c r="C117" s="6" t="s">
        <v>116</v>
      </c>
      <c r="D117" s="24">
        <f>COUNTIFS('Scenario 3 Raw'!$B$6:$B$155,$B117,'Scenario 3 Raw'!$C$6:$C$155,"&lt;&gt;",'Scenario 3 Raw'!$Q$6:$Q$155,"Yes",'Scenario 3 Raw'!$K$6:$K$155,$C117)</f>
        <v>0</v>
      </c>
      <c r="E117" s="27">
        <f>IFERROR(D117/COUNTIFS('Scenario 3 Raw'!$B$6:$B$155,$B117,'Scenario 3 Raw'!$C$6:$C$155,"&lt;&gt;",'Scenario 3 Raw'!$Q$6:$Q$155,"Yes"),0)</f>
        <v>0</v>
      </c>
      <c r="F117" s="7"/>
    </row>
    <row r="118" spans="1:6" ht="16">
      <c r="A118" s="15" t="s">
        <v>63</v>
      </c>
      <c r="B118" s="6" t="s">
        <v>56</v>
      </c>
      <c r="C118" s="6" t="s">
        <v>117</v>
      </c>
      <c r="D118" s="24">
        <f>COUNTIFS('Scenario 3 Raw'!$B$6:$B$155,$B118,'Scenario 3 Raw'!$C$6:$C$155,"&lt;&gt;",'Scenario 3 Raw'!$Q$6:$Q$155,"Yes",'Scenario 3 Raw'!$K$6:$K$155,$C118)</f>
        <v>0</v>
      </c>
      <c r="E118" s="27">
        <f>IFERROR(D118/COUNTIFS('Scenario 3 Raw'!$B$6:$B$155,$B118,'Scenario 3 Raw'!$C$6:$C$155,"&lt;&gt;",'Scenario 3 Raw'!$Q$6:$Q$155,"Yes"),0)</f>
        <v>0</v>
      </c>
      <c r="F118" s="7"/>
    </row>
    <row r="119" spans="1:6" ht="16">
      <c r="A119" s="15" t="s">
        <v>63</v>
      </c>
      <c r="B119" s="6" t="s">
        <v>59</v>
      </c>
      <c r="C119" s="6" t="s">
        <v>113</v>
      </c>
      <c r="D119" s="24">
        <f>COUNTIFS('Scenario 3 Raw'!$B$6:$B$155,$B119,'Scenario 3 Raw'!$C$6:$C$155,"&lt;&gt;",'Scenario 3 Raw'!$Q$6:$Q$155,"Yes",'Scenario 3 Raw'!$K$6:$K$155,$C119)</f>
        <v>0</v>
      </c>
      <c r="E119" s="27">
        <f>IFERROR(D119/COUNTIFS('Scenario 3 Raw'!$B$6:$B$155,$B119,'Scenario 3 Raw'!$C$6:$C$155,"&lt;&gt;",'Scenario 3 Raw'!$Q$6:$Q$155,"Yes"),0)</f>
        <v>0</v>
      </c>
      <c r="F119" s="7"/>
    </row>
    <row r="120" spans="1:6" ht="16">
      <c r="A120" s="15" t="s">
        <v>63</v>
      </c>
      <c r="B120" s="6" t="s">
        <v>59</v>
      </c>
      <c r="C120" s="6" t="s">
        <v>114</v>
      </c>
      <c r="D120" s="24">
        <f>COUNTIFS('Scenario 3 Raw'!$B$6:$B$155,$B120,'Scenario 3 Raw'!$C$6:$C$155,"&lt;&gt;",'Scenario 3 Raw'!$Q$6:$Q$155,"Yes",'Scenario 3 Raw'!$K$6:$K$155,$C120)</f>
        <v>0</v>
      </c>
      <c r="E120" s="27">
        <f>IFERROR(D120/COUNTIFS('Scenario 3 Raw'!$B$6:$B$155,$B120,'Scenario 3 Raw'!$C$6:$C$155,"&lt;&gt;",'Scenario 3 Raw'!$Q$6:$Q$155,"Yes"),0)</f>
        <v>0</v>
      </c>
      <c r="F120" s="7"/>
    </row>
    <row r="121" spans="1:6" ht="16">
      <c r="A121" s="15" t="s">
        <v>63</v>
      </c>
      <c r="B121" s="6" t="s">
        <v>59</v>
      </c>
      <c r="C121" s="6" t="s">
        <v>115</v>
      </c>
      <c r="D121" s="24">
        <f>COUNTIFS('Scenario 3 Raw'!$B$6:$B$155,$B121,'Scenario 3 Raw'!$C$6:$C$155,"&lt;&gt;",'Scenario 3 Raw'!$Q$6:$Q$155,"Yes",'Scenario 3 Raw'!$K$6:$K$155,$C121)</f>
        <v>0</v>
      </c>
      <c r="E121" s="27">
        <f>IFERROR(D121/COUNTIFS('Scenario 3 Raw'!$B$6:$B$155,$B121,'Scenario 3 Raw'!$C$6:$C$155,"&lt;&gt;",'Scenario 3 Raw'!$Q$6:$Q$155,"Yes"),0)</f>
        <v>0</v>
      </c>
      <c r="F121" s="7"/>
    </row>
    <row r="122" spans="1:6" ht="16">
      <c r="A122" s="15" t="s">
        <v>63</v>
      </c>
      <c r="B122" s="6" t="s">
        <v>59</v>
      </c>
      <c r="C122" s="6" t="s">
        <v>92</v>
      </c>
      <c r="D122" s="24">
        <f>COUNTIFS('Scenario 3 Raw'!$B$6:$B$155,$B122,'Scenario 3 Raw'!$C$6:$C$155,"&lt;&gt;",'Scenario 3 Raw'!$Q$6:$Q$155,"Yes",'Scenario 3 Raw'!$K$6:$K$155,$C122)</f>
        <v>0</v>
      </c>
      <c r="E122" s="27">
        <f>IFERROR(D122/COUNTIFS('Scenario 3 Raw'!$B$6:$B$155,$B122,'Scenario 3 Raw'!$C$6:$C$155,"&lt;&gt;",'Scenario 3 Raw'!$Q$6:$Q$155,"Yes"),0)</f>
        <v>0</v>
      </c>
      <c r="F122" s="7"/>
    </row>
    <row r="123" spans="1:6" ht="16">
      <c r="A123" s="15" t="s">
        <v>63</v>
      </c>
      <c r="B123" s="6" t="s">
        <v>59</v>
      </c>
      <c r="C123" s="6" t="s">
        <v>116</v>
      </c>
      <c r="D123" s="24">
        <f>COUNTIFS('Scenario 3 Raw'!$B$6:$B$155,$B123,'Scenario 3 Raw'!$C$6:$C$155,"&lt;&gt;",'Scenario 3 Raw'!$Q$6:$Q$155,"Yes",'Scenario 3 Raw'!$K$6:$K$155,$C123)</f>
        <v>0</v>
      </c>
      <c r="E123" s="27">
        <f>IFERROR(D123/COUNTIFS('Scenario 3 Raw'!$B$6:$B$155,$B123,'Scenario 3 Raw'!$C$6:$C$155,"&lt;&gt;",'Scenario 3 Raw'!$Q$6:$Q$155,"Yes"),0)</f>
        <v>0</v>
      </c>
      <c r="F123" s="7"/>
    </row>
    <row r="124" spans="1:6" ht="16">
      <c r="A124" s="15" t="s">
        <v>63</v>
      </c>
      <c r="B124" s="6" t="s">
        <v>59</v>
      </c>
      <c r="C124" s="6" t="s">
        <v>117</v>
      </c>
      <c r="D124" s="24">
        <f>COUNTIFS('Scenario 3 Raw'!$B$6:$B$155,$B124,'Scenario 3 Raw'!$C$6:$C$155,"&lt;&gt;",'Scenario 3 Raw'!$Q$6:$Q$155,"Yes",'Scenario 3 Raw'!$K$6:$K$155,$C124)</f>
        <v>0</v>
      </c>
      <c r="E124" s="27">
        <f>IFERROR(D124/COUNTIFS('Scenario 3 Raw'!$B$6:$B$155,$B124,'Scenario 3 Raw'!$C$6:$C$155,"&lt;&gt;",'Scenario 3 Raw'!$Q$6:$Q$155,"Yes"),0)</f>
        <v>0</v>
      </c>
      <c r="F124" s="7"/>
    </row>
    <row r="125" spans="1:6" ht="16">
      <c r="A125" s="15" t="s">
        <v>63</v>
      </c>
      <c r="B125" s="6" t="s">
        <v>61</v>
      </c>
      <c r="C125" s="6" t="s">
        <v>113</v>
      </c>
      <c r="D125" s="24">
        <f>COUNTIFS('Scenario 3 Raw'!$B$6:$B$155,$B125,'Scenario 3 Raw'!$C$6:$C$155,"&lt;&gt;",'Scenario 3 Raw'!$Q$6:$Q$155,"Yes",'Scenario 3 Raw'!$K$6:$K$155,$C125)</f>
        <v>0</v>
      </c>
      <c r="E125" s="27">
        <f>IFERROR(D125/COUNTIFS('Scenario 3 Raw'!$B$6:$B$155,$B125,'Scenario 3 Raw'!$C$6:$C$155,"&lt;&gt;",'Scenario 3 Raw'!$Q$6:$Q$155,"Yes"),0)</f>
        <v>0</v>
      </c>
      <c r="F125" s="7"/>
    </row>
    <row r="126" spans="1:6" ht="16">
      <c r="A126" s="15" t="s">
        <v>63</v>
      </c>
      <c r="B126" s="6" t="s">
        <v>61</v>
      </c>
      <c r="C126" s="6" t="s">
        <v>114</v>
      </c>
      <c r="D126" s="24">
        <f>COUNTIFS('Scenario 3 Raw'!$B$6:$B$155,$B126,'Scenario 3 Raw'!$C$6:$C$155,"&lt;&gt;",'Scenario 3 Raw'!$Q$6:$Q$155,"Yes",'Scenario 3 Raw'!$K$6:$K$155,$C126)</f>
        <v>0</v>
      </c>
      <c r="E126" s="27">
        <f>IFERROR(D126/COUNTIFS('Scenario 3 Raw'!$B$6:$B$155,$B126,'Scenario 3 Raw'!$C$6:$C$155,"&lt;&gt;",'Scenario 3 Raw'!$Q$6:$Q$155,"Yes"),0)</f>
        <v>0</v>
      </c>
      <c r="F126" s="7"/>
    </row>
    <row r="127" spans="1:6" ht="16">
      <c r="A127" s="15" t="s">
        <v>63</v>
      </c>
      <c r="B127" s="6" t="s">
        <v>61</v>
      </c>
      <c r="C127" s="6" t="s">
        <v>115</v>
      </c>
      <c r="D127" s="24">
        <f>COUNTIFS('Scenario 3 Raw'!$B$6:$B$155,$B127,'Scenario 3 Raw'!$C$6:$C$155,"&lt;&gt;",'Scenario 3 Raw'!$Q$6:$Q$155,"Yes",'Scenario 3 Raw'!$K$6:$K$155,$C127)</f>
        <v>0</v>
      </c>
      <c r="E127" s="27">
        <f>IFERROR(D127/COUNTIFS('Scenario 3 Raw'!$B$6:$B$155,$B127,'Scenario 3 Raw'!$C$6:$C$155,"&lt;&gt;",'Scenario 3 Raw'!$Q$6:$Q$155,"Yes"),0)</f>
        <v>0</v>
      </c>
      <c r="F127" s="7"/>
    </row>
    <row r="128" spans="1:6" ht="16">
      <c r="A128" s="15" t="s">
        <v>63</v>
      </c>
      <c r="B128" s="6" t="s">
        <v>61</v>
      </c>
      <c r="C128" s="6" t="s">
        <v>92</v>
      </c>
      <c r="D128" s="24">
        <f>COUNTIFS('Scenario 3 Raw'!$B$6:$B$155,$B128,'Scenario 3 Raw'!$C$6:$C$155,"&lt;&gt;",'Scenario 3 Raw'!$Q$6:$Q$155,"Yes",'Scenario 3 Raw'!$K$6:$K$155,$C128)</f>
        <v>0</v>
      </c>
      <c r="E128" s="27">
        <f>IFERROR(D128/COUNTIFS('Scenario 3 Raw'!$B$6:$B$155,$B128,'Scenario 3 Raw'!$C$6:$C$155,"&lt;&gt;",'Scenario 3 Raw'!$Q$6:$Q$155,"Yes"),0)</f>
        <v>0</v>
      </c>
      <c r="F128" s="7"/>
    </row>
    <row r="129" spans="1:6" ht="16">
      <c r="A129" s="15" t="s">
        <v>63</v>
      </c>
      <c r="B129" s="6" t="s">
        <v>61</v>
      </c>
      <c r="C129" s="6" t="s">
        <v>116</v>
      </c>
      <c r="D129" s="24">
        <f>COUNTIFS('Scenario 3 Raw'!$B$6:$B$155,$B129,'Scenario 3 Raw'!$C$6:$C$155,"&lt;&gt;",'Scenario 3 Raw'!$Q$6:$Q$155,"Yes",'Scenario 3 Raw'!$K$6:$K$155,$C129)</f>
        <v>0</v>
      </c>
      <c r="E129" s="27">
        <f>IFERROR(D129/COUNTIFS('Scenario 3 Raw'!$B$6:$B$155,$B129,'Scenario 3 Raw'!$C$6:$C$155,"&lt;&gt;",'Scenario 3 Raw'!$Q$6:$Q$155,"Yes"),0)</f>
        <v>0</v>
      </c>
      <c r="F129" s="7"/>
    </row>
    <row r="130" spans="1:6" ht="16">
      <c r="A130" s="16" t="s">
        <v>63</v>
      </c>
      <c r="B130" s="8" t="s">
        <v>61</v>
      </c>
      <c r="C130" s="8" t="s">
        <v>117</v>
      </c>
      <c r="D130" s="25">
        <f>COUNTIFS('Scenario 3 Raw'!$B$6:$B$155,$B130,'Scenario 3 Raw'!$C$6:$C$155,"&lt;&gt;",'Scenario 3 Raw'!$Q$6:$Q$155,"Yes",'Scenario 3 Raw'!$K$6:$K$155,$C130)</f>
        <v>0</v>
      </c>
      <c r="E130" s="28">
        <f>IFERROR(D130/COUNTIFS('Scenario 3 Raw'!$B$6:$B$155,$B130,'Scenario 3 Raw'!$C$6:$C$155,"&lt;&gt;",'Scenario 3 Raw'!$Q$6:$Q$155,"Yes"),0)</f>
        <v>0</v>
      </c>
      <c r="F130" s="9"/>
    </row>
  </sheetData>
  <mergeCells count="2">
    <mergeCell ref="A1:F1"/>
    <mergeCell ref="A2:F2"/>
  </mergeCells>
  <conditionalFormatting sqref="D5:D130">
    <cfRule type="dataBar" priority="1">
      <dataBar>
        <cfvo type="min"/>
        <cfvo type="max"/>
        <color rgb="FF1F4E78"/>
      </dataBar>
    </cfRule>
    <cfRule type="dataBar" priority="2">
      <dataBar>
        <cfvo type="min"/>
        <cfvo type="max"/>
        <color rgb="FF1F4E78"/>
      </dataBar>
      <extLst>
        <ext xmlns:x14="http://schemas.microsoft.com/office/spreadsheetml/2009/9/main" uri="{B025F937-C7B1-47D3-B67F-A62EFF666E3E}">
          <x14:id>{D13D29B3-FBBF-08EA-E572-F44DA4D9566D}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3D29B3-FBBF-08EA-E572-F44DA4D9566D}">
            <x14:dataBar>
              <x14:cfvo type="min"/>
              <x14:cfvo type="max"/>
              <x14:negativeFillColor auto="1"/>
              <x14:axisColor auto="1"/>
            </x14:dataBar>
          </x14:cfRule>
          <xm:sqref>D5:D130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51"/>
  <sheetViews>
    <sheetView showGridLines="0" workbookViewId="0">
      <selection sqref="A1:F1"/>
    </sheetView>
  </sheetViews>
  <sheetFormatPr baseColWidth="10" defaultColWidth="8.83203125" defaultRowHeight="15"/>
  <cols>
    <col min="1" max="1" width="14" customWidth="1"/>
    <col min="2" max="2" width="21" customWidth="1"/>
    <col min="3" max="3" width="39" customWidth="1"/>
    <col min="4" max="4" width="18" customWidth="1"/>
    <col min="5" max="5" width="24" customWidth="1"/>
    <col min="6" max="6" width="38" customWidth="1"/>
  </cols>
  <sheetData>
    <row r="1" spans="1:6" ht="28" customHeight="1">
      <c r="A1" s="44" t="s">
        <v>179</v>
      </c>
      <c r="B1" s="45"/>
      <c r="C1" s="45"/>
      <c r="D1" s="45"/>
      <c r="E1" s="45"/>
      <c r="F1" s="45"/>
    </row>
    <row r="2" spans="1:6" ht="30" customHeight="1">
      <c r="A2" s="46" t="s">
        <v>180</v>
      </c>
      <c r="B2" s="45"/>
      <c r="C2" s="45"/>
      <c r="D2" s="45"/>
      <c r="E2" s="45"/>
      <c r="F2" s="45"/>
    </row>
    <row r="3" spans="1:6">
      <c r="A3" s="31"/>
      <c r="B3" s="31"/>
      <c r="C3" s="31"/>
      <c r="D3" s="31"/>
      <c r="E3" s="31"/>
      <c r="F3" s="31"/>
    </row>
    <row r="4" spans="1:6" ht="32" customHeight="1">
      <c r="A4" s="32" t="s">
        <v>38</v>
      </c>
      <c r="B4" s="32" t="s">
        <v>39</v>
      </c>
      <c r="C4" s="32" t="s">
        <v>31</v>
      </c>
      <c r="D4" s="32" t="s">
        <v>176</v>
      </c>
      <c r="E4" s="32" t="s">
        <v>181</v>
      </c>
      <c r="F4" s="32" t="s">
        <v>178</v>
      </c>
    </row>
    <row r="5" spans="1:6" ht="16">
      <c r="A5" s="14" t="s">
        <v>47</v>
      </c>
      <c r="B5" s="4" t="s">
        <v>48</v>
      </c>
      <c r="C5" s="4" t="s">
        <v>107</v>
      </c>
      <c r="D5" s="23">
        <f>COUNTIFS('Scenario 1 Raw'!$B$6:$B$155,$B5,'Scenario 1 Raw'!$C$6:$C$155,"&lt;&gt;",'Scenario 1 Raw'!$Q$6:$Q$155,"Yes",'Scenario 1 Raw'!$M$6:$M$155,"Yes",'Scenario 1 Raw'!$N$6:$N$155,$C5)</f>
        <v>0</v>
      </c>
      <c r="E5" s="26">
        <f>IFERROR(D5/COUNTIFS('Scenario 1 Raw'!$B$6:$B$155,$B5,'Scenario 1 Raw'!$C$6:$C$155,"&lt;&gt;",'Scenario 1 Raw'!$Q$6:$Q$155,"Yes",'Scenario 1 Raw'!$M$6:$M$155,"Yes"),0)</f>
        <v>0</v>
      </c>
      <c r="F5" s="5"/>
    </row>
    <row r="6" spans="1:6" ht="16">
      <c r="A6" s="15" t="s">
        <v>47</v>
      </c>
      <c r="B6" s="6" t="s">
        <v>48</v>
      </c>
      <c r="C6" s="6" t="s">
        <v>139</v>
      </c>
      <c r="D6" s="24">
        <f>COUNTIFS('Scenario 1 Raw'!$B$6:$B$155,$B6,'Scenario 1 Raw'!$C$6:$C$155,"&lt;&gt;",'Scenario 1 Raw'!$Q$6:$Q$155,"Yes",'Scenario 1 Raw'!$M$6:$M$155,"Yes",'Scenario 1 Raw'!$N$6:$N$155,$C6)</f>
        <v>0</v>
      </c>
      <c r="E6" s="27">
        <f>IFERROR(D6/COUNTIFS('Scenario 1 Raw'!$B$6:$B$155,$B6,'Scenario 1 Raw'!$C$6:$C$155,"&lt;&gt;",'Scenario 1 Raw'!$Q$6:$Q$155,"Yes",'Scenario 1 Raw'!$M$6:$M$155,"Yes"),0)</f>
        <v>0</v>
      </c>
      <c r="F6" s="7"/>
    </row>
    <row r="7" spans="1:6" ht="16">
      <c r="A7" s="15" t="s">
        <v>47</v>
      </c>
      <c r="B7" s="6" t="s">
        <v>48</v>
      </c>
      <c r="C7" s="6" t="s">
        <v>140</v>
      </c>
      <c r="D7" s="24">
        <f>COUNTIFS('Scenario 1 Raw'!$B$6:$B$155,$B7,'Scenario 1 Raw'!$C$6:$C$155,"&lt;&gt;",'Scenario 1 Raw'!$Q$6:$Q$155,"Yes",'Scenario 1 Raw'!$M$6:$M$155,"Yes",'Scenario 1 Raw'!$N$6:$N$155,$C7)</f>
        <v>0</v>
      </c>
      <c r="E7" s="27">
        <f>IFERROR(D7/COUNTIFS('Scenario 1 Raw'!$B$6:$B$155,$B7,'Scenario 1 Raw'!$C$6:$C$155,"&lt;&gt;",'Scenario 1 Raw'!$Q$6:$Q$155,"Yes",'Scenario 1 Raw'!$M$6:$M$155,"Yes"),0)</f>
        <v>0</v>
      </c>
      <c r="F7" s="7"/>
    </row>
    <row r="8" spans="1:6" ht="16">
      <c r="A8" s="15" t="s">
        <v>47</v>
      </c>
      <c r="B8" s="6" t="s">
        <v>48</v>
      </c>
      <c r="C8" s="6" t="s">
        <v>141</v>
      </c>
      <c r="D8" s="24">
        <f>COUNTIFS('Scenario 1 Raw'!$B$6:$B$155,$B8,'Scenario 1 Raw'!$C$6:$C$155,"&lt;&gt;",'Scenario 1 Raw'!$Q$6:$Q$155,"Yes",'Scenario 1 Raw'!$M$6:$M$155,"Yes",'Scenario 1 Raw'!$N$6:$N$155,$C8)</f>
        <v>0</v>
      </c>
      <c r="E8" s="27">
        <f>IFERROR(D8/COUNTIFS('Scenario 1 Raw'!$B$6:$B$155,$B8,'Scenario 1 Raw'!$C$6:$C$155,"&lt;&gt;",'Scenario 1 Raw'!$Q$6:$Q$155,"Yes",'Scenario 1 Raw'!$M$6:$M$155,"Yes"),0)</f>
        <v>0</v>
      </c>
      <c r="F8" s="7"/>
    </row>
    <row r="9" spans="1:6" ht="16">
      <c r="A9" s="15" t="s">
        <v>47</v>
      </c>
      <c r="B9" s="6" t="s">
        <v>48</v>
      </c>
      <c r="C9" s="6" t="s">
        <v>142</v>
      </c>
      <c r="D9" s="24">
        <f>COUNTIFS('Scenario 1 Raw'!$B$6:$B$155,$B9,'Scenario 1 Raw'!$C$6:$C$155,"&lt;&gt;",'Scenario 1 Raw'!$Q$6:$Q$155,"Yes",'Scenario 1 Raw'!$M$6:$M$155,"Yes",'Scenario 1 Raw'!$N$6:$N$155,$C9)</f>
        <v>0</v>
      </c>
      <c r="E9" s="27">
        <f>IFERROR(D9/COUNTIFS('Scenario 1 Raw'!$B$6:$B$155,$B9,'Scenario 1 Raw'!$C$6:$C$155,"&lt;&gt;",'Scenario 1 Raw'!$Q$6:$Q$155,"Yes",'Scenario 1 Raw'!$M$6:$M$155,"Yes"),0)</f>
        <v>0</v>
      </c>
      <c r="F9" s="7"/>
    </row>
    <row r="10" spans="1:6" ht="16">
      <c r="A10" s="15" t="s">
        <v>47</v>
      </c>
      <c r="B10" s="6" t="s">
        <v>48</v>
      </c>
      <c r="C10" s="6" t="s">
        <v>143</v>
      </c>
      <c r="D10" s="24">
        <f>COUNTIFS('Scenario 1 Raw'!$B$6:$B$155,$B10,'Scenario 1 Raw'!$C$6:$C$155,"&lt;&gt;",'Scenario 1 Raw'!$Q$6:$Q$155,"Yes",'Scenario 1 Raw'!$M$6:$M$155,"Yes",'Scenario 1 Raw'!$N$6:$N$155,$C10)</f>
        <v>0</v>
      </c>
      <c r="E10" s="27">
        <f>IFERROR(D10/COUNTIFS('Scenario 1 Raw'!$B$6:$B$155,$B10,'Scenario 1 Raw'!$C$6:$C$155,"&lt;&gt;",'Scenario 1 Raw'!$Q$6:$Q$155,"Yes",'Scenario 1 Raw'!$M$6:$M$155,"Yes"),0)</f>
        <v>0</v>
      </c>
      <c r="F10" s="7"/>
    </row>
    <row r="11" spans="1:6" ht="16">
      <c r="A11" s="15" t="s">
        <v>47</v>
      </c>
      <c r="B11" s="6" t="s">
        <v>48</v>
      </c>
      <c r="C11" s="6" t="s">
        <v>144</v>
      </c>
      <c r="D11" s="24">
        <f>COUNTIFS('Scenario 1 Raw'!$B$6:$B$155,$B11,'Scenario 1 Raw'!$C$6:$C$155,"&lt;&gt;",'Scenario 1 Raw'!$Q$6:$Q$155,"Yes",'Scenario 1 Raw'!$M$6:$M$155,"Yes",'Scenario 1 Raw'!$N$6:$N$155,$C11)</f>
        <v>0</v>
      </c>
      <c r="E11" s="27">
        <f>IFERROR(D11/COUNTIFS('Scenario 1 Raw'!$B$6:$B$155,$B11,'Scenario 1 Raw'!$C$6:$C$155,"&lt;&gt;",'Scenario 1 Raw'!$Q$6:$Q$155,"Yes",'Scenario 1 Raw'!$M$6:$M$155,"Yes"),0)</f>
        <v>0</v>
      </c>
      <c r="F11" s="7"/>
    </row>
    <row r="12" spans="1:6" ht="16">
      <c r="A12" s="15" t="s">
        <v>47</v>
      </c>
      <c r="B12" s="6" t="s">
        <v>51</v>
      </c>
      <c r="C12" s="6" t="s">
        <v>107</v>
      </c>
      <c r="D12" s="24">
        <f>COUNTIFS('Scenario 1 Raw'!$B$6:$B$155,$B12,'Scenario 1 Raw'!$C$6:$C$155,"&lt;&gt;",'Scenario 1 Raw'!$Q$6:$Q$155,"Yes",'Scenario 1 Raw'!$M$6:$M$155,"Yes",'Scenario 1 Raw'!$N$6:$N$155,$C12)</f>
        <v>0</v>
      </c>
      <c r="E12" s="27">
        <f>IFERROR(D12/COUNTIFS('Scenario 1 Raw'!$B$6:$B$155,$B12,'Scenario 1 Raw'!$C$6:$C$155,"&lt;&gt;",'Scenario 1 Raw'!$Q$6:$Q$155,"Yes",'Scenario 1 Raw'!$M$6:$M$155,"Yes"),0)</f>
        <v>0</v>
      </c>
      <c r="F12" s="7"/>
    </row>
    <row r="13" spans="1:6" ht="16">
      <c r="A13" s="15" t="s">
        <v>47</v>
      </c>
      <c r="B13" s="6" t="s">
        <v>51</v>
      </c>
      <c r="C13" s="6" t="s">
        <v>139</v>
      </c>
      <c r="D13" s="24">
        <f>COUNTIFS('Scenario 1 Raw'!$B$6:$B$155,$B13,'Scenario 1 Raw'!$C$6:$C$155,"&lt;&gt;",'Scenario 1 Raw'!$Q$6:$Q$155,"Yes",'Scenario 1 Raw'!$M$6:$M$155,"Yes",'Scenario 1 Raw'!$N$6:$N$155,$C13)</f>
        <v>0</v>
      </c>
      <c r="E13" s="27">
        <f>IFERROR(D13/COUNTIFS('Scenario 1 Raw'!$B$6:$B$155,$B13,'Scenario 1 Raw'!$C$6:$C$155,"&lt;&gt;",'Scenario 1 Raw'!$Q$6:$Q$155,"Yes",'Scenario 1 Raw'!$M$6:$M$155,"Yes"),0)</f>
        <v>0</v>
      </c>
      <c r="F13" s="7"/>
    </row>
    <row r="14" spans="1:6" ht="16">
      <c r="A14" s="15" t="s">
        <v>47</v>
      </c>
      <c r="B14" s="6" t="s">
        <v>51</v>
      </c>
      <c r="C14" s="6" t="s">
        <v>140</v>
      </c>
      <c r="D14" s="24">
        <f>COUNTIFS('Scenario 1 Raw'!$B$6:$B$155,$B14,'Scenario 1 Raw'!$C$6:$C$155,"&lt;&gt;",'Scenario 1 Raw'!$Q$6:$Q$155,"Yes",'Scenario 1 Raw'!$M$6:$M$155,"Yes",'Scenario 1 Raw'!$N$6:$N$155,$C14)</f>
        <v>0</v>
      </c>
      <c r="E14" s="27">
        <f>IFERROR(D14/COUNTIFS('Scenario 1 Raw'!$B$6:$B$155,$B14,'Scenario 1 Raw'!$C$6:$C$155,"&lt;&gt;",'Scenario 1 Raw'!$Q$6:$Q$155,"Yes",'Scenario 1 Raw'!$M$6:$M$155,"Yes"),0)</f>
        <v>0</v>
      </c>
      <c r="F14" s="7"/>
    </row>
    <row r="15" spans="1:6" ht="16">
      <c r="A15" s="15" t="s">
        <v>47</v>
      </c>
      <c r="B15" s="6" t="s">
        <v>51</v>
      </c>
      <c r="C15" s="6" t="s">
        <v>141</v>
      </c>
      <c r="D15" s="24">
        <f>COUNTIFS('Scenario 1 Raw'!$B$6:$B$155,$B15,'Scenario 1 Raw'!$C$6:$C$155,"&lt;&gt;",'Scenario 1 Raw'!$Q$6:$Q$155,"Yes",'Scenario 1 Raw'!$M$6:$M$155,"Yes",'Scenario 1 Raw'!$N$6:$N$155,$C15)</f>
        <v>0</v>
      </c>
      <c r="E15" s="27">
        <f>IFERROR(D15/COUNTIFS('Scenario 1 Raw'!$B$6:$B$155,$B15,'Scenario 1 Raw'!$C$6:$C$155,"&lt;&gt;",'Scenario 1 Raw'!$Q$6:$Q$155,"Yes",'Scenario 1 Raw'!$M$6:$M$155,"Yes"),0)</f>
        <v>0</v>
      </c>
      <c r="F15" s="7"/>
    </row>
    <row r="16" spans="1:6" ht="16">
      <c r="A16" s="15" t="s">
        <v>47</v>
      </c>
      <c r="B16" s="6" t="s">
        <v>51</v>
      </c>
      <c r="C16" s="6" t="s">
        <v>142</v>
      </c>
      <c r="D16" s="24">
        <f>COUNTIFS('Scenario 1 Raw'!$B$6:$B$155,$B16,'Scenario 1 Raw'!$C$6:$C$155,"&lt;&gt;",'Scenario 1 Raw'!$Q$6:$Q$155,"Yes",'Scenario 1 Raw'!$M$6:$M$155,"Yes",'Scenario 1 Raw'!$N$6:$N$155,$C16)</f>
        <v>0</v>
      </c>
      <c r="E16" s="27">
        <f>IFERROR(D16/COUNTIFS('Scenario 1 Raw'!$B$6:$B$155,$B16,'Scenario 1 Raw'!$C$6:$C$155,"&lt;&gt;",'Scenario 1 Raw'!$Q$6:$Q$155,"Yes",'Scenario 1 Raw'!$M$6:$M$155,"Yes"),0)</f>
        <v>0</v>
      </c>
      <c r="F16" s="7"/>
    </row>
    <row r="17" spans="1:6" ht="16">
      <c r="A17" s="15" t="s">
        <v>47</v>
      </c>
      <c r="B17" s="6" t="s">
        <v>51</v>
      </c>
      <c r="C17" s="6" t="s">
        <v>143</v>
      </c>
      <c r="D17" s="24">
        <f>COUNTIFS('Scenario 1 Raw'!$B$6:$B$155,$B17,'Scenario 1 Raw'!$C$6:$C$155,"&lt;&gt;",'Scenario 1 Raw'!$Q$6:$Q$155,"Yes",'Scenario 1 Raw'!$M$6:$M$155,"Yes",'Scenario 1 Raw'!$N$6:$N$155,$C17)</f>
        <v>0</v>
      </c>
      <c r="E17" s="27">
        <f>IFERROR(D17/COUNTIFS('Scenario 1 Raw'!$B$6:$B$155,$B17,'Scenario 1 Raw'!$C$6:$C$155,"&lt;&gt;",'Scenario 1 Raw'!$Q$6:$Q$155,"Yes",'Scenario 1 Raw'!$M$6:$M$155,"Yes"),0)</f>
        <v>0</v>
      </c>
      <c r="F17" s="7"/>
    </row>
    <row r="18" spans="1:6" ht="16">
      <c r="A18" s="15" t="s">
        <v>47</v>
      </c>
      <c r="B18" s="6" t="s">
        <v>51</v>
      </c>
      <c r="C18" s="6" t="s">
        <v>144</v>
      </c>
      <c r="D18" s="24">
        <f>COUNTIFS('Scenario 1 Raw'!$B$6:$B$155,$B18,'Scenario 1 Raw'!$C$6:$C$155,"&lt;&gt;",'Scenario 1 Raw'!$Q$6:$Q$155,"Yes",'Scenario 1 Raw'!$M$6:$M$155,"Yes",'Scenario 1 Raw'!$N$6:$N$155,$C18)</f>
        <v>0</v>
      </c>
      <c r="E18" s="27">
        <f>IFERROR(D18/COUNTIFS('Scenario 1 Raw'!$B$6:$B$155,$B18,'Scenario 1 Raw'!$C$6:$C$155,"&lt;&gt;",'Scenario 1 Raw'!$Q$6:$Q$155,"Yes",'Scenario 1 Raw'!$M$6:$M$155,"Yes"),0)</f>
        <v>0</v>
      </c>
      <c r="F18" s="7"/>
    </row>
    <row r="19" spans="1:6" ht="16">
      <c r="A19" s="15" t="s">
        <v>47</v>
      </c>
      <c r="B19" s="6" t="s">
        <v>53</v>
      </c>
      <c r="C19" s="6" t="s">
        <v>107</v>
      </c>
      <c r="D19" s="24">
        <f>COUNTIFS('Scenario 1 Raw'!$B$6:$B$155,$B19,'Scenario 1 Raw'!$C$6:$C$155,"&lt;&gt;",'Scenario 1 Raw'!$Q$6:$Q$155,"Yes",'Scenario 1 Raw'!$M$6:$M$155,"Yes",'Scenario 1 Raw'!$N$6:$N$155,$C19)</f>
        <v>0</v>
      </c>
      <c r="E19" s="27">
        <f>IFERROR(D19/COUNTIFS('Scenario 1 Raw'!$B$6:$B$155,$B19,'Scenario 1 Raw'!$C$6:$C$155,"&lt;&gt;",'Scenario 1 Raw'!$Q$6:$Q$155,"Yes",'Scenario 1 Raw'!$M$6:$M$155,"Yes"),0)</f>
        <v>0</v>
      </c>
      <c r="F19" s="7"/>
    </row>
    <row r="20" spans="1:6" ht="16">
      <c r="A20" s="15" t="s">
        <v>47</v>
      </c>
      <c r="B20" s="6" t="s">
        <v>53</v>
      </c>
      <c r="C20" s="6" t="s">
        <v>139</v>
      </c>
      <c r="D20" s="24">
        <f>COUNTIFS('Scenario 1 Raw'!$B$6:$B$155,$B20,'Scenario 1 Raw'!$C$6:$C$155,"&lt;&gt;",'Scenario 1 Raw'!$Q$6:$Q$155,"Yes",'Scenario 1 Raw'!$M$6:$M$155,"Yes",'Scenario 1 Raw'!$N$6:$N$155,$C20)</f>
        <v>0</v>
      </c>
      <c r="E20" s="27">
        <f>IFERROR(D20/COUNTIFS('Scenario 1 Raw'!$B$6:$B$155,$B20,'Scenario 1 Raw'!$C$6:$C$155,"&lt;&gt;",'Scenario 1 Raw'!$Q$6:$Q$155,"Yes",'Scenario 1 Raw'!$M$6:$M$155,"Yes"),0)</f>
        <v>0</v>
      </c>
      <c r="F20" s="7"/>
    </row>
    <row r="21" spans="1:6" ht="16">
      <c r="A21" s="15" t="s">
        <v>47</v>
      </c>
      <c r="B21" s="6" t="s">
        <v>53</v>
      </c>
      <c r="C21" s="6" t="s">
        <v>140</v>
      </c>
      <c r="D21" s="24">
        <f>COUNTIFS('Scenario 1 Raw'!$B$6:$B$155,$B21,'Scenario 1 Raw'!$C$6:$C$155,"&lt;&gt;",'Scenario 1 Raw'!$Q$6:$Q$155,"Yes",'Scenario 1 Raw'!$M$6:$M$155,"Yes",'Scenario 1 Raw'!$N$6:$N$155,$C21)</f>
        <v>0</v>
      </c>
      <c r="E21" s="27">
        <f>IFERROR(D21/COUNTIFS('Scenario 1 Raw'!$B$6:$B$155,$B21,'Scenario 1 Raw'!$C$6:$C$155,"&lt;&gt;",'Scenario 1 Raw'!$Q$6:$Q$155,"Yes",'Scenario 1 Raw'!$M$6:$M$155,"Yes"),0)</f>
        <v>0</v>
      </c>
      <c r="F21" s="7"/>
    </row>
    <row r="22" spans="1:6" ht="16">
      <c r="A22" s="15" t="s">
        <v>47</v>
      </c>
      <c r="B22" s="6" t="s">
        <v>53</v>
      </c>
      <c r="C22" s="6" t="s">
        <v>141</v>
      </c>
      <c r="D22" s="24">
        <f>COUNTIFS('Scenario 1 Raw'!$B$6:$B$155,$B22,'Scenario 1 Raw'!$C$6:$C$155,"&lt;&gt;",'Scenario 1 Raw'!$Q$6:$Q$155,"Yes",'Scenario 1 Raw'!$M$6:$M$155,"Yes",'Scenario 1 Raw'!$N$6:$N$155,$C22)</f>
        <v>0</v>
      </c>
      <c r="E22" s="27">
        <f>IFERROR(D22/COUNTIFS('Scenario 1 Raw'!$B$6:$B$155,$B22,'Scenario 1 Raw'!$C$6:$C$155,"&lt;&gt;",'Scenario 1 Raw'!$Q$6:$Q$155,"Yes",'Scenario 1 Raw'!$M$6:$M$155,"Yes"),0)</f>
        <v>0</v>
      </c>
      <c r="F22" s="7"/>
    </row>
    <row r="23" spans="1:6" ht="16">
      <c r="A23" s="15" t="s">
        <v>47</v>
      </c>
      <c r="B23" s="6" t="s">
        <v>53</v>
      </c>
      <c r="C23" s="6" t="s">
        <v>142</v>
      </c>
      <c r="D23" s="24">
        <f>COUNTIFS('Scenario 1 Raw'!$B$6:$B$155,$B23,'Scenario 1 Raw'!$C$6:$C$155,"&lt;&gt;",'Scenario 1 Raw'!$Q$6:$Q$155,"Yes",'Scenario 1 Raw'!$M$6:$M$155,"Yes",'Scenario 1 Raw'!$N$6:$N$155,$C23)</f>
        <v>0</v>
      </c>
      <c r="E23" s="27">
        <f>IFERROR(D23/COUNTIFS('Scenario 1 Raw'!$B$6:$B$155,$B23,'Scenario 1 Raw'!$C$6:$C$155,"&lt;&gt;",'Scenario 1 Raw'!$Q$6:$Q$155,"Yes",'Scenario 1 Raw'!$M$6:$M$155,"Yes"),0)</f>
        <v>0</v>
      </c>
      <c r="F23" s="7"/>
    </row>
    <row r="24" spans="1:6" ht="16">
      <c r="A24" s="15" t="s">
        <v>47</v>
      </c>
      <c r="B24" s="6" t="s">
        <v>53</v>
      </c>
      <c r="C24" s="6" t="s">
        <v>143</v>
      </c>
      <c r="D24" s="24">
        <f>COUNTIFS('Scenario 1 Raw'!$B$6:$B$155,$B24,'Scenario 1 Raw'!$C$6:$C$155,"&lt;&gt;",'Scenario 1 Raw'!$Q$6:$Q$155,"Yes",'Scenario 1 Raw'!$M$6:$M$155,"Yes",'Scenario 1 Raw'!$N$6:$N$155,$C24)</f>
        <v>0</v>
      </c>
      <c r="E24" s="27">
        <f>IFERROR(D24/COUNTIFS('Scenario 1 Raw'!$B$6:$B$155,$B24,'Scenario 1 Raw'!$C$6:$C$155,"&lt;&gt;",'Scenario 1 Raw'!$Q$6:$Q$155,"Yes",'Scenario 1 Raw'!$M$6:$M$155,"Yes"),0)</f>
        <v>0</v>
      </c>
      <c r="F24" s="7"/>
    </row>
    <row r="25" spans="1:6" ht="16">
      <c r="A25" s="15" t="s">
        <v>47</v>
      </c>
      <c r="B25" s="6" t="s">
        <v>53</v>
      </c>
      <c r="C25" s="6" t="s">
        <v>144</v>
      </c>
      <c r="D25" s="24">
        <f>COUNTIFS('Scenario 1 Raw'!$B$6:$B$155,$B25,'Scenario 1 Raw'!$C$6:$C$155,"&lt;&gt;",'Scenario 1 Raw'!$Q$6:$Q$155,"Yes",'Scenario 1 Raw'!$M$6:$M$155,"Yes",'Scenario 1 Raw'!$N$6:$N$155,$C25)</f>
        <v>0</v>
      </c>
      <c r="E25" s="27">
        <f>IFERROR(D25/COUNTIFS('Scenario 1 Raw'!$B$6:$B$155,$B25,'Scenario 1 Raw'!$C$6:$C$155,"&lt;&gt;",'Scenario 1 Raw'!$Q$6:$Q$155,"Yes",'Scenario 1 Raw'!$M$6:$M$155,"Yes"),0)</f>
        <v>0</v>
      </c>
      <c r="F25" s="7"/>
    </row>
    <row r="26" spans="1:6" ht="16">
      <c r="A26" s="15" t="s">
        <v>47</v>
      </c>
      <c r="B26" s="6" t="s">
        <v>55</v>
      </c>
      <c r="C26" s="6" t="s">
        <v>107</v>
      </c>
      <c r="D26" s="24">
        <f>COUNTIFS('Scenario 1 Raw'!$B$6:$B$155,$B26,'Scenario 1 Raw'!$C$6:$C$155,"&lt;&gt;",'Scenario 1 Raw'!$Q$6:$Q$155,"Yes",'Scenario 1 Raw'!$M$6:$M$155,"Yes",'Scenario 1 Raw'!$N$6:$N$155,$C26)</f>
        <v>0</v>
      </c>
      <c r="E26" s="27">
        <f>IFERROR(D26/COUNTIFS('Scenario 1 Raw'!$B$6:$B$155,$B26,'Scenario 1 Raw'!$C$6:$C$155,"&lt;&gt;",'Scenario 1 Raw'!$Q$6:$Q$155,"Yes",'Scenario 1 Raw'!$M$6:$M$155,"Yes"),0)</f>
        <v>0</v>
      </c>
      <c r="F26" s="7"/>
    </row>
    <row r="27" spans="1:6" ht="16">
      <c r="A27" s="15" t="s">
        <v>47</v>
      </c>
      <c r="B27" s="6" t="s">
        <v>55</v>
      </c>
      <c r="C27" s="6" t="s">
        <v>139</v>
      </c>
      <c r="D27" s="24">
        <f>COUNTIFS('Scenario 1 Raw'!$B$6:$B$155,$B27,'Scenario 1 Raw'!$C$6:$C$155,"&lt;&gt;",'Scenario 1 Raw'!$Q$6:$Q$155,"Yes",'Scenario 1 Raw'!$M$6:$M$155,"Yes",'Scenario 1 Raw'!$N$6:$N$155,$C27)</f>
        <v>0</v>
      </c>
      <c r="E27" s="27">
        <f>IFERROR(D27/COUNTIFS('Scenario 1 Raw'!$B$6:$B$155,$B27,'Scenario 1 Raw'!$C$6:$C$155,"&lt;&gt;",'Scenario 1 Raw'!$Q$6:$Q$155,"Yes",'Scenario 1 Raw'!$M$6:$M$155,"Yes"),0)</f>
        <v>0</v>
      </c>
      <c r="F27" s="7"/>
    </row>
    <row r="28" spans="1:6" ht="16">
      <c r="A28" s="15" t="s">
        <v>47</v>
      </c>
      <c r="B28" s="6" t="s">
        <v>55</v>
      </c>
      <c r="C28" s="6" t="s">
        <v>140</v>
      </c>
      <c r="D28" s="24">
        <f>COUNTIFS('Scenario 1 Raw'!$B$6:$B$155,$B28,'Scenario 1 Raw'!$C$6:$C$155,"&lt;&gt;",'Scenario 1 Raw'!$Q$6:$Q$155,"Yes",'Scenario 1 Raw'!$M$6:$M$155,"Yes",'Scenario 1 Raw'!$N$6:$N$155,$C28)</f>
        <v>0</v>
      </c>
      <c r="E28" s="27">
        <f>IFERROR(D28/COUNTIFS('Scenario 1 Raw'!$B$6:$B$155,$B28,'Scenario 1 Raw'!$C$6:$C$155,"&lt;&gt;",'Scenario 1 Raw'!$Q$6:$Q$155,"Yes",'Scenario 1 Raw'!$M$6:$M$155,"Yes"),0)</f>
        <v>0</v>
      </c>
      <c r="F28" s="7"/>
    </row>
    <row r="29" spans="1:6" ht="16">
      <c r="A29" s="15" t="s">
        <v>47</v>
      </c>
      <c r="B29" s="6" t="s">
        <v>55</v>
      </c>
      <c r="C29" s="6" t="s">
        <v>141</v>
      </c>
      <c r="D29" s="24">
        <f>COUNTIFS('Scenario 1 Raw'!$B$6:$B$155,$B29,'Scenario 1 Raw'!$C$6:$C$155,"&lt;&gt;",'Scenario 1 Raw'!$Q$6:$Q$155,"Yes",'Scenario 1 Raw'!$M$6:$M$155,"Yes",'Scenario 1 Raw'!$N$6:$N$155,$C29)</f>
        <v>0</v>
      </c>
      <c r="E29" s="27">
        <f>IFERROR(D29/COUNTIFS('Scenario 1 Raw'!$B$6:$B$155,$B29,'Scenario 1 Raw'!$C$6:$C$155,"&lt;&gt;",'Scenario 1 Raw'!$Q$6:$Q$155,"Yes",'Scenario 1 Raw'!$M$6:$M$155,"Yes"),0)</f>
        <v>0</v>
      </c>
      <c r="F29" s="7"/>
    </row>
    <row r="30" spans="1:6" ht="16">
      <c r="A30" s="15" t="s">
        <v>47</v>
      </c>
      <c r="B30" s="6" t="s">
        <v>55</v>
      </c>
      <c r="C30" s="6" t="s">
        <v>142</v>
      </c>
      <c r="D30" s="24">
        <f>COUNTIFS('Scenario 1 Raw'!$B$6:$B$155,$B30,'Scenario 1 Raw'!$C$6:$C$155,"&lt;&gt;",'Scenario 1 Raw'!$Q$6:$Q$155,"Yes",'Scenario 1 Raw'!$M$6:$M$155,"Yes",'Scenario 1 Raw'!$N$6:$N$155,$C30)</f>
        <v>0</v>
      </c>
      <c r="E30" s="27">
        <f>IFERROR(D30/COUNTIFS('Scenario 1 Raw'!$B$6:$B$155,$B30,'Scenario 1 Raw'!$C$6:$C$155,"&lt;&gt;",'Scenario 1 Raw'!$Q$6:$Q$155,"Yes",'Scenario 1 Raw'!$M$6:$M$155,"Yes"),0)</f>
        <v>0</v>
      </c>
      <c r="F30" s="7"/>
    </row>
    <row r="31" spans="1:6" ht="16">
      <c r="A31" s="15" t="s">
        <v>47</v>
      </c>
      <c r="B31" s="6" t="s">
        <v>55</v>
      </c>
      <c r="C31" s="6" t="s">
        <v>143</v>
      </c>
      <c r="D31" s="24">
        <f>COUNTIFS('Scenario 1 Raw'!$B$6:$B$155,$B31,'Scenario 1 Raw'!$C$6:$C$155,"&lt;&gt;",'Scenario 1 Raw'!$Q$6:$Q$155,"Yes",'Scenario 1 Raw'!$M$6:$M$155,"Yes",'Scenario 1 Raw'!$N$6:$N$155,$C31)</f>
        <v>0</v>
      </c>
      <c r="E31" s="27">
        <f>IFERROR(D31/COUNTIFS('Scenario 1 Raw'!$B$6:$B$155,$B31,'Scenario 1 Raw'!$C$6:$C$155,"&lt;&gt;",'Scenario 1 Raw'!$Q$6:$Q$155,"Yes",'Scenario 1 Raw'!$M$6:$M$155,"Yes"),0)</f>
        <v>0</v>
      </c>
      <c r="F31" s="7"/>
    </row>
    <row r="32" spans="1:6" ht="16">
      <c r="A32" s="15" t="s">
        <v>47</v>
      </c>
      <c r="B32" s="6" t="s">
        <v>55</v>
      </c>
      <c r="C32" s="6" t="s">
        <v>144</v>
      </c>
      <c r="D32" s="24">
        <f>COUNTIFS('Scenario 1 Raw'!$B$6:$B$155,$B32,'Scenario 1 Raw'!$C$6:$C$155,"&lt;&gt;",'Scenario 1 Raw'!$Q$6:$Q$155,"Yes",'Scenario 1 Raw'!$M$6:$M$155,"Yes",'Scenario 1 Raw'!$N$6:$N$155,$C32)</f>
        <v>0</v>
      </c>
      <c r="E32" s="27">
        <f>IFERROR(D32/COUNTIFS('Scenario 1 Raw'!$B$6:$B$155,$B32,'Scenario 1 Raw'!$C$6:$C$155,"&lt;&gt;",'Scenario 1 Raw'!$Q$6:$Q$155,"Yes",'Scenario 1 Raw'!$M$6:$M$155,"Yes"),0)</f>
        <v>0</v>
      </c>
      <c r="F32" s="7"/>
    </row>
    <row r="33" spans="1:6" ht="16">
      <c r="A33" s="15" t="s">
        <v>47</v>
      </c>
      <c r="B33" s="6" t="s">
        <v>56</v>
      </c>
      <c r="C33" s="6" t="s">
        <v>107</v>
      </c>
      <c r="D33" s="24">
        <f>COUNTIFS('Scenario 1 Raw'!$B$6:$B$155,$B33,'Scenario 1 Raw'!$C$6:$C$155,"&lt;&gt;",'Scenario 1 Raw'!$Q$6:$Q$155,"Yes",'Scenario 1 Raw'!$M$6:$M$155,"Yes",'Scenario 1 Raw'!$N$6:$N$155,$C33)</f>
        <v>0</v>
      </c>
      <c r="E33" s="27">
        <f>IFERROR(D33/COUNTIFS('Scenario 1 Raw'!$B$6:$B$155,$B33,'Scenario 1 Raw'!$C$6:$C$155,"&lt;&gt;",'Scenario 1 Raw'!$Q$6:$Q$155,"Yes",'Scenario 1 Raw'!$M$6:$M$155,"Yes"),0)</f>
        <v>0</v>
      </c>
      <c r="F33" s="7"/>
    </row>
    <row r="34" spans="1:6" ht="16">
      <c r="A34" s="15" t="s">
        <v>47</v>
      </c>
      <c r="B34" s="6" t="s">
        <v>56</v>
      </c>
      <c r="C34" s="6" t="s">
        <v>139</v>
      </c>
      <c r="D34" s="24">
        <f>COUNTIFS('Scenario 1 Raw'!$B$6:$B$155,$B34,'Scenario 1 Raw'!$C$6:$C$155,"&lt;&gt;",'Scenario 1 Raw'!$Q$6:$Q$155,"Yes",'Scenario 1 Raw'!$M$6:$M$155,"Yes",'Scenario 1 Raw'!$N$6:$N$155,$C34)</f>
        <v>0</v>
      </c>
      <c r="E34" s="27">
        <f>IFERROR(D34/COUNTIFS('Scenario 1 Raw'!$B$6:$B$155,$B34,'Scenario 1 Raw'!$C$6:$C$155,"&lt;&gt;",'Scenario 1 Raw'!$Q$6:$Q$155,"Yes",'Scenario 1 Raw'!$M$6:$M$155,"Yes"),0)</f>
        <v>0</v>
      </c>
      <c r="F34" s="7"/>
    </row>
    <row r="35" spans="1:6" ht="16">
      <c r="A35" s="15" t="s">
        <v>47</v>
      </c>
      <c r="B35" s="6" t="s">
        <v>56</v>
      </c>
      <c r="C35" s="6" t="s">
        <v>140</v>
      </c>
      <c r="D35" s="24">
        <f>COUNTIFS('Scenario 1 Raw'!$B$6:$B$155,$B35,'Scenario 1 Raw'!$C$6:$C$155,"&lt;&gt;",'Scenario 1 Raw'!$Q$6:$Q$155,"Yes",'Scenario 1 Raw'!$M$6:$M$155,"Yes",'Scenario 1 Raw'!$N$6:$N$155,$C35)</f>
        <v>0</v>
      </c>
      <c r="E35" s="27">
        <f>IFERROR(D35/COUNTIFS('Scenario 1 Raw'!$B$6:$B$155,$B35,'Scenario 1 Raw'!$C$6:$C$155,"&lt;&gt;",'Scenario 1 Raw'!$Q$6:$Q$155,"Yes",'Scenario 1 Raw'!$M$6:$M$155,"Yes"),0)</f>
        <v>0</v>
      </c>
      <c r="F35" s="7"/>
    </row>
    <row r="36" spans="1:6" ht="16">
      <c r="A36" s="15" t="s">
        <v>47</v>
      </c>
      <c r="B36" s="6" t="s">
        <v>56</v>
      </c>
      <c r="C36" s="6" t="s">
        <v>141</v>
      </c>
      <c r="D36" s="24">
        <f>COUNTIFS('Scenario 1 Raw'!$B$6:$B$155,$B36,'Scenario 1 Raw'!$C$6:$C$155,"&lt;&gt;",'Scenario 1 Raw'!$Q$6:$Q$155,"Yes",'Scenario 1 Raw'!$M$6:$M$155,"Yes",'Scenario 1 Raw'!$N$6:$N$155,$C36)</f>
        <v>0</v>
      </c>
      <c r="E36" s="27">
        <f>IFERROR(D36/COUNTIFS('Scenario 1 Raw'!$B$6:$B$155,$B36,'Scenario 1 Raw'!$C$6:$C$155,"&lt;&gt;",'Scenario 1 Raw'!$Q$6:$Q$155,"Yes",'Scenario 1 Raw'!$M$6:$M$155,"Yes"),0)</f>
        <v>0</v>
      </c>
      <c r="F36" s="7"/>
    </row>
    <row r="37" spans="1:6" ht="16">
      <c r="A37" s="15" t="s">
        <v>47</v>
      </c>
      <c r="B37" s="6" t="s">
        <v>56</v>
      </c>
      <c r="C37" s="6" t="s">
        <v>142</v>
      </c>
      <c r="D37" s="24">
        <f>COUNTIFS('Scenario 1 Raw'!$B$6:$B$155,$B37,'Scenario 1 Raw'!$C$6:$C$155,"&lt;&gt;",'Scenario 1 Raw'!$Q$6:$Q$155,"Yes",'Scenario 1 Raw'!$M$6:$M$155,"Yes",'Scenario 1 Raw'!$N$6:$N$155,$C37)</f>
        <v>0</v>
      </c>
      <c r="E37" s="27">
        <f>IFERROR(D37/COUNTIFS('Scenario 1 Raw'!$B$6:$B$155,$B37,'Scenario 1 Raw'!$C$6:$C$155,"&lt;&gt;",'Scenario 1 Raw'!$Q$6:$Q$155,"Yes",'Scenario 1 Raw'!$M$6:$M$155,"Yes"),0)</f>
        <v>0</v>
      </c>
      <c r="F37" s="7"/>
    </row>
    <row r="38" spans="1:6" ht="16">
      <c r="A38" s="15" t="s">
        <v>47</v>
      </c>
      <c r="B38" s="6" t="s">
        <v>56</v>
      </c>
      <c r="C38" s="6" t="s">
        <v>143</v>
      </c>
      <c r="D38" s="24">
        <f>COUNTIFS('Scenario 1 Raw'!$B$6:$B$155,$B38,'Scenario 1 Raw'!$C$6:$C$155,"&lt;&gt;",'Scenario 1 Raw'!$Q$6:$Q$155,"Yes",'Scenario 1 Raw'!$M$6:$M$155,"Yes",'Scenario 1 Raw'!$N$6:$N$155,$C38)</f>
        <v>0</v>
      </c>
      <c r="E38" s="27">
        <f>IFERROR(D38/COUNTIFS('Scenario 1 Raw'!$B$6:$B$155,$B38,'Scenario 1 Raw'!$C$6:$C$155,"&lt;&gt;",'Scenario 1 Raw'!$Q$6:$Q$155,"Yes",'Scenario 1 Raw'!$M$6:$M$155,"Yes"),0)</f>
        <v>0</v>
      </c>
      <c r="F38" s="7"/>
    </row>
    <row r="39" spans="1:6" ht="16">
      <c r="A39" s="15" t="s">
        <v>47</v>
      </c>
      <c r="B39" s="6" t="s">
        <v>56</v>
      </c>
      <c r="C39" s="6" t="s">
        <v>144</v>
      </c>
      <c r="D39" s="24">
        <f>COUNTIFS('Scenario 1 Raw'!$B$6:$B$155,$B39,'Scenario 1 Raw'!$C$6:$C$155,"&lt;&gt;",'Scenario 1 Raw'!$Q$6:$Q$155,"Yes",'Scenario 1 Raw'!$M$6:$M$155,"Yes",'Scenario 1 Raw'!$N$6:$N$155,$C39)</f>
        <v>0</v>
      </c>
      <c r="E39" s="27">
        <f>IFERROR(D39/COUNTIFS('Scenario 1 Raw'!$B$6:$B$155,$B39,'Scenario 1 Raw'!$C$6:$C$155,"&lt;&gt;",'Scenario 1 Raw'!$Q$6:$Q$155,"Yes",'Scenario 1 Raw'!$M$6:$M$155,"Yes"),0)</f>
        <v>0</v>
      </c>
      <c r="F39" s="7"/>
    </row>
    <row r="40" spans="1:6" ht="16">
      <c r="A40" s="15" t="s">
        <v>47</v>
      </c>
      <c r="B40" s="6" t="s">
        <v>59</v>
      </c>
      <c r="C40" s="6" t="s">
        <v>107</v>
      </c>
      <c r="D40" s="24">
        <f>COUNTIFS('Scenario 1 Raw'!$B$6:$B$155,$B40,'Scenario 1 Raw'!$C$6:$C$155,"&lt;&gt;",'Scenario 1 Raw'!$Q$6:$Q$155,"Yes",'Scenario 1 Raw'!$M$6:$M$155,"Yes",'Scenario 1 Raw'!$N$6:$N$155,$C40)</f>
        <v>0</v>
      </c>
      <c r="E40" s="27">
        <f>IFERROR(D40/COUNTIFS('Scenario 1 Raw'!$B$6:$B$155,$B40,'Scenario 1 Raw'!$C$6:$C$155,"&lt;&gt;",'Scenario 1 Raw'!$Q$6:$Q$155,"Yes",'Scenario 1 Raw'!$M$6:$M$155,"Yes"),0)</f>
        <v>0</v>
      </c>
      <c r="F40" s="7"/>
    </row>
    <row r="41" spans="1:6" ht="16">
      <c r="A41" s="15" t="s">
        <v>47</v>
      </c>
      <c r="B41" s="6" t="s">
        <v>59</v>
      </c>
      <c r="C41" s="6" t="s">
        <v>139</v>
      </c>
      <c r="D41" s="24">
        <f>COUNTIFS('Scenario 1 Raw'!$B$6:$B$155,$B41,'Scenario 1 Raw'!$C$6:$C$155,"&lt;&gt;",'Scenario 1 Raw'!$Q$6:$Q$155,"Yes",'Scenario 1 Raw'!$M$6:$M$155,"Yes",'Scenario 1 Raw'!$N$6:$N$155,$C41)</f>
        <v>0</v>
      </c>
      <c r="E41" s="27">
        <f>IFERROR(D41/COUNTIFS('Scenario 1 Raw'!$B$6:$B$155,$B41,'Scenario 1 Raw'!$C$6:$C$155,"&lt;&gt;",'Scenario 1 Raw'!$Q$6:$Q$155,"Yes",'Scenario 1 Raw'!$M$6:$M$155,"Yes"),0)</f>
        <v>0</v>
      </c>
      <c r="F41" s="7"/>
    </row>
    <row r="42" spans="1:6" ht="16">
      <c r="A42" s="15" t="s">
        <v>47</v>
      </c>
      <c r="B42" s="6" t="s">
        <v>59</v>
      </c>
      <c r="C42" s="6" t="s">
        <v>140</v>
      </c>
      <c r="D42" s="24">
        <f>COUNTIFS('Scenario 1 Raw'!$B$6:$B$155,$B42,'Scenario 1 Raw'!$C$6:$C$155,"&lt;&gt;",'Scenario 1 Raw'!$Q$6:$Q$155,"Yes",'Scenario 1 Raw'!$M$6:$M$155,"Yes",'Scenario 1 Raw'!$N$6:$N$155,$C42)</f>
        <v>0</v>
      </c>
      <c r="E42" s="27">
        <f>IFERROR(D42/COUNTIFS('Scenario 1 Raw'!$B$6:$B$155,$B42,'Scenario 1 Raw'!$C$6:$C$155,"&lt;&gt;",'Scenario 1 Raw'!$Q$6:$Q$155,"Yes",'Scenario 1 Raw'!$M$6:$M$155,"Yes"),0)</f>
        <v>0</v>
      </c>
      <c r="F42" s="7"/>
    </row>
    <row r="43" spans="1:6" ht="16">
      <c r="A43" s="15" t="s">
        <v>47</v>
      </c>
      <c r="B43" s="6" t="s">
        <v>59</v>
      </c>
      <c r="C43" s="6" t="s">
        <v>141</v>
      </c>
      <c r="D43" s="24">
        <f>COUNTIFS('Scenario 1 Raw'!$B$6:$B$155,$B43,'Scenario 1 Raw'!$C$6:$C$155,"&lt;&gt;",'Scenario 1 Raw'!$Q$6:$Q$155,"Yes",'Scenario 1 Raw'!$M$6:$M$155,"Yes",'Scenario 1 Raw'!$N$6:$N$155,$C43)</f>
        <v>0</v>
      </c>
      <c r="E43" s="27">
        <f>IFERROR(D43/COUNTIFS('Scenario 1 Raw'!$B$6:$B$155,$B43,'Scenario 1 Raw'!$C$6:$C$155,"&lt;&gt;",'Scenario 1 Raw'!$Q$6:$Q$155,"Yes",'Scenario 1 Raw'!$M$6:$M$155,"Yes"),0)</f>
        <v>0</v>
      </c>
      <c r="F43" s="7"/>
    </row>
    <row r="44" spans="1:6" ht="16">
      <c r="A44" s="15" t="s">
        <v>47</v>
      </c>
      <c r="B44" s="6" t="s">
        <v>59</v>
      </c>
      <c r="C44" s="6" t="s">
        <v>142</v>
      </c>
      <c r="D44" s="24">
        <f>COUNTIFS('Scenario 1 Raw'!$B$6:$B$155,$B44,'Scenario 1 Raw'!$C$6:$C$155,"&lt;&gt;",'Scenario 1 Raw'!$Q$6:$Q$155,"Yes",'Scenario 1 Raw'!$M$6:$M$155,"Yes",'Scenario 1 Raw'!$N$6:$N$155,$C44)</f>
        <v>0</v>
      </c>
      <c r="E44" s="27">
        <f>IFERROR(D44/COUNTIFS('Scenario 1 Raw'!$B$6:$B$155,$B44,'Scenario 1 Raw'!$C$6:$C$155,"&lt;&gt;",'Scenario 1 Raw'!$Q$6:$Q$155,"Yes",'Scenario 1 Raw'!$M$6:$M$155,"Yes"),0)</f>
        <v>0</v>
      </c>
      <c r="F44" s="7"/>
    </row>
    <row r="45" spans="1:6" ht="16">
      <c r="A45" s="15" t="s">
        <v>47</v>
      </c>
      <c r="B45" s="6" t="s">
        <v>59</v>
      </c>
      <c r="C45" s="6" t="s">
        <v>143</v>
      </c>
      <c r="D45" s="24">
        <f>COUNTIFS('Scenario 1 Raw'!$B$6:$B$155,$B45,'Scenario 1 Raw'!$C$6:$C$155,"&lt;&gt;",'Scenario 1 Raw'!$Q$6:$Q$155,"Yes",'Scenario 1 Raw'!$M$6:$M$155,"Yes",'Scenario 1 Raw'!$N$6:$N$155,$C45)</f>
        <v>0</v>
      </c>
      <c r="E45" s="27">
        <f>IFERROR(D45/COUNTIFS('Scenario 1 Raw'!$B$6:$B$155,$B45,'Scenario 1 Raw'!$C$6:$C$155,"&lt;&gt;",'Scenario 1 Raw'!$Q$6:$Q$155,"Yes",'Scenario 1 Raw'!$M$6:$M$155,"Yes"),0)</f>
        <v>0</v>
      </c>
      <c r="F45" s="7"/>
    </row>
    <row r="46" spans="1:6" ht="16">
      <c r="A46" s="15" t="s">
        <v>47</v>
      </c>
      <c r="B46" s="6" t="s">
        <v>59</v>
      </c>
      <c r="C46" s="6" t="s">
        <v>144</v>
      </c>
      <c r="D46" s="24">
        <f>COUNTIFS('Scenario 1 Raw'!$B$6:$B$155,$B46,'Scenario 1 Raw'!$C$6:$C$155,"&lt;&gt;",'Scenario 1 Raw'!$Q$6:$Q$155,"Yes",'Scenario 1 Raw'!$M$6:$M$155,"Yes",'Scenario 1 Raw'!$N$6:$N$155,$C46)</f>
        <v>0</v>
      </c>
      <c r="E46" s="27">
        <f>IFERROR(D46/COUNTIFS('Scenario 1 Raw'!$B$6:$B$155,$B46,'Scenario 1 Raw'!$C$6:$C$155,"&lt;&gt;",'Scenario 1 Raw'!$Q$6:$Q$155,"Yes",'Scenario 1 Raw'!$M$6:$M$155,"Yes"),0)</f>
        <v>0</v>
      </c>
      <c r="F46" s="7"/>
    </row>
    <row r="47" spans="1:6" ht="16">
      <c r="A47" s="15" t="s">
        <v>47</v>
      </c>
      <c r="B47" s="6" t="s">
        <v>61</v>
      </c>
      <c r="C47" s="6" t="s">
        <v>107</v>
      </c>
      <c r="D47" s="24">
        <f>COUNTIFS('Scenario 1 Raw'!$B$6:$B$155,$B47,'Scenario 1 Raw'!$C$6:$C$155,"&lt;&gt;",'Scenario 1 Raw'!$Q$6:$Q$155,"Yes",'Scenario 1 Raw'!$M$6:$M$155,"Yes",'Scenario 1 Raw'!$N$6:$N$155,$C47)</f>
        <v>0</v>
      </c>
      <c r="E47" s="27">
        <f>IFERROR(D47/COUNTIFS('Scenario 1 Raw'!$B$6:$B$155,$B47,'Scenario 1 Raw'!$C$6:$C$155,"&lt;&gt;",'Scenario 1 Raw'!$Q$6:$Q$155,"Yes",'Scenario 1 Raw'!$M$6:$M$155,"Yes"),0)</f>
        <v>0</v>
      </c>
      <c r="F47" s="7"/>
    </row>
    <row r="48" spans="1:6" ht="16">
      <c r="A48" s="15" t="s">
        <v>47</v>
      </c>
      <c r="B48" s="6" t="s">
        <v>61</v>
      </c>
      <c r="C48" s="6" t="s">
        <v>139</v>
      </c>
      <c r="D48" s="24">
        <f>COUNTIFS('Scenario 1 Raw'!$B$6:$B$155,$B48,'Scenario 1 Raw'!$C$6:$C$155,"&lt;&gt;",'Scenario 1 Raw'!$Q$6:$Q$155,"Yes",'Scenario 1 Raw'!$M$6:$M$155,"Yes",'Scenario 1 Raw'!$N$6:$N$155,$C48)</f>
        <v>0</v>
      </c>
      <c r="E48" s="27">
        <f>IFERROR(D48/COUNTIFS('Scenario 1 Raw'!$B$6:$B$155,$B48,'Scenario 1 Raw'!$C$6:$C$155,"&lt;&gt;",'Scenario 1 Raw'!$Q$6:$Q$155,"Yes",'Scenario 1 Raw'!$M$6:$M$155,"Yes"),0)</f>
        <v>0</v>
      </c>
      <c r="F48" s="7"/>
    </row>
    <row r="49" spans="1:6" ht="16">
      <c r="A49" s="15" t="s">
        <v>47</v>
      </c>
      <c r="B49" s="6" t="s">
        <v>61</v>
      </c>
      <c r="C49" s="6" t="s">
        <v>140</v>
      </c>
      <c r="D49" s="24">
        <f>COUNTIFS('Scenario 1 Raw'!$B$6:$B$155,$B49,'Scenario 1 Raw'!$C$6:$C$155,"&lt;&gt;",'Scenario 1 Raw'!$Q$6:$Q$155,"Yes",'Scenario 1 Raw'!$M$6:$M$155,"Yes",'Scenario 1 Raw'!$N$6:$N$155,$C49)</f>
        <v>0</v>
      </c>
      <c r="E49" s="27">
        <f>IFERROR(D49/COUNTIFS('Scenario 1 Raw'!$B$6:$B$155,$B49,'Scenario 1 Raw'!$C$6:$C$155,"&lt;&gt;",'Scenario 1 Raw'!$Q$6:$Q$155,"Yes",'Scenario 1 Raw'!$M$6:$M$155,"Yes"),0)</f>
        <v>0</v>
      </c>
      <c r="F49" s="7"/>
    </row>
    <row r="50" spans="1:6" ht="16">
      <c r="A50" s="15" t="s">
        <v>47</v>
      </c>
      <c r="B50" s="6" t="s">
        <v>61</v>
      </c>
      <c r="C50" s="6" t="s">
        <v>141</v>
      </c>
      <c r="D50" s="24">
        <f>COUNTIFS('Scenario 1 Raw'!$B$6:$B$155,$B50,'Scenario 1 Raw'!$C$6:$C$155,"&lt;&gt;",'Scenario 1 Raw'!$Q$6:$Q$155,"Yes",'Scenario 1 Raw'!$M$6:$M$155,"Yes",'Scenario 1 Raw'!$N$6:$N$155,$C50)</f>
        <v>0</v>
      </c>
      <c r="E50" s="27">
        <f>IFERROR(D50/COUNTIFS('Scenario 1 Raw'!$B$6:$B$155,$B50,'Scenario 1 Raw'!$C$6:$C$155,"&lt;&gt;",'Scenario 1 Raw'!$Q$6:$Q$155,"Yes",'Scenario 1 Raw'!$M$6:$M$155,"Yes"),0)</f>
        <v>0</v>
      </c>
      <c r="F50" s="7"/>
    </row>
    <row r="51" spans="1:6" ht="16">
      <c r="A51" s="15" t="s">
        <v>47</v>
      </c>
      <c r="B51" s="6" t="s">
        <v>61</v>
      </c>
      <c r="C51" s="6" t="s">
        <v>142</v>
      </c>
      <c r="D51" s="24">
        <f>COUNTIFS('Scenario 1 Raw'!$B$6:$B$155,$B51,'Scenario 1 Raw'!$C$6:$C$155,"&lt;&gt;",'Scenario 1 Raw'!$Q$6:$Q$155,"Yes",'Scenario 1 Raw'!$M$6:$M$155,"Yes",'Scenario 1 Raw'!$N$6:$N$155,$C51)</f>
        <v>0</v>
      </c>
      <c r="E51" s="27">
        <f>IFERROR(D51/COUNTIFS('Scenario 1 Raw'!$B$6:$B$155,$B51,'Scenario 1 Raw'!$C$6:$C$155,"&lt;&gt;",'Scenario 1 Raw'!$Q$6:$Q$155,"Yes",'Scenario 1 Raw'!$M$6:$M$155,"Yes"),0)</f>
        <v>0</v>
      </c>
      <c r="F51" s="7"/>
    </row>
    <row r="52" spans="1:6" ht="16">
      <c r="A52" s="15" t="s">
        <v>47</v>
      </c>
      <c r="B52" s="6" t="s">
        <v>61</v>
      </c>
      <c r="C52" s="6" t="s">
        <v>143</v>
      </c>
      <c r="D52" s="24">
        <f>COUNTIFS('Scenario 1 Raw'!$B$6:$B$155,$B52,'Scenario 1 Raw'!$C$6:$C$155,"&lt;&gt;",'Scenario 1 Raw'!$Q$6:$Q$155,"Yes",'Scenario 1 Raw'!$M$6:$M$155,"Yes",'Scenario 1 Raw'!$N$6:$N$155,$C52)</f>
        <v>0</v>
      </c>
      <c r="E52" s="27">
        <f>IFERROR(D52/COUNTIFS('Scenario 1 Raw'!$B$6:$B$155,$B52,'Scenario 1 Raw'!$C$6:$C$155,"&lt;&gt;",'Scenario 1 Raw'!$Q$6:$Q$155,"Yes",'Scenario 1 Raw'!$M$6:$M$155,"Yes"),0)</f>
        <v>0</v>
      </c>
      <c r="F52" s="7"/>
    </row>
    <row r="53" spans="1:6" ht="16">
      <c r="A53" s="15" t="s">
        <v>47</v>
      </c>
      <c r="B53" s="6" t="s">
        <v>61</v>
      </c>
      <c r="C53" s="6" t="s">
        <v>144</v>
      </c>
      <c r="D53" s="24">
        <f>COUNTIFS('Scenario 1 Raw'!$B$6:$B$155,$B53,'Scenario 1 Raw'!$C$6:$C$155,"&lt;&gt;",'Scenario 1 Raw'!$Q$6:$Q$155,"Yes",'Scenario 1 Raw'!$M$6:$M$155,"Yes",'Scenario 1 Raw'!$N$6:$N$155,$C53)</f>
        <v>0</v>
      </c>
      <c r="E53" s="27">
        <f>IFERROR(D53/COUNTIFS('Scenario 1 Raw'!$B$6:$B$155,$B53,'Scenario 1 Raw'!$C$6:$C$155,"&lt;&gt;",'Scenario 1 Raw'!$Q$6:$Q$155,"Yes",'Scenario 1 Raw'!$M$6:$M$155,"Yes"),0)</f>
        <v>0</v>
      </c>
      <c r="F53" s="7"/>
    </row>
    <row r="54" spans="1:6" ht="16">
      <c r="A54" s="15" t="s">
        <v>62</v>
      </c>
      <c r="B54" s="6" t="s">
        <v>48</v>
      </c>
      <c r="C54" s="6" t="s">
        <v>107</v>
      </c>
      <c r="D54" s="24">
        <f>COUNTIFS('Scenario 2 Raw'!$B$6:$B$155,$B54,'Scenario 2 Raw'!$C$6:$C$155,"&lt;&gt;",'Scenario 2 Raw'!$Q$6:$Q$155,"Yes",'Scenario 2 Raw'!$M$6:$M$155,"Yes",'Scenario 2 Raw'!$N$6:$N$155,$C54)</f>
        <v>0</v>
      </c>
      <c r="E54" s="27">
        <f>IFERROR(D54/COUNTIFS('Scenario 2 Raw'!$B$6:$B$155,$B54,'Scenario 2 Raw'!$C$6:$C$155,"&lt;&gt;",'Scenario 2 Raw'!$Q$6:$Q$155,"Yes",'Scenario 2 Raw'!$M$6:$M$155,"Yes"),0)</f>
        <v>0</v>
      </c>
      <c r="F54" s="7"/>
    </row>
    <row r="55" spans="1:6" ht="16">
      <c r="A55" s="15" t="s">
        <v>62</v>
      </c>
      <c r="B55" s="6" t="s">
        <v>48</v>
      </c>
      <c r="C55" s="6" t="s">
        <v>139</v>
      </c>
      <c r="D55" s="24">
        <f>COUNTIFS('Scenario 2 Raw'!$B$6:$B$155,$B55,'Scenario 2 Raw'!$C$6:$C$155,"&lt;&gt;",'Scenario 2 Raw'!$Q$6:$Q$155,"Yes",'Scenario 2 Raw'!$M$6:$M$155,"Yes",'Scenario 2 Raw'!$N$6:$N$155,$C55)</f>
        <v>0</v>
      </c>
      <c r="E55" s="27">
        <f>IFERROR(D55/COUNTIFS('Scenario 2 Raw'!$B$6:$B$155,$B55,'Scenario 2 Raw'!$C$6:$C$155,"&lt;&gt;",'Scenario 2 Raw'!$Q$6:$Q$155,"Yes",'Scenario 2 Raw'!$M$6:$M$155,"Yes"),0)</f>
        <v>0</v>
      </c>
      <c r="F55" s="7"/>
    </row>
    <row r="56" spans="1:6" ht="16">
      <c r="A56" s="15" t="s">
        <v>62</v>
      </c>
      <c r="B56" s="6" t="s">
        <v>48</v>
      </c>
      <c r="C56" s="6" t="s">
        <v>140</v>
      </c>
      <c r="D56" s="24">
        <f>COUNTIFS('Scenario 2 Raw'!$B$6:$B$155,$B56,'Scenario 2 Raw'!$C$6:$C$155,"&lt;&gt;",'Scenario 2 Raw'!$Q$6:$Q$155,"Yes",'Scenario 2 Raw'!$M$6:$M$155,"Yes",'Scenario 2 Raw'!$N$6:$N$155,$C56)</f>
        <v>0</v>
      </c>
      <c r="E56" s="27">
        <f>IFERROR(D56/COUNTIFS('Scenario 2 Raw'!$B$6:$B$155,$B56,'Scenario 2 Raw'!$C$6:$C$155,"&lt;&gt;",'Scenario 2 Raw'!$Q$6:$Q$155,"Yes",'Scenario 2 Raw'!$M$6:$M$155,"Yes"),0)</f>
        <v>0</v>
      </c>
      <c r="F56" s="7"/>
    </row>
    <row r="57" spans="1:6" ht="16">
      <c r="A57" s="15" t="s">
        <v>62</v>
      </c>
      <c r="B57" s="6" t="s">
        <v>48</v>
      </c>
      <c r="C57" s="6" t="s">
        <v>141</v>
      </c>
      <c r="D57" s="24">
        <f>COUNTIFS('Scenario 2 Raw'!$B$6:$B$155,$B57,'Scenario 2 Raw'!$C$6:$C$155,"&lt;&gt;",'Scenario 2 Raw'!$Q$6:$Q$155,"Yes",'Scenario 2 Raw'!$M$6:$M$155,"Yes",'Scenario 2 Raw'!$N$6:$N$155,$C57)</f>
        <v>0</v>
      </c>
      <c r="E57" s="27">
        <f>IFERROR(D57/COUNTIFS('Scenario 2 Raw'!$B$6:$B$155,$B57,'Scenario 2 Raw'!$C$6:$C$155,"&lt;&gt;",'Scenario 2 Raw'!$Q$6:$Q$155,"Yes",'Scenario 2 Raw'!$M$6:$M$155,"Yes"),0)</f>
        <v>0</v>
      </c>
      <c r="F57" s="7"/>
    </row>
    <row r="58" spans="1:6" ht="16">
      <c r="A58" s="15" t="s">
        <v>62</v>
      </c>
      <c r="B58" s="6" t="s">
        <v>48</v>
      </c>
      <c r="C58" s="6" t="s">
        <v>142</v>
      </c>
      <c r="D58" s="24">
        <f>COUNTIFS('Scenario 2 Raw'!$B$6:$B$155,$B58,'Scenario 2 Raw'!$C$6:$C$155,"&lt;&gt;",'Scenario 2 Raw'!$Q$6:$Q$155,"Yes",'Scenario 2 Raw'!$M$6:$M$155,"Yes",'Scenario 2 Raw'!$N$6:$N$155,$C58)</f>
        <v>0</v>
      </c>
      <c r="E58" s="27">
        <f>IFERROR(D58/COUNTIFS('Scenario 2 Raw'!$B$6:$B$155,$B58,'Scenario 2 Raw'!$C$6:$C$155,"&lt;&gt;",'Scenario 2 Raw'!$Q$6:$Q$155,"Yes",'Scenario 2 Raw'!$M$6:$M$155,"Yes"),0)</f>
        <v>0</v>
      </c>
      <c r="F58" s="7"/>
    </row>
    <row r="59" spans="1:6" ht="16">
      <c r="A59" s="15" t="s">
        <v>62</v>
      </c>
      <c r="B59" s="6" t="s">
        <v>48</v>
      </c>
      <c r="C59" s="6" t="s">
        <v>143</v>
      </c>
      <c r="D59" s="24">
        <f>COUNTIFS('Scenario 2 Raw'!$B$6:$B$155,$B59,'Scenario 2 Raw'!$C$6:$C$155,"&lt;&gt;",'Scenario 2 Raw'!$Q$6:$Q$155,"Yes",'Scenario 2 Raw'!$M$6:$M$155,"Yes",'Scenario 2 Raw'!$N$6:$N$155,$C59)</f>
        <v>0</v>
      </c>
      <c r="E59" s="27">
        <f>IFERROR(D59/COUNTIFS('Scenario 2 Raw'!$B$6:$B$155,$B59,'Scenario 2 Raw'!$C$6:$C$155,"&lt;&gt;",'Scenario 2 Raw'!$Q$6:$Q$155,"Yes",'Scenario 2 Raw'!$M$6:$M$155,"Yes"),0)</f>
        <v>0</v>
      </c>
      <c r="F59" s="7"/>
    </row>
    <row r="60" spans="1:6" ht="16">
      <c r="A60" s="15" t="s">
        <v>62</v>
      </c>
      <c r="B60" s="6" t="s">
        <v>48</v>
      </c>
      <c r="C60" s="6" t="s">
        <v>144</v>
      </c>
      <c r="D60" s="24">
        <f>COUNTIFS('Scenario 2 Raw'!$B$6:$B$155,$B60,'Scenario 2 Raw'!$C$6:$C$155,"&lt;&gt;",'Scenario 2 Raw'!$Q$6:$Q$155,"Yes",'Scenario 2 Raw'!$M$6:$M$155,"Yes",'Scenario 2 Raw'!$N$6:$N$155,$C60)</f>
        <v>0</v>
      </c>
      <c r="E60" s="27">
        <f>IFERROR(D60/COUNTIFS('Scenario 2 Raw'!$B$6:$B$155,$B60,'Scenario 2 Raw'!$C$6:$C$155,"&lt;&gt;",'Scenario 2 Raw'!$Q$6:$Q$155,"Yes",'Scenario 2 Raw'!$M$6:$M$155,"Yes"),0)</f>
        <v>0</v>
      </c>
      <c r="F60" s="7"/>
    </row>
    <row r="61" spans="1:6" ht="16">
      <c r="A61" s="15" t="s">
        <v>62</v>
      </c>
      <c r="B61" s="6" t="s">
        <v>51</v>
      </c>
      <c r="C61" s="6" t="s">
        <v>107</v>
      </c>
      <c r="D61" s="24">
        <f>COUNTIFS('Scenario 2 Raw'!$B$6:$B$155,$B61,'Scenario 2 Raw'!$C$6:$C$155,"&lt;&gt;",'Scenario 2 Raw'!$Q$6:$Q$155,"Yes",'Scenario 2 Raw'!$M$6:$M$155,"Yes",'Scenario 2 Raw'!$N$6:$N$155,$C61)</f>
        <v>0</v>
      </c>
      <c r="E61" s="27">
        <f>IFERROR(D61/COUNTIFS('Scenario 2 Raw'!$B$6:$B$155,$B61,'Scenario 2 Raw'!$C$6:$C$155,"&lt;&gt;",'Scenario 2 Raw'!$Q$6:$Q$155,"Yes",'Scenario 2 Raw'!$M$6:$M$155,"Yes"),0)</f>
        <v>0</v>
      </c>
      <c r="F61" s="7"/>
    </row>
    <row r="62" spans="1:6" ht="16">
      <c r="A62" s="15" t="s">
        <v>62</v>
      </c>
      <c r="B62" s="6" t="s">
        <v>51</v>
      </c>
      <c r="C62" s="6" t="s">
        <v>139</v>
      </c>
      <c r="D62" s="24">
        <f>COUNTIFS('Scenario 2 Raw'!$B$6:$B$155,$B62,'Scenario 2 Raw'!$C$6:$C$155,"&lt;&gt;",'Scenario 2 Raw'!$Q$6:$Q$155,"Yes",'Scenario 2 Raw'!$M$6:$M$155,"Yes",'Scenario 2 Raw'!$N$6:$N$155,$C62)</f>
        <v>0</v>
      </c>
      <c r="E62" s="27">
        <f>IFERROR(D62/COUNTIFS('Scenario 2 Raw'!$B$6:$B$155,$B62,'Scenario 2 Raw'!$C$6:$C$155,"&lt;&gt;",'Scenario 2 Raw'!$Q$6:$Q$155,"Yes",'Scenario 2 Raw'!$M$6:$M$155,"Yes"),0)</f>
        <v>0</v>
      </c>
      <c r="F62" s="7"/>
    </row>
    <row r="63" spans="1:6" ht="16">
      <c r="A63" s="15" t="s">
        <v>62</v>
      </c>
      <c r="B63" s="6" t="s">
        <v>51</v>
      </c>
      <c r="C63" s="6" t="s">
        <v>140</v>
      </c>
      <c r="D63" s="24">
        <f>COUNTIFS('Scenario 2 Raw'!$B$6:$B$155,$B63,'Scenario 2 Raw'!$C$6:$C$155,"&lt;&gt;",'Scenario 2 Raw'!$Q$6:$Q$155,"Yes",'Scenario 2 Raw'!$M$6:$M$155,"Yes",'Scenario 2 Raw'!$N$6:$N$155,$C63)</f>
        <v>0</v>
      </c>
      <c r="E63" s="27">
        <f>IFERROR(D63/COUNTIFS('Scenario 2 Raw'!$B$6:$B$155,$B63,'Scenario 2 Raw'!$C$6:$C$155,"&lt;&gt;",'Scenario 2 Raw'!$Q$6:$Q$155,"Yes",'Scenario 2 Raw'!$M$6:$M$155,"Yes"),0)</f>
        <v>0</v>
      </c>
      <c r="F63" s="7"/>
    </row>
    <row r="64" spans="1:6" ht="16">
      <c r="A64" s="15" t="s">
        <v>62</v>
      </c>
      <c r="B64" s="6" t="s">
        <v>51</v>
      </c>
      <c r="C64" s="6" t="s">
        <v>141</v>
      </c>
      <c r="D64" s="24">
        <f>COUNTIFS('Scenario 2 Raw'!$B$6:$B$155,$B64,'Scenario 2 Raw'!$C$6:$C$155,"&lt;&gt;",'Scenario 2 Raw'!$Q$6:$Q$155,"Yes",'Scenario 2 Raw'!$M$6:$M$155,"Yes",'Scenario 2 Raw'!$N$6:$N$155,$C64)</f>
        <v>0</v>
      </c>
      <c r="E64" s="27">
        <f>IFERROR(D64/COUNTIFS('Scenario 2 Raw'!$B$6:$B$155,$B64,'Scenario 2 Raw'!$C$6:$C$155,"&lt;&gt;",'Scenario 2 Raw'!$Q$6:$Q$155,"Yes",'Scenario 2 Raw'!$M$6:$M$155,"Yes"),0)</f>
        <v>0</v>
      </c>
      <c r="F64" s="7"/>
    </row>
    <row r="65" spans="1:6" ht="16">
      <c r="A65" s="15" t="s">
        <v>62</v>
      </c>
      <c r="B65" s="6" t="s">
        <v>51</v>
      </c>
      <c r="C65" s="6" t="s">
        <v>142</v>
      </c>
      <c r="D65" s="24">
        <f>COUNTIFS('Scenario 2 Raw'!$B$6:$B$155,$B65,'Scenario 2 Raw'!$C$6:$C$155,"&lt;&gt;",'Scenario 2 Raw'!$Q$6:$Q$155,"Yes",'Scenario 2 Raw'!$M$6:$M$155,"Yes",'Scenario 2 Raw'!$N$6:$N$155,$C65)</f>
        <v>0</v>
      </c>
      <c r="E65" s="27">
        <f>IFERROR(D65/COUNTIFS('Scenario 2 Raw'!$B$6:$B$155,$B65,'Scenario 2 Raw'!$C$6:$C$155,"&lt;&gt;",'Scenario 2 Raw'!$Q$6:$Q$155,"Yes",'Scenario 2 Raw'!$M$6:$M$155,"Yes"),0)</f>
        <v>0</v>
      </c>
      <c r="F65" s="7"/>
    </row>
    <row r="66" spans="1:6" ht="16">
      <c r="A66" s="15" t="s">
        <v>62</v>
      </c>
      <c r="B66" s="6" t="s">
        <v>51</v>
      </c>
      <c r="C66" s="6" t="s">
        <v>143</v>
      </c>
      <c r="D66" s="24">
        <f>COUNTIFS('Scenario 2 Raw'!$B$6:$B$155,$B66,'Scenario 2 Raw'!$C$6:$C$155,"&lt;&gt;",'Scenario 2 Raw'!$Q$6:$Q$155,"Yes",'Scenario 2 Raw'!$M$6:$M$155,"Yes",'Scenario 2 Raw'!$N$6:$N$155,$C66)</f>
        <v>0</v>
      </c>
      <c r="E66" s="27">
        <f>IFERROR(D66/COUNTIFS('Scenario 2 Raw'!$B$6:$B$155,$B66,'Scenario 2 Raw'!$C$6:$C$155,"&lt;&gt;",'Scenario 2 Raw'!$Q$6:$Q$155,"Yes",'Scenario 2 Raw'!$M$6:$M$155,"Yes"),0)</f>
        <v>0</v>
      </c>
      <c r="F66" s="7"/>
    </row>
    <row r="67" spans="1:6" ht="16">
      <c r="A67" s="15" t="s">
        <v>62</v>
      </c>
      <c r="B67" s="6" t="s">
        <v>51</v>
      </c>
      <c r="C67" s="6" t="s">
        <v>144</v>
      </c>
      <c r="D67" s="24">
        <f>COUNTIFS('Scenario 2 Raw'!$B$6:$B$155,$B67,'Scenario 2 Raw'!$C$6:$C$155,"&lt;&gt;",'Scenario 2 Raw'!$Q$6:$Q$155,"Yes",'Scenario 2 Raw'!$M$6:$M$155,"Yes",'Scenario 2 Raw'!$N$6:$N$155,$C67)</f>
        <v>0</v>
      </c>
      <c r="E67" s="27">
        <f>IFERROR(D67/COUNTIFS('Scenario 2 Raw'!$B$6:$B$155,$B67,'Scenario 2 Raw'!$C$6:$C$155,"&lt;&gt;",'Scenario 2 Raw'!$Q$6:$Q$155,"Yes",'Scenario 2 Raw'!$M$6:$M$155,"Yes"),0)</f>
        <v>0</v>
      </c>
      <c r="F67" s="7"/>
    </row>
    <row r="68" spans="1:6" ht="16">
      <c r="A68" s="15" t="s">
        <v>62</v>
      </c>
      <c r="B68" s="6" t="s">
        <v>53</v>
      </c>
      <c r="C68" s="6" t="s">
        <v>107</v>
      </c>
      <c r="D68" s="24">
        <f>COUNTIFS('Scenario 2 Raw'!$B$6:$B$155,$B68,'Scenario 2 Raw'!$C$6:$C$155,"&lt;&gt;",'Scenario 2 Raw'!$Q$6:$Q$155,"Yes",'Scenario 2 Raw'!$M$6:$M$155,"Yes",'Scenario 2 Raw'!$N$6:$N$155,$C68)</f>
        <v>0</v>
      </c>
      <c r="E68" s="27">
        <f>IFERROR(D68/COUNTIFS('Scenario 2 Raw'!$B$6:$B$155,$B68,'Scenario 2 Raw'!$C$6:$C$155,"&lt;&gt;",'Scenario 2 Raw'!$Q$6:$Q$155,"Yes",'Scenario 2 Raw'!$M$6:$M$155,"Yes"),0)</f>
        <v>0</v>
      </c>
      <c r="F68" s="7"/>
    </row>
    <row r="69" spans="1:6" ht="16">
      <c r="A69" s="15" t="s">
        <v>62</v>
      </c>
      <c r="B69" s="6" t="s">
        <v>53</v>
      </c>
      <c r="C69" s="6" t="s">
        <v>139</v>
      </c>
      <c r="D69" s="24">
        <f>COUNTIFS('Scenario 2 Raw'!$B$6:$B$155,$B69,'Scenario 2 Raw'!$C$6:$C$155,"&lt;&gt;",'Scenario 2 Raw'!$Q$6:$Q$155,"Yes",'Scenario 2 Raw'!$M$6:$M$155,"Yes",'Scenario 2 Raw'!$N$6:$N$155,$C69)</f>
        <v>0</v>
      </c>
      <c r="E69" s="27">
        <f>IFERROR(D69/COUNTIFS('Scenario 2 Raw'!$B$6:$B$155,$B69,'Scenario 2 Raw'!$C$6:$C$155,"&lt;&gt;",'Scenario 2 Raw'!$Q$6:$Q$155,"Yes",'Scenario 2 Raw'!$M$6:$M$155,"Yes"),0)</f>
        <v>0</v>
      </c>
      <c r="F69" s="7"/>
    </row>
    <row r="70" spans="1:6" ht="16">
      <c r="A70" s="15" t="s">
        <v>62</v>
      </c>
      <c r="B70" s="6" t="s">
        <v>53</v>
      </c>
      <c r="C70" s="6" t="s">
        <v>140</v>
      </c>
      <c r="D70" s="24">
        <f>COUNTIFS('Scenario 2 Raw'!$B$6:$B$155,$B70,'Scenario 2 Raw'!$C$6:$C$155,"&lt;&gt;",'Scenario 2 Raw'!$Q$6:$Q$155,"Yes",'Scenario 2 Raw'!$M$6:$M$155,"Yes",'Scenario 2 Raw'!$N$6:$N$155,$C70)</f>
        <v>0</v>
      </c>
      <c r="E70" s="27">
        <f>IFERROR(D70/COUNTIFS('Scenario 2 Raw'!$B$6:$B$155,$B70,'Scenario 2 Raw'!$C$6:$C$155,"&lt;&gt;",'Scenario 2 Raw'!$Q$6:$Q$155,"Yes",'Scenario 2 Raw'!$M$6:$M$155,"Yes"),0)</f>
        <v>0</v>
      </c>
      <c r="F70" s="7"/>
    </row>
    <row r="71" spans="1:6" ht="16">
      <c r="A71" s="15" t="s">
        <v>62</v>
      </c>
      <c r="B71" s="6" t="s">
        <v>53</v>
      </c>
      <c r="C71" s="6" t="s">
        <v>141</v>
      </c>
      <c r="D71" s="24">
        <f>COUNTIFS('Scenario 2 Raw'!$B$6:$B$155,$B71,'Scenario 2 Raw'!$C$6:$C$155,"&lt;&gt;",'Scenario 2 Raw'!$Q$6:$Q$155,"Yes",'Scenario 2 Raw'!$M$6:$M$155,"Yes",'Scenario 2 Raw'!$N$6:$N$155,$C71)</f>
        <v>0</v>
      </c>
      <c r="E71" s="27">
        <f>IFERROR(D71/COUNTIFS('Scenario 2 Raw'!$B$6:$B$155,$B71,'Scenario 2 Raw'!$C$6:$C$155,"&lt;&gt;",'Scenario 2 Raw'!$Q$6:$Q$155,"Yes",'Scenario 2 Raw'!$M$6:$M$155,"Yes"),0)</f>
        <v>0</v>
      </c>
      <c r="F71" s="7"/>
    </row>
    <row r="72" spans="1:6" ht="16">
      <c r="A72" s="15" t="s">
        <v>62</v>
      </c>
      <c r="B72" s="6" t="s">
        <v>53</v>
      </c>
      <c r="C72" s="6" t="s">
        <v>142</v>
      </c>
      <c r="D72" s="24">
        <f>COUNTIFS('Scenario 2 Raw'!$B$6:$B$155,$B72,'Scenario 2 Raw'!$C$6:$C$155,"&lt;&gt;",'Scenario 2 Raw'!$Q$6:$Q$155,"Yes",'Scenario 2 Raw'!$M$6:$M$155,"Yes",'Scenario 2 Raw'!$N$6:$N$155,$C72)</f>
        <v>0</v>
      </c>
      <c r="E72" s="27">
        <f>IFERROR(D72/COUNTIFS('Scenario 2 Raw'!$B$6:$B$155,$B72,'Scenario 2 Raw'!$C$6:$C$155,"&lt;&gt;",'Scenario 2 Raw'!$Q$6:$Q$155,"Yes",'Scenario 2 Raw'!$M$6:$M$155,"Yes"),0)</f>
        <v>0</v>
      </c>
      <c r="F72" s="7"/>
    </row>
    <row r="73" spans="1:6" ht="16">
      <c r="A73" s="15" t="s">
        <v>62</v>
      </c>
      <c r="B73" s="6" t="s">
        <v>53</v>
      </c>
      <c r="C73" s="6" t="s">
        <v>143</v>
      </c>
      <c r="D73" s="24">
        <f>COUNTIFS('Scenario 2 Raw'!$B$6:$B$155,$B73,'Scenario 2 Raw'!$C$6:$C$155,"&lt;&gt;",'Scenario 2 Raw'!$Q$6:$Q$155,"Yes",'Scenario 2 Raw'!$M$6:$M$155,"Yes",'Scenario 2 Raw'!$N$6:$N$155,$C73)</f>
        <v>0</v>
      </c>
      <c r="E73" s="27">
        <f>IFERROR(D73/COUNTIFS('Scenario 2 Raw'!$B$6:$B$155,$B73,'Scenario 2 Raw'!$C$6:$C$155,"&lt;&gt;",'Scenario 2 Raw'!$Q$6:$Q$155,"Yes",'Scenario 2 Raw'!$M$6:$M$155,"Yes"),0)</f>
        <v>0</v>
      </c>
      <c r="F73" s="7"/>
    </row>
    <row r="74" spans="1:6" ht="16">
      <c r="A74" s="15" t="s">
        <v>62</v>
      </c>
      <c r="B74" s="6" t="s">
        <v>53</v>
      </c>
      <c r="C74" s="6" t="s">
        <v>144</v>
      </c>
      <c r="D74" s="24">
        <f>COUNTIFS('Scenario 2 Raw'!$B$6:$B$155,$B74,'Scenario 2 Raw'!$C$6:$C$155,"&lt;&gt;",'Scenario 2 Raw'!$Q$6:$Q$155,"Yes",'Scenario 2 Raw'!$M$6:$M$155,"Yes",'Scenario 2 Raw'!$N$6:$N$155,$C74)</f>
        <v>0</v>
      </c>
      <c r="E74" s="27">
        <f>IFERROR(D74/COUNTIFS('Scenario 2 Raw'!$B$6:$B$155,$B74,'Scenario 2 Raw'!$C$6:$C$155,"&lt;&gt;",'Scenario 2 Raw'!$Q$6:$Q$155,"Yes",'Scenario 2 Raw'!$M$6:$M$155,"Yes"),0)</f>
        <v>0</v>
      </c>
      <c r="F74" s="7"/>
    </row>
    <row r="75" spans="1:6" ht="16">
      <c r="A75" s="15" t="s">
        <v>62</v>
      </c>
      <c r="B75" s="6" t="s">
        <v>55</v>
      </c>
      <c r="C75" s="6" t="s">
        <v>107</v>
      </c>
      <c r="D75" s="24">
        <f>COUNTIFS('Scenario 2 Raw'!$B$6:$B$155,$B75,'Scenario 2 Raw'!$C$6:$C$155,"&lt;&gt;",'Scenario 2 Raw'!$Q$6:$Q$155,"Yes",'Scenario 2 Raw'!$M$6:$M$155,"Yes",'Scenario 2 Raw'!$N$6:$N$155,$C75)</f>
        <v>0</v>
      </c>
      <c r="E75" s="27">
        <f>IFERROR(D75/COUNTIFS('Scenario 2 Raw'!$B$6:$B$155,$B75,'Scenario 2 Raw'!$C$6:$C$155,"&lt;&gt;",'Scenario 2 Raw'!$Q$6:$Q$155,"Yes",'Scenario 2 Raw'!$M$6:$M$155,"Yes"),0)</f>
        <v>0</v>
      </c>
      <c r="F75" s="7"/>
    </row>
    <row r="76" spans="1:6" ht="16">
      <c r="A76" s="15" t="s">
        <v>62</v>
      </c>
      <c r="B76" s="6" t="s">
        <v>55</v>
      </c>
      <c r="C76" s="6" t="s">
        <v>139</v>
      </c>
      <c r="D76" s="24">
        <f>COUNTIFS('Scenario 2 Raw'!$B$6:$B$155,$B76,'Scenario 2 Raw'!$C$6:$C$155,"&lt;&gt;",'Scenario 2 Raw'!$Q$6:$Q$155,"Yes",'Scenario 2 Raw'!$M$6:$M$155,"Yes",'Scenario 2 Raw'!$N$6:$N$155,$C76)</f>
        <v>0</v>
      </c>
      <c r="E76" s="27">
        <f>IFERROR(D76/COUNTIFS('Scenario 2 Raw'!$B$6:$B$155,$B76,'Scenario 2 Raw'!$C$6:$C$155,"&lt;&gt;",'Scenario 2 Raw'!$Q$6:$Q$155,"Yes",'Scenario 2 Raw'!$M$6:$M$155,"Yes"),0)</f>
        <v>0</v>
      </c>
      <c r="F76" s="7"/>
    </row>
    <row r="77" spans="1:6" ht="16">
      <c r="A77" s="15" t="s">
        <v>62</v>
      </c>
      <c r="B77" s="6" t="s">
        <v>55</v>
      </c>
      <c r="C77" s="6" t="s">
        <v>140</v>
      </c>
      <c r="D77" s="24">
        <f>COUNTIFS('Scenario 2 Raw'!$B$6:$B$155,$B77,'Scenario 2 Raw'!$C$6:$C$155,"&lt;&gt;",'Scenario 2 Raw'!$Q$6:$Q$155,"Yes",'Scenario 2 Raw'!$M$6:$M$155,"Yes",'Scenario 2 Raw'!$N$6:$N$155,$C77)</f>
        <v>0</v>
      </c>
      <c r="E77" s="27">
        <f>IFERROR(D77/COUNTIFS('Scenario 2 Raw'!$B$6:$B$155,$B77,'Scenario 2 Raw'!$C$6:$C$155,"&lt;&gt;",'Scenario 2 Raw'!$Q$6:$Q$155,"Yes",'Scenario 2 Raw'!$M$6:$M$155,"Yes"),0)</f>
        <v>0</v>
      </c>
      <c r="F77" s="7"/>
    </row>
    <row r="78" spans="1:6" ht="16">
      <c r="A78" s="15" t="s">
        <v>62</v>
      </c>
      <c r="B78" s="6" t="s">
        <v>55</v>
      </c>
      <c r="C78" s="6" t="s">
        <v>141</v>
      </c>
      <c r="D78" s="24">
        <f>COUNTIFS('Scenario 2 Raw'!$B$6:$B$155,$B78,'Scenario 2 Raw'!$C$6:$C$155,"&lt;&gt;",'Scenario 2 Raw'!$Q$6:$Q$155,"Yes",'Scenario 2 Raw'!$M$6:$M$155,"Yes",'Scenario 2 Raw'!$N$6:$N$155,$C78)</f>
        <v>0</v>
      </c>
      <c r="E78" s="27">
        <f>IFERROR(D78/COUNTIFS('Scenario 2 Raw'!$B$6:$B$155,$B78,'Scenario 2 Raw'!$C$6:$C$155,"&lt;&gt;",'Scenario 2 Raw'!$Q$6:$Q$155,"Yes",'Scenario 2 Raw'!$M$6:$M$155,"Yes"),0)</f>
        <v>0</v>
      </c>
      <c r="F78" s="7"/>
    </row>
    <row r="79" spans="1:6" ht="16">
      <c r="A79" s="15" t="s">
        <v>62</v>
      </c>
      <c r="B79" s="6" t="s">
        <v>55</v>
      </c>
      <c r="C79" s="6" t="s">
        <v>142</v>
      </c>
      <c r="D79" s="24">
        <f>COUNTIFS('Scenario 2 Raw'!$B$6:$B$155,$B79,'Scenario 2 Raw'!$C$6:$C$155,"&lt;&gt;",'Scenario 2 Raw'!$Q$6:$Q$155,"Yes",'Scenario 2 Raw'!$M$6:$M$155,"Yes",'Scenario 2 Raw'!$N$6:$N$155,$C79)</f>
        <v>0</v>
      </c>
      <c r="E79" s="27">
        <f>IFERROR(D79/COUNTIFS('Scenario 2 Raw'!$B$6:$B$155,$B79,'Scenario 2 Raw'!$C$6:$C$155,"&lt;&gt;",'Scenario 2 Raw'!$Q$6:$Q$155,"Yes",'Scenario 2 Raw'!$M$6:$M$155,"Yes"),0)</f>
        <v>0</v>
      </c>
      <c r="F79" s="7"/>
    </row>
    <row r="80" spans="1:6" ht="16">
      <c r="A80" s="15" t="s">
        <v>62</v>
      </c>
      <c r="B80" s="6" t="s">
        <v>55</v>
      </c>
      <c r="C80" s="6" t="s">
        <v>143</v>
      </c>
      <c r="D80" s="24">
        <f>COUNTIFS('Scenario 2 Raw'!$B$6:$B$155,$B80,'Scenario 2 Raw'!$C$6:$C$155,"&lt;&gt;",'Scenario 2 Raw'!$Q$6:$Q$155,"Yes",'Scenario 2 Raw'!$M$6:$M$155,"Yes",'Scenario 2 Raw'!$N$6:$N$155,$C80)</f>
        <v>0</v>
      </c>
      <c r="E80" s="27">
        <f>IFERROR(D80/COUNTIFS('Scenario 2 Raw'!$B$6:$B$155,$B80,'Scenario 2 Raw'!$C$6:$C$155,"&lt;&gt;",'Scenario 2 Raw'!$Q$6:$Q$155,"Yes",'Scenario 2 Raw'!$M$6:$M$155,"Yes"),0)</f>
        <v>0</v>
      </c>
      <c r="F80" s="7"/>
    </row>
    <row r="81" spans="1:6" ht="16">
      <c r="A81" s="15" t="s">
        <v>62</v>
      </c>
      <c r="B81" s="6" t="s">
        <v>55</v>
      </c>
      <c r="C81" s="6" t="s">
        <v>144</v>
      </c>
      <c r="D81" s="24">
        <f>COUNTIFS('Scenario 2 Raw'!$B$6:$B$155,$B81,'Scenario 2 Raw'!$C$6:$C$155,"&lt;&gt;",'Scenario 2 Raw'!$Q$6:$Q$155,"Yes",'Scenario 2 Raw'!$M$6:$M$155,"Yes",'Scenario 2 Raw'!$N$6:$N$155,$C81)</f>
        <v>0</v>
      </c>
      <c r="E81" s="27">
        <f>IFERROR(D81/COUNTIFS('Scenario 2 Raw'!$B$6:$B$155,$B81,'Scenario 2 Raw'!$C$6:$C$155,"&lt;&gt;",'Scenario 2 Raw'!$Q$6:$Q$155,"Yes",'Scenario 2 Raw'!$M$6:$M$155,"Yes"),0)</f>
        <v>0</v>
      </c>
      <c r="F81" s="7"/>
    </row>
    <row r="82" spans="1:6" ht="16">
      <c r="A82" s="15" t="s">
        <v>62</v>
      </c>
      <c r="B82" s="6" t="s">
        <v>56</v>
      </c>
      <c r="C82" s="6" t="s">
        <v>107</v>
      </c>
      <c r="D82" s="24">
        <f>COUNTIFS('Scenario 2 Raw'!$B$6:$B$155,$B82,'Scenario 2 Raw'!$C$6:$C$155,"&lt;&gt;",'Scenario 2 Raw'!$Q$6:$Q$155,"Yes",'Scenario 2 Raw'!$M$6:$M$155,"Yes",'Scenario 2 Raw'!$N$6:$N$155,$C82)</f>
        <v>0</v>
      </c>
      <c r="E82" s="27">
        <f>IFERROR(D82/COUNTIFS('Scenario 2 Raw'!$B$6:$B$155,$B82,'Scenario 2 Raw'!$C$6:$C$155,"&lt;&gt;",'Scenario 2 Raw'!$Q$6:$Q$155,"Yes",'Scenario 2 Raw'!$M$6:$M$155,"Yes"),0)</f>
        <v>0</v>
      </c>
      <c r="F82" s="7"/>
    </row>
    <row r="83" spans="1:6" ht="16">
      <c r="A83" s="15" t="s">
        <v>62</v>
      </c>
      <c r="B83" s="6" t="s">
        <v>56</v>
      </c>
      <c r="C83" s="6" t="s">
        <v>139</v>
      </c>
      <c r="D83" s="24">
        <f>COUNTIFS('Scenario 2 Raw'!$B$6:$B$155,$B83,'Scenario 2 Raw'!$C$6:$C$155,"&lt;&gt;",'Scenario 2 Raw'!$Q$6:$Q$155,"Yes",'Scenario 2 Raw'!$M$6:$M$155,"Yes",'Scenario 2 Raw'!$N$6:$N$155,$C83)</f>
        <v>0</v>
      </c>
      <c r="E83" s="27">
        <f>IFERROR(D83/COUNTIFS('Scenario 2 Raw'!$B$6:$B$155,$B83,'Scenario 2 Raw'!$C$6:$C$155,"&lt;&gt;",'Scenario 2 Raw'!$Q$6:$Q$155,"Yes",'Scenario 2 Raw'!$M$6:$M$155,"Yes"),0)</f>
        <v>0</v>
      </c>
      <c r="F83" s="7"/>
    </row>
    <row r="84" spans="1:6" ht="16">
      <c r="A84" s="15" t="s">
        <v>62</v>
      </c>
      <c r="B84" s="6" t="s">
        <v>56</v>
      </c>
      <c r="C84" s="6" t="s">
        <v>140</v>
      </c>
      <c r="D84" s="24">
        <f>COUNTIFS('Scenario 2 Raw'!$B$6:$B$155,$B84,'Scenario 2 Raw'!$C$6:$C$155,"&lt;&gt;",'Scenario 2 Raw'!$Q$6:$Q$155,"Yes",'Scenario 2 Raw'!$M$6:$M$155,"Yes",'Scenario 2 Raw'!$N$6:$N$155,$C84)</f>
        <v>0</v>
      </c>
      <c r="E84" s="27">
        <f>IFERROR(D84/COUNTIFS('Scenario 2 Raw'!$B$6:$B$155,$B84,'Scenario 2 Raw'!$C$6:$C$155,"&lt;&gt;",'Scenario 2 Raw'!$Q$6:$Q$155,"Yes",'Scenario 2 Raw'!$M$6:$M$155,"Yes"),0)</f>
        <v>0</v>
      </c>
      <c r="F84" s="7"/>
    </row>
    <row r="85" spans="1:6" ht="16">
      <c r="A85" s="15" t="s">
        <v>62</v>
      </c>
      <c r="B85" s="6" t="s">
        <v>56</v>
      </c>
      <c r="C85" s="6" t="s">
        <v>141</v>
      </c>
      <c r="D85" s="24">
        <f>COUNTIFS('Scenario 2 Raw'!$B$6:$B$155,$B85,'Scenario 2 Raw'!$C$6:$C$155,"&lt;&gt;",'Scenario 2 Raw'!$Q$6:$Q$155,"Yes",'Scenario 2 Raw'!$M$6:$M$155,"Yes",'Scenario 2 Raw'!$N$6:$N$155,$C85)</f>
        <v>0</v>
      </c>
      <c r="E85" s="27">
        <f>IFERROR(D85/COUNTIFS('Scenario 2 Raw'!$B$6:$B$155,$B85,'Scenario 2 Raw'!$C$6:$C$155,"&lt;&gt;",'Scenario 2 Raw'!$Q$6:$Q$155,"Yes",'Scenario 2 Raw'!$M$6:$M$155,"Yes"),0)</f>
        <v>0</v>
      </c>
      <c r="F85" s="7"/>
    </row>
    <row r="86" spans="1:6" ht="16">
      <c r="A86" s="15" t="s">
        <v>62</v>
      </c>
      <c r="B86" s="6" t="s">
        <v>56</v>
      </c>
      <c r="C86" s="6" t="s">
        <v>142</v>
      </c>
      <c r="D86" s="24">
        <f>COUNTIFS('Scenario 2 Raw'!$B$6:$B$155,$B86,'Scenario 2 Raw'!$C$6:$C$155,"&lt;&gt;",'Scenario 2 Raw'!$Q$6:$Q$155,"Yes",'Scenario 2 Raw'!$M$6:$M$155,"Yes",'Scenario 2 Raw'!$N$6:$N$155,$C86)</f>
        <v>0</v>
      </c>
      <c r="E86" s="27">
        <f>IFERROR(D86/COUNTIFS('Scenario 2 Raw'!$B$6:$B$155,$B86,'Scenario 2 Raw'!$C$6:$C$155,"&lt;&gt;",'Scenario 2 Raw'!$Q$6:$Q$155,"Yes",'Scenario 2 Raw'!$M$6:$M$155,"Yes"),0)</f>
        <v>0</v>
      </c>
      <c r="F86" s="7"/>
    </row>
    <row r="87" spans="1:6" ht="16">
      <c r="A87" s="15" t="s">
        <v>62</v>
      </c>
      <c r="B87" s="6" t="s">
        <v>56</v>
      </c>
      <c r="C87" s="6" t="s">
        <v>143</v>
      </c>
      <c r="D87" s="24">
        <f>COUNTIFS('Scenario 2 Raw'!$B$6:$B$155,$B87,'Scenario 2 Raw'!$C$6:$C$155,"&lt;&gt;",'Scenario 2 Raw'!$Q$6:$Q$155,"Yes",'Scenario 2 Raw'!$M$6:$M$155,"Yes",'Scenario 2 Raw'!$N$6:$N$155,$C87)</f>
        <v>0</v>
      </c>
      <c r="E87" s="27">
        <f>IFERROR(D87/COUNTIFS('Scenario 2 Raw'!$B$6:$B$155,$B87,'Scenario 2 Raw'!$C$6:$C$155,"&lt;&gt;",'Scenario 2 Raw'!$Q$6:$Q$155,"Yes",'Scenario 2 Raw'!$M$6:$M$155,"Yes"),0)</f>
        <v>0</v>
      </c>
      <c r="F87" s="7"/>
    </row>
    <row r="88" spans="1:6" ht="16">
      <c r="A88" s="15" t="s">
        <v>62</v>
      </c>
      <c r="B88" s="6" t="s">
        <v>56</v>
      </c>
      <c r="C88" s="6" t="s">
        <v>144</v>
      </c>
      <c r="D88" s="24">
        <f>COUNTIFS('Scenario 2 Raw'!$B$6:$B$155,$B88,'Scenario 2 Raw'!$C$6:$C$155,"&lt;&gt;",'Scenario 2 Raw'!$Q$6:$Q$155,"Yes",'Scenario 2 Raw'!$M$6:$M$155,"Yes",'Scenario 2 Raw'!$N$6:$N$155,$C88)</f>
        <v>0</v>
      </c>
      <c r="E88" s="27">
        <f>IFERROR(D88/COUNTIFS('Scenario 2 Raw'!$B$6:$B$155,$B88,'Scenario 2 Raw'!$C$6:$C$155,"&lt;&gt;",'Scenario 2 Raw'!$Q$6:$Q$155,"Yes",'Scenario 2 Raw'!$M$6:$M$155,"Yes"),0)</f>
        <v>0</v>
      </c>
      <c r="F88" s="7"/>
    </row>
    <row r="89" spans="1:6" ht="16">
      <c r="A89" s="15" t="s">
        <v>62</v>
      </c>
      <c r="B89" s="6" t="s">
        <v>59</v>
      </c>
      <c r="C89" s="6" t="s">
        <v>107</v>
      </c>
      <c r="D89" s="24">
        <f>COUNTIFS('Scenario 2 Raw'!$B$6:$B$155,$B89,'Scenario 2 Raw'!$C$6:$C$155,"&lt;&gt;",'Scenario 2 Raw'!$Q$6:$Q$155,"Yes",'Scenario 2 Raw'!$M$6:$M$155,"Yes",'Scenario 2 Raw'!$N$6:$N$155,$C89)</f>
        <v>0</v>
      </c>
      <c r="E89" s="27">
        <f>IFERROR(D89/COUNTIFS('Scenario 2 Raw'!$B$6:$B$155,$B89,'Scenario 2 Raw'!$C$6:$C$155,"&lt;&gt;",'Scenario 2 Raw'!$Q$6:$Q$155,"Yes",'Scenario 2 Raw'!$M$6:$M$155,"Yes"),0)</f>
        <v>0</v>
      </c>
      <c r="F89" s="7"/>
    </row>
    <row r="90" spans="1:6" ht="16">
      <c r="A90" s="15" t="s">
        <v>62</v>
      </c>
      <c r="B90" s="6" t="s">
        <v>59</v>
      </c>
      <c r="C90" s="6" t="s">
        <v>139</v>
      </c>
      <c r="D90" s="24">
        <f>COUNTIFS('Scenario 2 Raw'!$B$6:$B$155,$B90,'Scenario 2 Raw'!$C$6:$C$155,"&lt;&gt;",'Scenario 2 Raw'!$Q$6:$Q$155,"Yes",'Scenario 2 Raw'!$M$6:$M$155,"Yes",'Scenario 2 Raw'!$N$6:$N$155,$C90)</f>
        <v>0</v>
      </c>
      <c r="E90" s="27">
        <f>IFERROR(D90/COUNTIFS('Scenario 2 Raw'!$B$6:$B$155,$B90,'Scenario 2 Raw'!$C$6:$C$155,"&lt;&gt;",'Scenario 2 Raw'!$Q$6:$Q$155,"Yes",'Scenario 2 Raw'!$M$6:$M$155,"Yes"),0)</f>
        <v>0</v>
      </c>
      <c r="F90" s="7"/>
    </row>
    <row r="91" spans="1:6" ht="16">
      <c r="A91" s="15" t="s">
        <v>62</v>
      </c>
      <c r="B91" s="6" t="s">
        <v>59</v>
      </c>
      <c r="C91" s="6" t="s">
        <v>140</v>
      </c>
      <c r="D91" s="24">
        <f>COUNTIFS('Scenario 2 Raw'!$B$6:$B$155,$B91,'Scenario 2 Raw'!$C$6:$C$155,"&lt;&gt;",'Scenario 2 Raw'!$Q$6:$Q$155,"Yes",'Scenario 2 Raw'!$M$6:$M$155,"Yes",'Scenario 2 Raw'!$N$6:$N$155,$C91)</f>
        <v>0</v>
      </c>
      <c r="E91" s="27">
        <f>IFERROR(D91/COUNTIFS('Scenario 2 Raw'!$B$6:$B$155,$B91,'Scenario 2 Raw'!$C$6:$C$155,"&lt;&gt;",'Scenario 2 Raw'!$Q$6:$Q$155,"Yes",'Scenario 2 Raw'!$M$6:$M$155,"Yes"),0)</f>
        <v>0</v>
      </c>
      <c r="F91" s="7"/>
    </row>
    <row r="92" spans="1:6" ht="16">
      <c r="A92" s="15" t="s">
        <v>62</v>
      </c>
      <c r="B92" s="6" t="s">
        <v>59</v>
      </c>
      <c r="C92" s="6" t="s">
        <v>141</v>
      </c>
      <c r="D92" s="24">
        <f>COUNTIFS('Scenario 2 Raw'!$B$6:$B$155,$B92,'Scenario 2 Raw'!$C$6:$C$155,"&lt;&gt;",'Scenario 2 Raw'!$Q$6:$Q$155,"Yes",'Scenario 2 Raw'!$M$6:$M$155,"Yes",'Scenario 2 Raw'!$N$6:$N$155,$C92)</f>
        <v>0</v>
      </c>
      <c r="E92" s="27">
        <f>IFERROR(D92/COUNTIFS('Scenario 2 Raw'!$B$6:$B$155,$B92,'Scenario 2 Raw'!$C$6:$C$155,"&lt;&gt;",'Scenario 2 Raw'!$Q$6:$Q$155,"Yes",'Scenario 2 Raw'!$M$6:$M$155,"Yes"),0)</f>
        <v>0</v>
      </c>
      <c r="F92" s="7"/>
    </row>
    <row r="93" spans="1:6" ht="16">
      <c r="A93" s="15" t="s">
        <v>62</v>
      </c>
      <c r="B93" s="6" t="s">
        <v>59</v>
      </c>
      <c r="C93" s="6" t="s">
        <v>142</v>
      </c>
      <c r="D93" s="24">
        <f>COUNTIFS('Scenario 2 Raw'!$B$6:$B$155,$B93,'Scenario 2 Raw'!$C$6:$C$155,"&lt;&gt;",'Scenario 2 Raw'!$Q$6:$Q$155,"Yes",'Scenario 2 Raw'!$M$6:$M$155,"Yes",'Scenario 2 Raw'!$N$6:$N$155,$C93)</f>
        <v>0</v>
      </c>
      <c r="E93" s="27">
        <f>IFERROR(D93/COUNTIFS('Scenario 2 Raw'!$B$6:$B$155,$B93,'Scenario 2 Raw'!$C$6:$C$155,"&lt;&gt;",'Scenario 2 Raw'!$Q$6:$Q$155,"Yes",'Scenario 2 Raw'!$M$6:$M$155,"Yes"),0)</f>
        <v>0</v>
      </c>
      <c r="F93" s="7"/>
    </row>
    <row r="94" spans="1:6" ht="16">
      <c r="A94" s="15" t="s">
        <v>62</v>
      </c>
      <c r="B94" s="6" t="s">
        <v>59</v>
      </c>
      <c r="C94" s="6" t="s">
        <v>143</v>
      </c>
      <c r="D94" s="24">
        <f>COUNTIFS('Scenario 2 Raw'!$B$6:$B$155,$B94,'Scenario 2 Raw'!$C$6:$C$155,"&lt;&gt;",'Scenario 2 Raw'!$Q$6:$Q$155,"Yes",'Scenario 2 Raw'!$M$6:$M$155,"Yes",'Scenario 2 Raw'!$N$6:$N$155,$C94)</f>
        <v>0</v>
      </c>
      <c r="E94" s="27">
        <f>IFERROR(D94/COUNTIFS('Scenario 2 Raw'!$B$6:$B$155,$B94,'Scenario 2 Raw'!$C$6:$C$155,"&lt;&gt;",'Scenario 2 Raw'!$Q$6:$Q$155,"Yes",'Scenario 2 Raw'!$M$6:$M$155,"Yes"),0)</f>
        <v>0</v>
      </c>
      <c r="F94" s="7"/>
    </row>
    <row r="95" spans="1:6" ht="16">
      <c r="A95" s="15" t="s">
        <v>62</v>
      </c>
      <c r="B95" s="6" t="s">
        <v>59</v>
      </c>
      <c r="C95" s="6" t="s">
        <v>144</v>
      </c>
      <c r="D95" s="24">
        <f>COUNTIFS('Scenario 2 Raw'!$B$6:$B$155,$B95,'Scenario 2 Raw'!$C$6:$C$155,"&lt;&gt;",'Scenario 2 Raw'!$Q$6:$Q$155,"Yes",'Scenario 2 Raw'!$M$6:$M$155,"Yes",'Scenario 2 Raw'!$N$6:$N$155,$C95)</f>
        <v>0</v>
      </c>
      <c r="E95" s="27">
        <f>IFERROR(D95/COUNTIFS('Scenario 2 Raw'!$B$6:$B$155,$B95,'Scenario 2 Raw'!$C$6:$C$155,"&lt;&gt;",'Scenario 2 Raw'!$Q$6:$Q$155,"Yes",'Scenario 2 Raw'!$M$6:$M$155,"Yes"),0)</f>
        <v>0</v>
      </c>
      <c r="F95" s="7"/>
    </row>
    <row r="96" spans="1:6" ht="16">
      <c r="A96" s="15" t="s">
        <v>62</v>
      </c>
      <c r="B96" s="6" t="s">
        <v>61</v>
      </c>
      <c r="C96" s="6" t="s">
        <v>107</v>
      </c>
      <c r="D96" s="24">
        <f>COUNTIFS('Scenario 2 Raw'!$B$6:$B$155,$B96,'Scenario 2 Raw'!$C$6:$C$155,"&lt;&gt;",'Scenario 2 Raw'!$Q$6:$Q$155,"Yes",'Scenario 2 Raw'!$M$6:$M$155,"Yes",'Scenario 2 Raw'!$N$6:$N$155,$C96)</f>
        <v>0</v>
      </c>
      <c r="E96" s="27">
        <f>IFERROR(D96/COUNTIFS('Scenario 2 Raw'!$B$6:$B$155,$B96,'Scenario 2 Raw'!$C$6:$C$155,"&lt;&gt;",'Scenario 2 Raw'!$Q$6:$Q$155,"Yes",'Scenario 2 Raw'!$M$6:$M$155,"Yes"),0)</f>
        <v>0</v>
      </c>
      <c r="F96" s="7"/>
    </row>
    <row r="97" spans="1:6" ht="16">
      <c r="A97" s="15" t="s">
        <v>62</v>
      </c>
      <c r="B97" s="6" t="s">
        <v>61</v>
      </c>
      <c r="C97" s="6" t="s">
        <v>139</v>
      </c>
      <c r="D97" s="24">
        <f>COUNTIFS('Scenario 2 Raw'!$B$6:$B$155,$B97,'Scenario 2 Raw'!$C$6:$C$155,"&lt;&gt;",'Scenario 2 Raw'!$Q$6:$Q$155,"Yes",'Scenario 2 Raw'!$M$6:$M$155,"Yes",'Scenario 2 Raw'!$N$6:$N$155,$C97)</f>
        <v>0</v>
      </c>
      <c r="E97" s="27">
        <f>IFERROR(D97/COUNTIFS('Scenario 2 Raw'!$B$6:$B$155,$B97,'Scenario 2 Raw'!$C$6:$C$155,"&lt;&gt;",'Scenario 2 Raw'!$Q$6:$Q$155,"Yes",'Scenario 2 Raw'!$M$6:$M$155,"Yes"),0)</f>
        <v>0</v>
      </c>
      <c r="F97" s="7"/>
    </row>
    <row r="98" spans="1:6" ht="16">
      <c r="A98" s="15" t="s">
        <v>62</v>
      </c>
      <c r="B98" s="6" t="s">
        <v>61</v>
      </c>
      <c r="C98" s="6" t="s">
        <v>140</v>
      </c>
      <c r="D98" s="24">
        <f>COUNTIFS('Scenario 2 Raw'!$B$6:$B$155,$B98,'Scenario 2 Raw'!$C$6:$C$155,"&lt;&gt;",'Scenario 2 Raw'!$Q$6:$Q$155,"Yes",'Scenario 2 Raw'!$M$6:$M$155,"Yes",'Scenario 2 Raw'!$N$6:$N$155,$C98)</f>
        <v>0</v>
      </c>
      <c r="E98" s="27">
        <f>IFERROR(D98/COUNTIFS('Scenario 2 Raw'!$B$6:$B$155,$B98,'Scenario 2 Raw'!$C$6:$C$155,"&lt;&gt;",'Scenario 2 Raw'!$Q$6:$Q$155,"Yes",'Scenario 2 Raw'!$M$6:$M$155,"Yes"),0)</f>
        <v>0</v>
      </c>
      <c r="F98" s="7"/>
    </row>
    <row r="99" spans="1:6" ht="16">
      <c r="A99" s="15" t="s">
        <v>62</v>
      </c>
      <c r="B99" s="6" t="s">
        <v>61</v>
      </c>
      <c r="C99" s="6" t="s">
        <v>141</v>
      </c>
      <c r="D99" s="24">
        <f>COUNTIFS('Scenario 2 Raw'!$B$6:$B$155,$B99,'Scenario 2 Raw'!$C$6:$C$155,"&lt;&gt;",'Scenario 2 Raw'!$Q$6:$Q$155,"Yes",'Scenario 2 Raw'!$M$6:$M$155,"Yes",'Scenario 2 Raw'!$N$6:$N$155,$C99)</f>
        <v>0</v>
      </c>
      <c r="E99" s="27">
        <f>IFERROR(D99/COUNTIFS('Scenario 2 Raw'!$B$6:$B$155,$B99,'Scenario 2 Raw'!$C$6:$C$155,"&lt;&gt;",'Scenario 2 Raw'!$Q$6:$Q$155,"Yes",'Scenario 2 Raw'!$M$6:$M$155,"Yes"),0)</f>
        <v>0</v>
      </c>
      <c r="F99" s="7"/>
    </row>
    <row r="100" spans="1:6" ht="16">
      <c r="A100" s="15" t="s">
        <v>62</v>
      </c>
      <c r="B100" s="6" t="s">
        <v>61</v>
      </c>
      <c r="C100" s="6" t="s">
        <v>142</v>
      </c>
      <c r="D100" s="24">
        <f>COUNTIFS('Scenario 2 Raw'!$B$6:$B$155,$B100,'Scenario 2 Raw'!$C$6:$C$155,"&lt;&gt;",'Scenario 2 Raw'!$Q$6:$Q$155,"Yes",'Scenario 2 Raw'!$M$6:$M$155,"Yes",'Scenario 2 Raw'!$N$6:$N$155,$C100)</f>
        <v>0</v>
      </c>
      <c r="E100" s="27">
        <f>IFERROR(D100/COUNTIFS('Scenario 2 Raw'!$B$6:$B$155,$B100,'Scenario 2 Raw'!$C$6:$C$155,"&lt;&gt;",'Scenario 2 Raw'!$Q$6:$Q$155,"Yes",'Scenario 2 Raw'!$M$6:$M$155,"Yes"),0)</f>
        <v>0</v>
      </c>
      <c r="F100" s="7"/>
    </row>
    <row r="101" spans="1:6" ht="16">
      <c r="A101" s="15" t="s">
        <v>62</v>
      </c>
      <c r="B101" s="6" t="s">
        <v>61</v>
      </c>
      <c r="C101" s="6" t="s">
        <v>143</v>
      </c>
      <c r="D101" s="24">
        <f>COUNTIFS('Scenario 2 Raw'!$B$6:$B$155,$B101,'Scenario 2 Raw'!$C$6:$C$155,"&lt;&gt;",'Scenario 2 Raw'!$Q$6:$Q$155,"Yes",'Scenario 2 Raw'!$M$6:$M$155,"Yes",'Scenario 2 Raw'!$N$6:$N$155,$C101)</f>
        <v>0</v>
      </c>
      <c r="E101" s="27">
        <f>IFERROR(D101/COUNTIFS('Scenario 2 Raw'!$B$6:$B$155,$B101,'Scenario 2 Raw'!$C$6:$C$155,"&lt;&gt;",'Scenario 2 Raw'!$Q$6:$Q$155,"Yes",'Scenario 2 Raw'!$M$6:$M$155,"Yes"),0)</f>
        <v>0</v>
      </c>
      <c r="F101" s="7"/>
    </row>
    <row r="102" spans="1:6" ht="16">
      <c r="A102" s="15" t="s">
        <v>62</v>
      </c>
      <c r="B102" s="6" t="s">
        <v>61</v>
      </c>
      <c r="C102" s="6" t="s">
        <v>144</v>
      </c>
      <c r="D102" s="24">
        <f>COUNTIFS('Scenario 2 Raw'!$B$6:$B$155,$B102,'Scenario 2 Raw'!$C$6:$C$155,"&lt;&gt;",'Scenario 2 Raw'!$Q$6:$Q$155,"Yes",'Scenario 2 Raw'!$M$6:$M$155,"Yes",'Scenario 2 Raw'!$N$6:$N$155,$C102)</f>
        <v>0</v>
      </c>
      <c r="E102" s="27">
        <f>IFERROR(D102/COUNTIFS('Scenario 2 Raw'!$B$6:$B$155,$B102,'Scenario 2 Raw'!$C$6:$C$155,"&lt;&gt;",'Scenario 2 Raw'!$Q$6:$Q$155,"Yes",'Scenario 2 Raw'!$M$6:$M$155,"Yes"),0)</f>
        <v>0</v>
      </c>
      <c r="F102" s="7"/>
    </row>
    <row r="103" spans="1:6" ht="16">
      <c r="A103" s="15" t="s">
        <v>63</v>
      </c>
      <c r="B103" s="6" t="s">
        <v>48</v>
      </c>
      <c r="C103" s="6" t="s">
        <v>107</v>
      </c>
      <c r="D103" s="24">
        <f>COUNTIFS('Scenario 3 Raw'!$B$6:$B$155,$B103,'Scenario 3 Raw'!$C$6:$C$155,"&lt;&gt;",'Scenario 3 Raw'!$Q$6:$Q$155,"Yes",'Scenario 3 Raw'!$M$6:$M$155,"Yes",'Scenario 3 Raw'!$N$6:$N$155,$C103)</f>
        <v>0</v>
      </c>
      <c r="E103" s="27">
        <f>IFERROR(D103/COUNTIFS('Scenario 3 Raw'!$B$6:$B$155,$B103,'Scenario 3 Raw'!$C$6:$C$155,"&lt;&gt;",'Scenario 3 Raw'!$Q$6:$Q$155,"Yes",'Scenario 3 Raw'!$M$6:$M$155,"Yes"),0)</f>
        <v>0</v>
      </c>
      <c r="F103" s="7"/>
    </row>
    <row r="104" spans="1:6" ht="16">
      <c r="A104" s="15" t="s">
        <v>63</v>
      </c>
      <c r="B104" s="6" t="s">
        <v>48</v>
      </c>
      <c r="C104" s="6" t="s">
        <v>139</v>
      </c>
      <c r="D104" s="24">
        <f>COUNTIFS('Scenario 3 Raw'!$B$6:$B$155,$B104,'Scenario 3 Raw'!$C$6:$C$155,"&lt;&gt;",'Scenario 3 Raw'!$Q$6:$Q$155,"Yes",'Scenario 3 Raw'!$M$6:$M$155,"Yes",'Scenario 3 Raw'!$N$6:$N$155,$C104)</f>
        <v>0</v>
      </c>
      <c r="E104" s="27">
        <f>IFERROR(D104/COUNTIFS('Scenario 3 Raw'!$B$6:$B$155,$B104,'Scenario 3 Raw'!$C$6:$C$155,"&lt;&gt;",'Scenario 3 Raw'!$Q$6:$Q$155,"Yes",'Scenario 3 Raw'!$M$6:$M$155,"Yes"),0)</f>
        <v>0</v>
      </c>
      <c r="F104" s="7"/>
    </row>
    <row r="105" spans="1:6" ht="16">
      <c r="A105" s="15" t="s">
        <v>63</v>
      </c>
      <c r="B105" s="6" t="s">
        <v>48</v>
      </c>
      <c r="C105" s="6" t="s">
        <v>140</v>
      </c>
      <c r="D105" s="24">
        <f>COUNTIFS('Scenario 3 Raw'!$B$6:$B$155,$B105,'Scenario 3 Raw'!$C$6:$C$155,"&lt;&gt;",'Scenario 3 Raw'!$Q$6:$Q$155,"Yes",'Scenario 3 Raw'!$M$6:$M$155,"Yes",'Scenario 3 Raw'!$N$6:$N$155,$C105)</f>
        <v>0</v>
      </c>
      <c r="E105" s="27">
        <f>IFERROR(D105/COUNTIFS('Scenario 3 Raw'!$B$6:$B$155,$B105,'Scenario 3 Raw'!$C$6:$C$155,"&lt;&gt;",'Scenario 3 Raw'!$Q$6:$Q$155,"Yes",'Scenario 3 Raw'!$M$6:$M$155,"Yes"),0)</f>
        <v>0</v>
      </c>
      <c r="F105" s="7"/>
    </row>
    <row r="106" spans="1:6" ht="16">
      <c r="A106" s="15" t="s">
        <v>63</v>
      </c>
      <c r="B106" s="6" t="s">
        <v>48</v>
      </c>
      <c r="C106" s="6" t="s">
        <v>141</v>
      </c>
      <c r="D106" s="24">
        <f>COUNTIFS('Scenario 3 Raw'!$B$6:$B$155,$B106,'Scenario 3 Raw'!$C$6:$C$155,"&lt;&gt;",'Scenario 3 Raw'!$Q$6:$Q$155,"Yes",'Scenario 3 Raw'!$M$6:$M$155,"Yes",'Scenario 3 Raw'!$N$6:$N$155,$C106)</f>
        <v>0</v>
      </c>
      <c r="E106" s="27">
        <f>IFERROR(D106/COUNTIFS('Scenario 3 Raw'!$B$6:$B$155,$B106,'Scenario 3 Raw'!$C$6:$C$155,"&lt;&gt;",'Scenario 3 Raw'!$Q$6:$Q$155,"Yes",'Scenario 3 Raw'!$M$6:$M$155,"Yes"),0)</f>
        <v>0</v>
      </c>
      <c r="F106" s="7"/>
    </row>
    <row r="107" spans="1:6" ht="16">
      <c r="A107" s="15" t="s">
        <v>63</v>
      </c>
      <c r="B107" s="6" t="s">
        <v>48</v>
      </c>
      <c r="C107" s="6" t="s">
        <v>142</v>
      </c>
      <c r="D107" s="24">
        <f>COUNTIFS('Scenario 3 Raw'!$B$6:$B$155,$B107,'Scenario 3 Raw'!$C$6:$C$155,"&lt;&gt;",'Scenario 3 Raw'!$Q$6:$Q$155,"Yes",'Scenario 3 Raw'!$M$6:$M$155,"Yes",'Scenario 3 Raw'!$N$6:$N$155,$C107)</f>
        <v>0</v>
      </c>
      <c r="E107" s="27">
        <f>IFERROR(D107/COUNTIFS('Scenario 3 Raw'!$B$6:$B$155,$B107,'Scenario 3 Raw'!$C$6:$C$155,"&lt;&gt;",'Scenario 3 Raw'!$Q$6:$Q$155,"Yes",'Scenario 3 Raw'!$M$6:$M$155,"Yes"),0)</f>
        <v>0</v>
      </c>
      <c r="F107" s="7"/>
    </row>
    <row r="108" spans="1:6" ht="16">
      <c r="A108" s="15" t="s">
        <v>63</v>
      </c>
      <c r="B108" s="6" t="s">
        <v>48</v>
      </c>
      <c r="C108" s="6" t="s">
        <v>143</v>
      </c>
      <c r="D108" s="24">
        <f>COUNTIFS('Scenario 3 Raw'!$B$6:$B$155,$B108,'Scenario 3 Raw'!$C$6:$C$155,"&lt;&gt;",'Scenario 3 Raw'!$Q$6:$Q$155,"Yes",'Scenario 3 Raw'!$M$6:$M$155,"Yes",'Scenario 3 Raw'!$N$6:$N$155,$C108)</f>
        <v>0</v>
      </c>
      <c r="E108" s="27">
        <f>IFERROR(D108/COUNTIFS('Scenario 3 Raw'!$B$6:$B$155,$B108,'Scenario 3 Raw'!$C$6:$C$155,"&lt;&gt;",'Scenario 3 Raw'!$Q$6:$Q$155,"Yes",'Scenario 3 Raw'!$M$6:$M$155,"Yes"),0)</f>
        <v>0</v>
      </c>
      <c r="F108" s="7"/>
    </row>
    <row r="109" spans="1:6" ht="16">
      <c r="A109" s="15" t="s">
        <v>63</v>
      </c>
      <c r="B109" s="6" t="s">
        <v>48</v>
      </c>
      <c r="C109" s="6" t="s">
        <v>144</v>
      </c>
      <c r="D109" s="24">
        <f>COUNTIFS('Scenario 3 Raw'!$B$6:$B$155,$B109,'Scenario 3 Raw'!$C$6:$C$155,"&lt;&gt;",'Scenario 3 Raw'!$Q$6:$Q$155,"Yes",'Scenario 3 Raw'!$M$6:$M$155,"Yes",'Scenario 3 Raw'!$N$6:$N$155,$C109)</f>
        <v>0</v>
      </c>
      <c r="E109" s="27">
        <f>IFERROR(D109/COUNTIFS('Scenario 3 Raw'!$B$6:$B$155,$B109,'Scenario 3 Raw'!$C$6:$C$155,"&lt;&gt;",'Scenario 3 Raw'!$Q$6:$Q$155,"Yes",'Scenario 3 Raw'!$M$6:$M$155,"Yes"),0)</f>
        <v>0</v>
      </c>
      <c r="F109" s="7"/>
    </row>
    <row r="110" spans="1:6" ht="16">
      <c r="A110" s="15" t="s">
        <v>63</v>
      </c>
      <c r="B110" s="6" t="s">
        <v>51</v>
      </c>
      <c r="C110" s="6" t="s">
        <v>107</v>
      </c>
      <c r="D110" s="24">
        <f>COUNTIFS('Scenario 3 Raw'!$B$6:$B$155,$B110,'Scenario 3 Raw'!$C$6:$C$155,"&lt;&gt;",'Scenario 3 Raw'!$Q$6:$Q$155,"Yes",'Scenario 3 Raw'!$M$6:$M$155,"Yes",'Scenario 3 Raw'!$N$6:$N$155,$C110)</f>
        <v>0</v>
      </c>
      <c r="E110" s="27">
        <f>IFERROR(D110/COUNTIFS('Scenario 3 Raw'!$B$6:$B$155,$B110,'Scenario 3 Raw'!$C$6:$C$155,"&lt;&gt;",'Scenario 3 Raw'!$Q$6:$Q$155,"Yes",'Scenario 3 Raw'!$M$6:$M$155,"Yes"),0)</f>
        <v>0</v>
      </c>
      <c r="F110" s="7"/>
    </row>
    <row r="111" spans="1:6" ht="16">
      <c r="A111" s="15" t="s">
        <v>63</v>
      </c>
      <c r="B111" s="6" t="s">
        <v>51</v>
      </c>
      <c r="C111" s="6" t="s">
        <v>139</v>
      </c>
      <c r="D111" s="24">
        <f>COUNTIFS('Scenario 3 Raw'!$B$6:$B$155,$B111,'Scenario 3 Raw'!$C$6:$C$155,"&lt;&gt;",'Scenario 3 Raw'!$Q$6:$Q$155,"Yes",'Scenario 3 Raw'!$M$6:$M$155,"Yes",'Scenario 3 Raw'!$N$6:$N$155,$C111)</f>
        <v>0</v>
      </c>
      <c r="E111" s="27">
        <f>IFERROR(D111/COUNTIFS('Scenario 3 Raw'!$B$6:$B$155,$B111,'Scenario 3 Raw'!$C$6:$C$155,"&lt;&gt;",'Scenario 3 Raw'!$Q$6:$Q$155,"Yes",'Scenario 3 Raw'!$M$6:$M$155,"Yes"),0)</f>
        <v>0</v>
      </c>
      <c r="F111" s="7"/>
    </row>
    <row r="112" spans="1:6" ht="16">
      <c r="A112" s="15" t="s">
        <v>63</v>
      </c>
      <c r="B112" s="6" t="s">
        <v>51</v>
      </c>
      <c r="C112" s="6" t="s">
        <v>140</v>
      </c>
      <c r="D112" s="24">
        <f>COUNTIFS('Scenario 3 Raw'!$B$6:$B$155,$B112,'Scenario 3 Raw'!$C$6:$C$155,"&lt;&gt;",'Scenario 3 Raw'!$Q$6:$Q$155,"Yes",'Scenario 3 Raw'!$M$6:$M$155,"Yes",'Scenario 3 Raw'!$N$6:$N$155,$C112)</f>
        <v>0</v>
      </c>
      <c r="E112" s="27">
        <f>IFERROR(D112/COUNTIFS('Scenario 3 Raw'!$B$6:$B$155,$B112,'Scenario 3 Raw'!$C$6:$C$155,"&lt;&gt;",'Scenario 3 Raw'!$Q$6:$Q$155,"Yes",'Scenario 3 Raw'!$M$6:$M$155,"Yes"),0)</f>
        <v>0</v>
      </c>
      <c r="F112" s="7"/>
    </row>
    <row r="113" spans="1:6" ht="16">
      <c r="A113" s="15" t="s">
        <v>63</v>
      </c>
      <c r="B113" s="6" t="s">
        <v>51</v>
      </c>
      <c r="C113" s="6" t="s">
        <v>141</v>
      </c>
      <c r="D113" s="24">
        <f>COUNTIFS('Scenario 3 Raw'!$B$6:$B$155,$B113,'Scenario 3 Raw'!$C$6:$C$155,"&lt;&gt;",'Scenario 3 Raw'!$Q$6:$Q$155,"Yes",'Scenario 3 Raw'!$M$6:$M$155,"Yes",'Scenario 3 Raw'!$N$6:$N$155,$C113)</f>
        <v>0</v>
      </c>
      <c r="E113" s="27">
        <f>IFERROR(D113/COUNTIFS('Scenario 3 Raw'!$B$6:$B$155,$B113,'Scenario 3 Raw'!$C$6:$C$155,"&lt;&gt;",'Scenario 3 Raw'!$Q$6:$Q$155,"Yes",'Scenario 3 Raw'!$M$6:$M$155,"Yes"),0)</f>
        <v>0</v>
      </c>
      <c r="F113" s="7"/>
    </row>
    <row r="114" spans="1:6" ht="16">
      <c r="A114" s="15" t="s">
        <v>63</v>
      </c>
      <c r="B114" s="6" t="s">
        <v>51</v>
      </c>
      <c r="C114" s="6" t="s">
        <v>142</v>
      </c>
      <c r="D114" s="24">
        <f>COUNTIFS('Scenario 3 Raw'!$B$6:$B$155,$B114,'Scenario 3 Raw'!$C$6:$C$155,"&lt;&gt;",'Scenario 3 Raw'!$Q$6:$Q$155,"Yes",'Scenario 3 Raw'!$M$6:$M$155,"Yes",'Scenario 3 Raw'!$N$6:$N$155,$C114)</f>
        <v>0</v>
      </c>
      <c r="E114" s="27">
        <f>IFERROR(D114/COUNTIFS('Scenario 3 Raw'!$B$6:$B$155,$B114,'Scenario 3 Raw'!$C$6:$C$155,"&lt;&gt;",'Scenario 3 Raw'!$Q$6:$Q$155,"Yes",'Scenario 3 Raw'!$M$6:$M$155,"Yes"),0)</f>
        <v>0</v>
      </c>
      <c r="F114" s="7"/>
    </row>
    <row r="115" spans="1:6" ht="16">
      <c r="A115" s="15" t="s">
        <v>63</v>
      </c>
      <c r="B115" s="6" t="s">
        <v>51</v>
      </c>
      <c r="C115" s="6" t="s">
        <v>143</v>
      </c>
      <c r="D115" s="24">
        <f>COUNTIFS('Scenario 3 Raw'!$B$6:$B$155,$B115,'Scenario 3 Raw'!$C$6:$C$155,"&lt;&gt;",'Scenario 3 Raw'!$Q$6:$Q$155,"Yes",'Scenario 3 Raw'!$M$6:$M$155,"Yes",'Scenario 3 Raw'!$N$6:$N$155,$C115)</f>
        <v>0</v>
      </c>
      <c r="E115" s="27">
        <f>IFERROR(D115/COUNTIFS('Scenario 3 Raw'!$B$6:$B$155,$B115,'Scenario 3 Raw'!$C$6:$C$155,"&lt;&gt;",'Scenario 3 Raw'!$Q$6:$Q$155,"Yes",'Scenario 3 Raw'!$M$6:$M$155,"Yes"),0)</f>
        <v>0</v>
      </c>
      <c r="F115" s="7"/>
    </row>
    <row r="116" spans="1:6" ht="16">
      <c r="A116" s="15" t="s">
        <v>63</v>
      </c>
      <c r="B116" s="6" t="s">
        <v>51</v>
      </c>
      <c r="C116" s="6" t="s">
        <v>144</v>
      </c>
      <c r="D116" s="24">
        <f>COUNTIFS('Scenario 3 Raw'!$B$6:$B$155,$B116,'Scenario 3 Raw'!$C$6:$C$155,"&lt;&gt;",'Scenario 3 Raw'!$Q$6:$Q$155,"Yes",'Scenario 3 Raw'!$M$6:$M$155,"Yes",'Scenario 3 Raw'!$N$6:$N$155,$C116)</f>
        <v>0</v>
      </c>
      <c r="E116" s="27">
        <f>IFERROR(D116/COUNTIFS('Scenario 3 Raw'!$B$6:$B$155,$B116,'Scenario 3 Raw'!$C$6:$C$155,"&lt;&gt;",'Scenario 3 Raw'!$Q$6:$Q$155,"Yes",'Scenario 3 Raw'!$M$6:$M$155,"Yes"),0)</f>
        <v>0</v>
      </c>
      <c r="F116" s="7"/>
    </row>
    <row r="117" spans="1:6" ht="16">
      <c r="A117" s="15" t="s">
        <v>63</v>
      </c>
      <c r="B117" s="6" t="s">
        <v>53</v>
      </c>
      <c r="C117" s="6" t="s">
        <v>107</v>
      </c>
      <c r="D117" s="24">
        <f>COUNTIFS('Scenario 3 Raw'!$B$6:$B$155,$B117,'Scenario 3 Raw'!$C$6:$C$155,"&lt;&gt;",'Scenario 3 Raw'!$Q$6:$Q$155,"Yes",'Scenario 3 Raw'!$M$6:$M$155,"Yes",'Scenario 3 Raw'!$N$6:$N$155,$C117)</f>
        <v>0</v>
      </c>
      <c r="E117" s="27">
        <f>IFERROR(D117/COUNTIFS('Scenario 3 Raw'!$B$6:$B$155,$B117,'Scenario 3 Raw'!$C$6:$C$155,"&lt;&gt;",'Scenario 3 Raw'!$Q$6:$Q$155,"Yes",'Scenario 3 Raw'!$M$6:$M$155,"Yes"),0)</f>
        <v>0</v>
      </c>
      <c r="F117" s="7"/>
    </row>
    <row r="118" spans="1:6" ht="16">
      <c r="A118" s="15" t="s">
        <v>63</v>
      </c>
      <c r="B118" s="6" t="s">
        <v>53</v>
      </c>
      <c r="C118" s="6" t="s">
        <v>139</v>
      </c>
      <c r="D118" s="24">
        <f>COUNTIFS('Scenario 3 Raw'!$B$6:$B$155,$B118,'Scenario 3 Raw'!$C$6:$C$155,"&lt;&gt;",'Scenario 3 Raw'!$Q$6:$Q$155,"Yes",'Scenario 3 Raw'!$M$6:$M$155,"Yes",'Scenario 3 Raw'!$N$6:$N$155,$C118)</f>
        <v>0</v>
      </c>
      <c r="E118" s="27">
        <f>IFERROR(D118/COUNTIFS('Scenario 3 Raw'!$B$6:$B$155,$B118,'Scenario 3 Raw'!$C$6:$C$155,"&lt;&gt;",'Scenario 3 Raw'!$Q$6:$Q$155,"Yes",'Scenario 3 Raw'!$M$6:$M$155,"Yes"),0)</f>
        <v>0</v>
      </c>
      <c r="F118" s="7"/>
    </row>
    <row r="119" spans="1:6" ht="16">
      <c r="A119" s="15" t="s">
        <v>63</v>
      </c>
      <c r="B119" s="6" t="s">
        <v>53</v>
      </c>
      <c r="C119" s="6" t="s">
        <v>140</v>
      </c>
      <c r="D119" s="24">
        <f>COUNTIFS('Scenario 3 Raw'!$B$6:$B$155,$B119,'Scenario 3 Raw'!$C$6:$C$155,"&lt;&gt;",'Scenario 3 Raw'!$Q$6:$Q$155,"Yes",'Scenario 3 Raw'!$M$6:$M$155,"Yes",'Scenario 3 Raw'!$N$6:$N$155,$C119)</f>
        <v>0</v>
      </c>
      <c r="E119" s="27">
        <f>IFERROR(D119/COUNTIFS('Scenario 3 Raw'!$B$6:$B$155,$B119,'Scenario 3 Raw'!$C$6:$C$155,"&lt;&gt;",'Scenario 3 Raw'!$Q$6:$Q$155,"Yes",'Scenario 3 Raw'!$M$6:$M$155,"Yes"),0)</f>
        <v>0</v>
      </c>
      <c r="F119" s="7"/>
    </row>
    <row r="120" spans="1:6" ht="16">
      <c r="A120" s="15" t="s">
        <v>63</v>
      </c>
      <c r="B120" s="6" t="s">
        <v>53</v>
      </c>
      <c r="C120" s="6" t="s">
        <v>141</v>
      </c>
      <c r="D120" s="24">
        <f>COUNTIFS('Scenario 3 Raw'!$B$6:$B$155,$B120,'Scenario 3 Raw'!$C$6:$C$155,"&lt;&gt;",'Scenario 3 Raw'!$Q$6:$Q$155,"Yes",'Scenario 3 Raw'!$M$6:$M$155,"Yes",'Scenario 3 Raw'!$N$6:$N$155,$C120)</f>
        <v>0</v>
      </c>
      <c r="E120" s="27">
        <f>IFERROR(D120/COUNTIFS('Scenario 3 Raw'!$B$6:$B$155,$B120,'Scenario 3 Raw'!$C$6:$C$155,"&lt;&gt;",'Scenario 3 Raw'!$Q$6:$Q$155,"Yes",'Scenario 3 Raw'!$M$6:$M$155,"Yes"),0)</f>
        <v>0</v>
      </c>
      <c r="F120" s="7"/>
    </row>
    <row r="121" spans="1:6" ht="16">
      <c r="A121" s="15" t="s">
        <v>63</v>
      </c>
      <c r="B121" s="6" t="s">
        <v>53</v>
      </c>
      <c r="C121" s="6" t="s">
        <v>142</v>
      </c>
      <c r="D121" s="24">
        <f>COUNTIFS('Scenario 3 Raw'!$B$6:$B$155,$B121,'Scenario 3 Raw'!$C$6:$C$155,"&lt;&gt;",'Scenario 3 Raw'!$Q$6:$Q$155,"Yes",'Scenario 3 Raw'!$M$6:$M$155,"Yes",'Scenario 3 Raw'!$N$6:$N$155,$C121)</f>
        <v>0</v>
      </c>
      <c r="E121" s="27">
        <f>IFERROR(D121/COUNTIFS('Scenario 3 Raw'!$B$6:$B$155,$B121,'Scenario 3 Raw'!$C$6:$C$155,"&lt;&gt;",'Scenario 3 Raw'!$Q$6:$Q$155,"Yes",'Scenario 3 Raw'!$M$6:$M$155,"Yes"),0)</f>
        <v>0</v>
      </c>
      <c r="F121" s="7"/>
    </row>
    <row r="122" spans="1:6" ht="16">
      <c r="A122" s="15" t="s">
        <v>63</v>
      </c>
      <c r="B122" s="6" t="s">
        <v>53</v>
      </c>
      <c r="C122" s="6" t="s">
        <v>143</v>
      </c>
      <c r="D122" s="24">
        <f>COUNTIFS('Scenario 3 Raw'!$B$6:$B$155,$B122,'Scenario 3 Raw'!$C$6:$C$155,"&lt;&gt;",'Scenario 3 Raw'!$Q$6:$Q$155,"Yes",'Scenario 3 Raw'!$M$6:$M$155,"Yes",'Scenario 3 Raw'!$N$6:$N$155,$C122)</f>
        <v>0</v>
      </c>
      <c r="E122" s="27">
        <f>IFERROR(D122/COUNTIFS('Scenario 3 Raw'!$B$6:$B$155,$B122,'Scenario 3 Raw'!$C$6:$C$155,"&lt;&gt;",'Scenario 3 Raw'!$Q$6:$Q$155,"Yes",'Scenario 3 Raw'!$M$6:$M$155,"Yes"),0)</f>
        <v>0</v>
      </c>
      <c r="F122" s="7"/>
    </row>
    <row r="123" spans="1:6" ht="16">
      <c r="A123" s="15" t="s">
        <v>63</v>
      </c>
      <c r="B123" s="6" t="s">
        <v>53</v>
      </c>
      <c r="C123" s="6" t="s">
        <v>144</v>
      </c>
      <c r="D123" s="24">
        <f>COUNTIFS('Scenario 3 Raw'!$B$6:$B$155,$B123,'Scenario 3 Raw'!$C$6:$C$155,"&lt;&gt;",'Scenario 3 Raw'!$Q$6:$Q$155,"Yes",'Scenario 3 Raw'!$M$6:$M$155,"Yes",'Scenario 3 Raw'!$N$6:$N$155,$C123)</f>
        <v>0</v>
      </c>
      <c r="E123" s="27">
        <f>IFERROR(D123/COUNTIFS('Scenario 3 Raw'!$B$6:$B$155,$B123,'Scenario 3 Raw'!$C$6:$C$155,"&lt;&gt;",'Scenario 3 Raw'!$Q$6:$Q$155,"Yes",'Scenario 3 Raw'!$M$6:$M$155,"Yes"),0)</f>
        <v>0</v>
      </c>
      <c r="F123" s="7"/>
    </row>
    <row r="124" spans="1:6" ht="16">
      <c r="A124" s="15" t="s">
        <v>63</v>
      </c>
      <c r="B124" s="6" t="s">
        <v>55</v>
      </c>
      <c r="C124" s="6" t="s">
        <v>107</v>
      </c>
      <c r="D124" s="24">
        <f>COUNTIFS('Scenario 3 Raw'!$B$6:$B$155,$B124,'Scenario 3 Raw'!$C$6:$C$155,"&lt;&gt;",'Scenario 3 Raw'!$Q$6:$Q$155,"Yes",'Scenario 3 Raw'!$M$6:$M$155,"Yes",'Scenario 3 Raw'!$N$6:$N$155,$C124)</f>
        <v>0</v>
      </c>
      <c r="E124" s="27">
        <f>IFERROR(D124/COUNTIFS('Scenario 3 Raw'!$B$6:$B$155,$B124,'Scenario 3 Raw'!$C$6:$C$155,"&lt;&gt;",'Scenario 3 Raw'!$Q$6:$Q$155,"Yes",'Scenario 3 Raw'!$M$6:$M$155,"Yes"),0)</f>
        <v>0</v>
      </c>
      <c r="F124" s="7"/>
    </row>
    <row r="125" spans="1:6" ht="16">
      <c r="A125" s="15" t="s">
        <v>63</v>
      </c>
      <c r="B125" s="6" t="s">
        <v>55</v>
      </c>
      <c r="C125" s="6" t="s">
        <v>139</v>
      </c>
      <c r="D125" s="24">
        <f>COUNTIFS('Scenario 3 Raw'!$B$6:$B$155,$B125,'Scenario 3 Raw'!$C$6:$C$155,"&lt;&gt;",'Scenario 3 Raw'!$Q$6:$Q$155,"Yes",'Scenario 3 Raw'!$M$6:$M$155,"Yes",'Scenario 3 Raw'!$N$6:$N$155,$C125)</f>
        <v>0</v>
      </c>
      <c r="E125" s="27">
        <f>IFERROR(D125/COUNTIFS('Scenario 3 Raw'!$B$6:$B$155,$B125,'Scenario 3 Raw'!$C$6:$C$155,"&lt;&gt;",'Scenario 3 Raw'!$Q$6:$Q$155,"Yes",'Scenario 3 Raw'!$M$6:$M$155,"Yes"),0)</f>
        <v>0</v>
      </c>
      <c r="F125" s="7"/>
    </row>
    <row r="126" spans="1:6" ht="16">
      <c r="A126" s="15" t="s">
        <v>63</v>
      </c>
      <c r="B126" s="6" t="s">
        <v>55</v>
      </c>
      <c r="C126" s="6" t="s">
        <v>140</v>
      </c>
      <c r="D126" s="24">
        <f>COUNTIFS('Scenario 3 Raw'!$B$6:$B$155,$B126,'Scenario 3 Raw'!$C$6:$C$155,"&lt;&gt;",'Scenario 3 Raw'!$Q$6:$Q$155,"Yes",'Scenario 3 Raw'!$M$6:$M$155,"Yes",'Scenario 3 Raw'!$N$6:$N$155,$C126)</f>
        <v>0</v>
      </c>
      <c r="E126" s="27">
        <f>IFERROR(D126/COUNTIFS('Scenario 3 Raw'!$B$6:$B$155,$B126,'Scenario 3 Raw'!$C$6:$C$155,"&lt;&gt;",'Scenario 3 Raw'!$Q$6:$Q$155,"Yes",'Scenario 3 Raw'!$M$6:$M$155,"Yes"),0)</f>
        <v>0</v>
      </c>
      <c r="F126" s="7"/>
    </row>
    <row r="127" spans="1:6" ht="16">
      <c r="A127" s="15" t="s">
        <v>63</v>
      </c>
      <c r="B127" s="6" t="s">
        <v>55</v>
      </c>
      <c r="C127" s="6" t="s">
        <v>141</v>
      </c>
      <c r="D127" s="24">
        <f>COUNTIFS('Scenario 3 Raw'!$B$6:$B$155,$B127,'Scenario 3 Raw'!$C$6:$C$155,"&lt;&gt;",'Scenario 3 Raw'!$Q$6:$Q$155,"Yes",'Scenario 3 Raw'!$M$6:$M$155,"Yes",'Scenario 3 Raw'!$N$6:$N$155,$C127)</f>
        <v>0</v>
      </c>
      <c r="E127" s="27">
        <f>IFERROR(D127/COUNTIFS('Scenario 3 Raw'!$B$6:$B$155,$B127,'Scenario 3 Raw'!$C$6:$C$155,"&lt;&gt;",'Scenario 3 Raw'!$Q$6:$Q$155,"Yes",'Scenario 3 Raw'!$M$6:$M$155,"Yes"),0)</f>
        <v>0</v>
      </c>
      <c r="F127" s="7"/>
    </row>
    <row r="128" spans="1:6" ht="16">
      <c r="A128" s="15" t="s">
        <v>63</v>
      </c>
      <c r="B128" s="6" t="s">
        <v>55</v>
      </c>
      <c r="C128" s="6" t="s">
        <v>142</v>
      </c>
      <c r="D128" s="24">
        <f>COUNTIFS('Scenario 3 Raw'!$B$6:$B$155,$B128,'Scenario 3 Raw'!$C$6:$C$155,"&lt;&gt;",'Scenario 3 Raw'!$Q$6:$Q$155,"Yes",'Scenario 3 Raw'!$M$6:$M$155,"Yes",'Scenario 3 Raw'!$N$6:$N$155,$C128)</f>
        <v>0</v>
      </c>
      <c r="E128" s="27">
        <f>IFERROR(D128/COUNTIFS('Scenario 3 Raw'!$B$6:$B$155,$B128,'Scenario 3 Raw'!$C$6:$C$155,"&lt;&gt;",'Scenario 3 Raw'!$Q$6:$Q$155,"Yes",'Scenario 3 Raw'!$M$6:$M$155,"Yes"),0)</f>
        <v>0</v>
      </c>
      <c r="F128" s="7"/>
    </row>
    <row r="129" spans="1:6" ht="16">
      <c r="A129" s="15" t="s">
        <v>63</v>
      </c>
      <c r="B129" s="6" t="s">
        <v>55</v>
      </c>
      <c r="C129" s="6" t="s">
        <v>143</v>
      </c>
      <c r="D129" s="24">
        <f>COUNTIFS('Scenario 3 Raw'!$B$6:$B$155,$B129,'Scenario 3 Raw'!$C$6:$C$155,"&lt;&gt;",'Scenario 3 Raw'!$Q$6:$Q$155,"Yes",'Scenario 3 Raw'!$M$6:$M$155,"Yes",'Scenario 3 Raw'!$N$6:$N$155,$C129)</f>
        <v>0</v>
      </c>
      <c r="E129" s="27">
        <f>IFERROR(D129/COUNTIFS('Scenario 3 Raw'!$B$6:$B$155,$B129,'Scenario 3 Raw'!$C$6:$C$155,"&lt;&gt;",'Scenario 3 Raw'!$Q$6:$Q$155,"Yes",'Scenario 3 Raw'!$M$6:$M$155,"Yes"),0)</f>
        <v>0</v>
      </c>
      <c r="F129" s="7"/>
    </row>
    <row r="130" spans="1:6" ht="16">
      <c r="A130" s="15" t="s">
        <v>63</v>
      </c>
      <c r="B130" s="6" t="s">
        <v>55</v>
      </c>
      <c r="C130" s="6" t="s">
        <v>144</v>
      </c>
      <c r="D130" s="24">
        <f>COUNTIFS('Scenario 3 Raw'!$B$6:$B$155,$B130,'Scenario 3 Raw'!$C$6:$C$155,"&lt;&gt;",'Scenario 3 Raw'!$Q$6:$Q$155,"Yes",'Scenario 3 Raw'!$M$6:$M$155,"Yes",'Scenario 3 Raw'!$N$6:$N$155,$C130)</f>
        <v>0</v>
      </c>
      <c r="E130" s="27">
        <f>IFERROR(D130/COUNTIFS('Scenario 3 Raw'!$B$6:$B$155,$B130,'Scenario 3 Raw'!$C$6:$C$155,"&lt;&gt;",'Scenario 3 Raw'!$Q$6:$Q$155,"Yes",'Scenario 3 Raw'!$M$6:$M$155,"Yes"),0)</f>
        <v>0</v>
      </c>
      <c r="F130" s="7"/>
    </row>
    <row r="131" spans="1:6" ht="16">
      <c r="A131" s="15" t="s">
        <v>63</v>
      </c>
      <c r="B131" s="6" t="s">
        <v>56</v>
      </c>
      <c r="C131" s="6" t="s">
        <v>107</v>
      </c>
      <c r="D131" s="24">
        <f>COUNTIFS('Scenario 3 Raw'!$B$6:$B$155,$B131,'Scenario 3 Raw'!$C$6:$C$155,"&lt;&gt;",'Scenario 3 Raw'!$Q$6:$Q$155,"Yes",'Scenario 3 Raw'!$M$6:$M$155,"Yes",'Scenario 3 Raw'!$N$6:$N$155,$C131)</f>
        <v>0</v>
      </c>
      <c r="E131" s="27">
        <f>IFERROR(D131/COUNTIFS('Scenario 3 Raw'!$B$6:$B$155,$B131,'Scenario 3 Raw'!$C$6:$C$155,"&lt;&gt;",'Scenario 3 Raw'!$Q$6:$Q$155,"Yes",'Scenario 3 Raw'!$M$6:$M$155,"Yes"),0)</f>
        <v>0</v>
      </c>
      <c r="F131" s="7"/>
    </row>
    <row r="132" spans="1:6" ht="16">
      <c r="A132" s="15" t="s">
        <v>63</v>
      </c>
      <c r="B132" s="6" t="s">
        <v>56</v>
      </c>
      <c r="C132" s="6" t="s">
        <v>139</v>
      </c>
      <c r="D132" s="24">
        <f>COUNTIFS('Scenario 3 Raw'!$B$6:$B$155,$B132,'Scenario 3 Raw'!$C$6:$C$155,"&lt;&gt;",'Scenario 3 Raw'!$Q$6:$Q$155,"Yes",'Scenario 3 Raw'!$M$6:$M$155,"Yes",'Scenario 3 Raw'!$N$6:$N$155,$C132)</f>
        <v>0</v>
      </c>
      <c r="E132" s="27">
        <f>IFERROR(D132/COUNTIFS('Scenario 3 Raw'!$B$6:$B$155,$B132,'Scenario 3 Raw'!$C$6:$C$155,"&lt;&gt;",'Scenario 3 Raw'!$Q$6:$Q$155,"Yes",'Scenario 3 Raw'!$M$6:$M$155,"Yes"),0)</f>
        <v>0</v>
      </c>
      <c r="F132" s="7"/>
    </row>
    <row r="133" spans="1:6" ht="16">
      <c r="A133" s="15" t="s">
        <v>63</v>
      </c>
      <c r="B133" s="6" t="s">
        <v>56</v>
      </c>
      <c r="C133" s="6" t="s">
        <v>140</v>
      </c>
      <c r="D133" s="24">
        <f>COUNTIFS('Scenario 3 Raw'!$B$6:$B$155,$B133,'Scenario 3 Raw'!$C$6:$C$155,"&lt;&gt;",'Scenario 3 Raw'!$Q$6:$Q$155,"Yes",'Scenario 3 Raw'!$M$6:$M$155,"Yes",'Scenario 3 Raw'!$N$6:$N$155,$C133)</f>
        <v>0</v>
      </c>
      <c r="E133" s="27">
        <f>IFERROR(D133/COUNTIFS('Scenario 3 Raw'!$B$6:$B$155,$B133,'Scenario 3 Raw'!$C$6:$C$155,"&lt;&gt;",'Scenario 3 Raw'!$Q$6:$Q$155,"Yes",'Scenario 3 Raw'!$M$6:$M$155,"Yes"),0)</f>
        <v>0</v>
      </c>
      <c r="F133" s="7"/>
    </row>
    <row r="134" spans="1:6" ht="16">
      <c r="A134" s="15" t="s">
        <v>63</v>
      </c>
      <c r="B134" s="6" t="s">
        <v>56</v>
      </c>
      <c r="C134" s="6" t="s">
        <v>141</v>
      </c>
      <c r="D134" s="24">
        <f>COUNTIFS('Scenario 3 Raw'!$B$6:$B$155,$B134,'Scenario 3 Raw'!$C$6:$C$155,"&lt;&gt;",'Scenario 3 Raw'!$Q$6:$Q$155,"Yes",'Scenario 3 Raw'!$M$6:$M$155,"Yes",'Scenario 3 Raw'!$N$6:$N$155,$C134)</f>
        <v>0</v>
      </c>
      <c r="E134" s="27">
        <f>IFERROR(D134/COUNTIFS('Scenario 3 Raw'!$B$6:$B$155,$B134,'Scenario 3 Raw'!$C$6:$C$155,"&lt;&gt;",'Scenario 3 Raw'!$Q$6:$Q$155,"Yes",'Scenario 3 Raw'!$M$6:$M$155,"Yes"),0)</f>
        <v>0</v>
      </c>
      <c r="F134" s="7"/>
    </row>
    <row r="135" spans="1:6" ht="16">
      <c r="A135" s="15" t="s">
        <v>63</v>
      </c>
      <c r="B135" s="6" t="s">
        <v>56</v>
      </c>
      <c r="C135" s="6" t="s">
        <v>142</v>
      </c>
      <c r="D135" s="24">
        <f>COUNTIFS('Scenario 3 Raw'!$B$6:$B$155,$B135,'Scenario 3 Raw'!$C$6:$C$155,"&lt;&gt;",'Scenario 3 Raw'!$Q$6:$Q$155,"Yes",'Scenario 3 Raw'!$M$6:$M$155,"Yes",'Scenario 3 Raw'!$N$6:$N$155,$C135)</f>
        <v>0</v>
      </c>
      <c r="E135" s="27">
        <f>IFERROR(D135/COUNTIFS('Scenario 3 Raw'!$B$6:$B$155,$B135,'Scenario 3 Raw'!$C$6:$C$155,"&lt;&gt;",'Scenario 3 Raw'!$Q$6:$Q$155,"Yes",'Scenario 3 Raw'!$M$6:$M$155,"Yes"),0)</f>
        <v>0</v>
      </c>
      <c r="F135" s="7"/>
    </row>
    <row r="136" spans="1:6" ht="16">
      <c r="A136" s="15" t="s">
        <v>63</v>
      </c>
      <c r="B136" s="6" t="s">
        <v>56</v>
      </c>
      <c r="C136" s="6" t="s">
        <v>143</v>
      </c>
      <c r="D136" s="24">
        <f>COUNTIFS('Scenario 3 Raw'!$B$6:$B$155,$B136,'Scenario 3 Raw'!$C$6:$C$155,"&lt;&gt;",'Scenario 3 Raw'!$Q$6:$Q$155,"Yes",'Scenario 3 Raw'!$M$6:$M$155,"Yes",'Scenario 3 Raw'!$N$6:$N$155,$C136)</f>
        <v>0</v>
      </c>
      <c r="E136" s="27">
        <f>IFERROR(D136/COUNTIFS('Scenario 3 Raw'!$B$6:$B$155,$B136,'Scenario 3 Raw'!$C$6:$C$155,"&lt;&gt;",'Scenario 3 Raw'!$Q$6:$Q$155,"Yes",'Scenario 3 Raw'!$M$6:$M$155,"Yes"),0)</f>
        <v>0</v>
      </c>
      <c r="F136" s="7"/>
    </row>
    <row r="137" spans="1:6" ht="16">
      <c r="A137" s="15" t="s">
        <v>63</v>
      </c>
      <c r="B137" s="6" t="s">
        <v>56</v>
      </c>
      <c r="C137" s="6" t="s">
        <v>144</v>
      </c>
      <c r="D137" s="24">
        <f>COUNTIFS('Scenario 3 Raw'!$B$6:$B$155,$B137,'Scenario 3 Raw'!$C$6:$C$155,"&lt;&gt;",'Scenario 3 Raw'!$Q$6:$Q$155,"Yes",'Scenario 3 Raw'!$M$6:$M$155,"Yes",'Scenario 3 Raw'!$N$6:$N$155,$C137)</f>
        <v>0</v>
      </c>
      <c r="E137" s="27">
        <f>IFERROR(D137/COUNTIFS('Scenario 3 Raw'!$B$6:$B$155,$B137,'Scenario 3 Raw'!$C$6:$C$155,"&lt;&gt;",'Scenario 3 Raw'!$Q$6:$Q$155,"Yes",'Scenario 3 Raw'!$M$6:$M$155,"Yes"),0)</f>
        <v>0</v>
      </c>
      <c r="F137" s="7"/>
    </row>
    <row r="138" spans="1:6" ht="16">
      <c r="A138" s="15" t="s">
        <v>63</v>
      </c>
      <c r="B138" s="6" t="s">
        <v>59</v>
      </c>
      <c r="C138" s="6" t="s">
        <v>107</v>
      </c>
      <c r="D138" s="24">
        <f>COUNTIFS('Scenario 3 Raw'!$B$6:$B$155,$B138,'Scenario 3 Raw'!$C$6:$C$155,"&lt;&gt;",'Scenario 3 Raw'!$Q$6:$Q$155,"Yes",'Scenario 3 Raw'!$M$6:$M$155,"Yes",'Scenario 3 Raw'!$N$6:$N$155,$C138)</f>
        <v>0</v>
      </c>
      <c r="E138" s="27">
        <f>IFERROR(D138/COUNTIFS('Scenario 3 Raw'!$B$6:$B$155,$B138,'Scenario 3 Raw'!$C$6:$C$155,"&lt;&gt;",'Scenario 3 Raw'!$Q$6:$Q$155,"Yes",'Scenario 3 Raw'!$M$6:$M$155,"Yes"),0)</f>
        <v>0</v>
      </c>
      <c r="F138" s="7"/>
    </row>
    <row r="139" spans="1:6" ht="16">
      <c r="A139" s="15" t="s">
        <v>63</v>
      </c>
      <c r="B139" s="6" t="s">
        <v>59</v>
      </c>
      <c r="C139" s="6" t="s">
        <v>139</v>
      </c>
      <c r="D139" s="24">
        <f>COUNTIFS('Scenario 3 Raw'!$B$6:$B$155,$B139,'Scenario 3 Raw'!$C$6:$C$155,"&lt;&gt;",'Scenario 3 Raw'!$Q$6:$Q$155,"Yes",'Scenario 3 Raw'!$M$6:$M$155,"Yes",'Scenario 3 Raw'!$N$6:$N$155,$C139)</f>
        <v>0</v>
      </c>
      <c r="E139" s="27">
        <f>IFERROR(D139/COUNTIFS('Scenario 3 Raw'!$B$6:$B$155,$B139,'Scenario 3 Raw'!$C$6:$C$155,"&lt;&gt;",'Scenario 3 Raw'!$Q$6:$Q$155,"Yes",'Scenario 3 Raw'!$M$6:$M$155,"Yes"),0)</f>
        <v>0</v>
      </c>
      <c r="F139" s="7"/>
    </row>
    <row r="140" spans="1:6" ht="16">
      <c r="A140" s="15" t="s">
        <v>63</v>
      </c>
      <c r="B140" s="6" t="s">
        <v>59</v>
      </c>
      <c r="C140" s="6" t="s">
        <v>140</v>
      </c>
      <c r="D140" s="24">
        <f>COUNTIFS('Scenario 3 Raw'!$B$6:$B$155,$B140,'Scenario 3 Raw'!$C$6:$C$155,"&lt;&gt;",'Scenario 3 Raw'!$Q$6:$Q$155,"Yes",'Scenario 3 Raw'!$M$6:$M$155,"Yes",'Scenario 3 Raw'!$N$6:$N$155,$C140)</f>
        <v>0</v>
      </c>
      <c r="E140" s="27">
        <f>IFERROR(D140/COUNTIFS('Scenario 3 Raw'!$B$6:$B$155,$B140,'Scenario 3 Raw'!$C$6:$C$155,"&lt;&gt;",'Scenario 3 Raw'!$Q$6:$Q$155,"Yes",'Scenario 3 Raw'!$M$6:$M$155,"Yes"),0)</f>
        <v>0</v>
      </c>
      <c r="F140" s="7"/>
    </row>
    <row r="141" spans="1:6" ht="16">
      <c r="A141" s="15" t="s">
        <v>63</v>
      </c>
      <c r="B141" s="6" t="s">
        <v>59</v>
      </c>
      <c r="C141" s="6" t="s">
        <v>141</v>
      </c>
      <c r="D141" s="24">
        <f>COUNTIFS('Scenario 3 Raw'!$B$6:$B$155,$B141,'Scenario 3 Raw'!$C$6:$C$155,"&lt;&gt;",'Scenario 3 Raw'!$Q$6:$Q$155,"Yes",'Scenario 3 Raw'!$M$6:$M$155,"Yes",'Scenario 3 Raw'!$N$6:$N$155,$C141)</f>
        <v>0</v>
      </c>
      <c r="E141" s="27">
        <f>IFERROR(D141/COUNTIFS('Scenario 3 Raw'!$B$6:$B$155,$B141,'Scenario 3 Raw'!$C$6:$C$155,"&lt;&gt;",'Scenario 3 Raw'!$Q$6:$Q$155,"Yes",'Scenario 3 Raw'!$M$6:$M$155,"Yes"),0)</f>
        <v>0</v>
      </c>
      <c r="F141" s="7"/>
    </row>
    <row r="142" spans="1:6" ht="16">
      <c r="A142" s="15" t="s">
        <v>63</v>
      </c>
      <c r="B142" s="6" t="s">
        <v>59</v>
      </c>
      <c r="C142" s="6" t="s">
        <v>142</v>
      </c>
      <c r="D142" s="24">
        <f>COUNTIFS('Scenario 3 Raw'!$B$6:$B$155,$B142,'Scenario 3 Raw'!$C$6:$C$155,"&lt;&gt;",'Scenario 3 Raw'!$Q$6:$Q$155,"Yes",'Scenario 3 Raw'!$M$6:$M$155,"Yes",'Scenario 3 Raw'!$N$6:$N$155,$C142)</f>
        <v>0</v>
      </c>
      <c r="E142" s="27">
        <f>IFERROR(D142/COUNTIFS('Scenario 3 Raw'!$B$6:$B$155,$B142,'Scenario 3 Raw'!$C$6:$C$155,"&lt;&gt;",'Scenario 3 Raw'!$Q$6:$Q$155,"Yes",'Scenario 3 Raw'!$M$6:$M$155,"Yes"),0)</f>
        <v>0</v>
      </c>
      <c r="F142" s="7"/>
    </row>
    <row r="143" spans="1:6" ht="16">
      <c r="A143" s="15" t="s">
        <v>63</v>
      </c>
      <c r="B143" s="6" t="s">
        <v>59</v>
      </c>
      <c r="C143" s="6" t="s">
        <v>143</v>
      </c>
      <c r="D143" s="24">
        <f>COUNTIFS('Scenario 3 Raw'!$B$6:$B$155,$B143,'Scenario 3 Raw'!$C$6:$C$155,"&lt;&gt;",'Scenario 3 Raw'!$Q$6:$Q$155,"Yes",'Scenario 3 Raw'!$M$6:$M$155,"Yes",'Scenario 3 Raw'!$N$6:$N$155,$C143)</f>
        <v>0</v>
      </c>
      <c r="E143" s="27">
        <f>IFERROR(D143/COUNTIFS('Scenario 3 Raw'!$B$6:$B$155,$B143,'Scenario 3 Raw'!$C$6:$C$155,"&lt;&gt;",'Scenario 3 Raw'!$Q$6:$Q$155,"Yes",'Scenario 3 Raw'!$M$6:$M$155,"Yes"),0)</f>
        <v>0</v>
      </c>
      <c r="F143" s="7"/>
    </row>
    <row r="144" spans="1:6" ht="16">
      <c r="A144" s="15" t="s">
        <v>63</v>
      </c>
      <c r="B144" s="6" t="s">
        <v>59</v>
      </c>
      <c r="C144" s="6" t="s">
        <v>144</v>
      </c>
      <c r="D144" s="24">
        <f>COUNTIFS('Scenario 3 Raw'!$B$6:$B$155,$B144,'Scenario 3 Raw'!$C$6:$C$155,"&lt;&gt;",'Scenario 3 Raw'!$Q$6:$Q$155,"Yes",'Scenario 3 Raw'!$M$6:$M$155,"Yes",'Scenario 3 Raw'!$N$6:$N$155,$C144)</f>
        <v>0</v>
      </c>
      <c r="E144" s="27">
        <f>IFERROR(D144/COUNTIFS('Scenario 3 Raw'!$B$6:$B$155,$B144,'Scenario 3 Raw'!$C$6:$C$155,"&lt;&gt;",'Scenario 3 Raw'!$Q$6:$Q$155,"Yes",'Scenario 3 Raw'!$M$6:$M$155,"Yes"),0)</f>
        <v>0</v>
      </c>
      <c r="F144" s="7"/>
    </row>
    <row r="145" spans="1:6" ht="16">
      <c r="A145" s="15" t="s">
        <v>63</v>
      </c>
      <c r="B145" s="6" t="s">
        <v>61</v>
      </c>
      <c r="C145" s="6" t="s">
        <v>107</v>
      </c>
      <c r="D145" s="24">
        <f>COUNTIFS('Scenario 3 Raw'!$B$6:$B$155,$B145,'Scenario 3 Raw'!$C$6:$C$155,"&lt;&gt;",'Scenario 3 Raw'!$Q$6:$Q$155,"Yes",'Scenario 3 Raw'!$M$6:$M$155,"Yes",'Scenario 3 Raw'!$N$6:$N$155,$C145)</f>
        <v>0</v>
      </c>
      <c r="E145" s="27">
        <f>IFERROR(D145/COUNTIFS('Scenario 3 Raw'!$B$6:$B$155,$B145,'Scenario 3 Raw'!$C$6:$C$155,"&lt;&gt;",'Scenario 3 Raw'!$Q$6:$Q$155,"Yes",'Scenario 3 Raw'!$M$6:$M$155,"Yes"),0)</f>
        <v>0</v>
      </c>
      <c r="F145" s="7"/>
    </row>
    <row r="146" spans="1:6" ht="16">
      <c r="A146" s="15" t="s">
        <v>63</v>
      </c>
      <c r="B146" s="6" t="s">
        <v>61</v>
      </c>
      <c r="C146" s="6" t="s">
        <v>139</v>
      </c>
      <c r="D146" s="24">
        <f>COUNTIFS('Scenario 3 Raw'!$B$6:$B$155,$B146,'Scenario 3 Raw'!$C$6:$C$155,"&lt;&gt;",'Scenario 3 Raw'!$Q$6:$Q$155,"Yes",'Scenario 3 Raw'!$M$6:$M$155,"Yes",'Scenario 3 Raw'!$N$6:$N$155,$C146)</f>
        <v>0</v>
      </c>
      <c r="E146" s="27">
        <f>IFERROR(D146/COUNTIFS('Scenario 3 Raw'!$B$6:$B$155,$B146,'Scenario 3 Raw'!$C$6:$C$155,"&lt;&gt;",'Scenario 3 Raw'!$Q$6:$Q$155,"Yes",'Scenario 3 Raw'!$M$6:$M$155,"Yes"),0)</f>
        <v>0</v>
      </c>
      <c r="F146" s="7"/>
    </row>
    <row r="147" spans="1:6" ht="16">
      <c r="A147" s="15" t="s">
        <v>63</v>
      </c>
      <c r="B147" s="6" t="s">
        <v>61</v>
      </c>
      <c r="C147" s="6" t="s">
        <v>140</v>
      </c>
      <c r="D147" s="24">
        <f>COUNTIFS('Scenario 3 Raw'!$B$6:$B$155,$B147,'Scenario 3 Raw'!$C$6:$C$155,"&lt;&gt;",'Scenario 3 Raw'!$Q$6:$Q$155,"Yes",'Scenario 3 Raw'!$M$6:$M$155,"Yes",'Scenario 3 Raw'!$N$6:$N$155,$C147)</f>
        <v>0</v>
      </c>
      <c r="E147" s="27">
        <f>IFERROR(D147/COUNTIFS('Scenario 3 Raw'!$B$6:$B$155,$B147,'Scenario 3 Raw'!$C$6:$C$155,"&lt;&gt;",'Scenario 3 Raw'!$Q$6:$Q$155,"Yes",'Scenario 3 Raw'!$M$6:$M$155,"Yes"),0)</f>
        <v>0</v>
      </c>
      <c r="F147" s="7"/>
    </row>
    <row r="148" spans="1:6" ht="16">
      <c r="A148" s="15" t="s">
        <v>63</v>
      </c>
      <c r="B148" s="6" t="s">
        <v>61</v>
      </c>
      <c r="C148" s="6" t="s">
        <v>141</v>
      </c>
      <c r="D148" s="24">
        <f>COUNTIFS('Scenario 3 Raw'!$B$6:$B$155,$B148,'Scenario 3 Raw'!$C$6:$C$155,"&lt;&gt;",'Scenario 3 Raw'!$Q$6:$Q$155,"Yes",'Scenario 3 Raw'!$M$6:$M$155,"Yes",'Scenario 3 Raw'!$N$6:$N$155,$C148)</f>
        <v>0</v>
      </c>
      <c r="E148" s="27">
        <f>IFERROR(D148/COUNTIFS('Scenario 3 Raw'!$B$6:$B$155,$B148,'Scenario 3 Raw'!$C$6:$C$155,"&lt;&gt;",'Scenario 3 Raw'!$Q$6:$Q$155,"Yes",'Scenario 3 Raw'!$M$6:$M$155,"Yes"),0)</f>
        <v>0</v>
      </c>
      <c r="F148" s="7"/>
    </row>
    <row r="149" spans="1:6" ht="16">
      <c r="A149" s="15" t="s">
        <v>63</v>
      </c>
      <c r="B149" s="6" t="s">
        <v>61</v>
      </c>
      <c r="C149" s="6" t="s">
        <v>142</v>
      </c>
      <c r="D149" s="24">
        <f>COUNTIFS('Scenario 3 Raw'!$B$6:$B$155,$B149,'Scenario 3 Raw'!$C$6:$C$155,"&lt;&gt;",'Scenario 3 Raw'!$Q$6:$Q$155,"Yes",'Scenario 3 Raw'!$M$6:$M$155,"Yes",'Scenario 3 Raw'!$N$6:$N$155,$C149)</f>
        <v>0</v>
      </c>
      <c r="E149" s="27">
        <f>IFERROR(D149/COUNTIFS('Scenario 3 Raw'!$B$6:$B$155,$B149,'Scenario 3 Raw'!$C$6:$C$155,"&lt;&gt;",'Scenario 3 Raw'!$Q$6:$Q$155,"Yes",'Scenario 3 Raw'!$M$6:$M$155,"Yes"),0)</f>
        <v>0</v>
      </c>
      <c r="F149" s="7"/>
    </row>
    <row r="150" spans="1:6" ht="16">
      <c r="A150" s="15" t="s">
        <v>63</v>
      </c>
      <c r="B150" s="6" t="s">
        <v>61</v>
      </c>
      <c r="C150" s="6" t="s">
        <v>143</v>
      </c>
      <c r="D150" s="24">
        <f>COUNTIFS('Scenario 3 Raw'!$B$6:$B$155,$B150,'Scenario 3 Raw'!$C$6:$C$155,"&lt;&gt;",'Scenario 3 Raw'!$Q$6:$Q$155,"Yes",'Scenario 3 Raw'!$M$6:$M$155,"Yes",'Scenario 3 Raw'!$N$6:$N$155,$C150)</f>
        <v>0</v>
      </c>
      <c r="E150" s="27">
        <f>IFERROR(D150/COUNTIFS('Scenario 3 Raw'!$B$6:$B$155,$B150,'Scenario 3 Raw'!$C$6:$C$155,"&lt;&gt;",'Scenario 3 Raw'!$Q$6:$Q$155,"Yes",'Scenario 3 Raw'!$M$6:$M$155,"Yes"),0)</f>
        <v>0</v>
      </c>
      <c r="F150" s="7"/>
    </row>
    <row r="151" spans="1:6" ht="16">
      <c r="A151" s="16" t="s">
        <v>63</v>
      </c>
      <c r="B151" s="8" t="s">
        <v>61</v>
      </c>
      <c r="C151" s="8" t="s">
        <v>144</v>
      </c>
      <c r="D151" s="25">
        <f>COUNTIFS('Scenario 3 Raw'!$B$6:$B$155,$B151,'Scenario 3 Raw'!$C$6:$C$155,"&lt;&gt;",'Scenario 3 Raw'!$Q$6:$Q$155,"Yes",'Scenario 3 Raw'!$M$6:$M$155,"Yes",'Scenario 3 Raw'!$N$6:$N$155,$C151)</f>
        <v>0</v>
      </c>
      <c r="E151" s="28">
        <f>IFERROR(D151/COUNTIFS('Scenario 3 Raw'!$B$6:$B$155,$B151,'Scenario 3 Raw'!$C$6:$C$155,"&lt;&gt;",'Scenario 3 Raw'!$Q$6:$Q$155,"Yes",'Scenario 3 Raw'!$M$6:$M$155,"Yes"),0)</f>
        <v>0</v>
      </c>
      <c r="F151" s="9"/>
    </row>
  </sheetData>
  <mergeCells count="2">
    <mergeCell ref="A1:F1"/>
    <mergeCell ref="A2:F2"/>
  </mergeCells>
  <conditionalFormatting sqref="D5:D151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{103C4555-EEEB-5BFA-C682-F1C70F31CE16}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3C4555-EEEB-5BFA-C682-F1C70F31CE16}">
            <x14:dataBar>
              <x14:cfvo type="min"/>
              <x14:cfvo type="max"/>
              <x14:negativeFillColor auto="1"/>
              <x14:axisColor auto="1"/>
            </x14:dataBar>
          </x14:cfRule>
          <xm:sqref>D5:D151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4"/>
  <sheetViews>
    <sheetView showGridLines="0" topLeftCell="G6" workbookViewId="0">
      <selection sqref="A1:M1"/>
    </sheetView>
  </sheetViews>
  <sheetFormatPr baseColWidth="10" defaultColWidth="8.83203125" defaultRowHeight="15"/>
  <cols>
    <col min="1" max="1" width="14" customWidth="1"/>
    <col min="2" max="2" width="18" customWidth="1"/>
    <col min="3" max="3" width="30" customWidth="1"/>
    <col min="4" max="4" width="38" customWidth="1"/>
    <col min="5" max="8" width="15" customWidth="1"/>
    <col min="9" max="9" width="17" customWidth="1"/>
    <col min="10" max="10" width="21" customWidth="1"/>
    <col min="11" max="11" width="16" customWidth="1"/>
    <col min="12" max="12" width="20" customWidth="1"/>
    <col min="13" max="13" width="36" customWidth="1"/>
  </cols>
  <sheetData>
    <row r="1" spans="1:13" ht="28" customHeight="1">
      <c r="A1" s="44" t="s">
        <v>182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ht="30" customHeight="1">
      <c r="A2" s="46" t="s">
        <v>183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 ht="32" customHeight="1">
      <c r="A4" s="32" t="s">
        <v>38</v>
      </c>
      <c r="B4" s="32" t="s">
        <v>154</v>
      </c>
      <c r="C4" s="32" t="s">
        <v>184</v>
      </c>
      <c r="D4" s="32" t="s">
        <v>185</v>
      </c>
      <c r="E4" s="32" t="s">
        <v>48</v>
      </c>
      <c r="F4" s="32" t="s">
        <v>51</v>
      </c>
      <c r="G4" s="32" t="s">
        <v>53</v>
      </c>
      <c r="H4" s="32" t="s">
        <v>55</v>
      </c>
      <c r="I4" s="32" t="s">
        <v>56</v>
      </c>
      <c r="J4" s="32" t="s">
        <v>59</v>
      </c>
      <c r="K4" s="32" t="s">
        <v>61</v>
      </c>
      <c r="L4" s="32" t="s">
        <v>186</v>
      </c>
      <c r="M4" s="32" t="s">
        <v>172</v>
      </c>
    </row>
    <row r="5" spans="1:13" ht="16">
      <c r="A5" s="14" t="s">
        <v>47</v>
      </c>
      <c r="B5" s="4" t="s">
        <v>119</v>
      </c>
      <c r="C5" s="4" t="s">
        <v>187</v>
      </c>
      <c r="D5" s="4" t="s">
        <v>188</v>
      </c>
      <c r="E5" s="23">
        <f>IF(C5="",0,COUNTIFS('Scenario 1 Raw'!$B$6:$B$155,E$4,'Scenario 1 Raw'!$C$6:$C$155,"&lt;&gt;",'Scenario 1 Raw'!$Q$6:$Q$155,"Yes",'Scenario 1 Raw'!$F$6:$F$155,C5))</f>
        <v>0</v>
      </c>
      <c r="F5" s="23">
        <f>IF(C5="",0,COUNTIFS('Scenario 1 Raw'!$B$6:$B$155,F$4,'Scenario 1 Raw'!$C$6:$C$155,"&lt;&gt;",'Scenario 1 Raw'!$Q$6:$Q$155,"Yes",'Scenario 1 Raw'!$F$6:$F$155,C5))</f>
        <v>0</v>
      </c>
      <c r="G5" s="23">
        <f>IF(C5="",0,COUNTIFS('Scenario 1 Raw'!$B$6:$B$155,G$4,'Scenario 1 Raw'!$C$6:$C$155,"&lt;&gt;",'Scenario 1 Raw'!$Q$6:$Q$155,"Yes",'Scenario 1 Raw'!$F$6:$F$155,C5))</f>
        <v>0</v>
      </c>
      <c r="H5" s="23">
        <f>IF(C5="",0,COUNTIFS('Scenario 1 Raw'!$B$6:$B$155,H$4,'Scenario 1 Raw'!$C$6:$C$155,"&lt;&gt;",'Scenario 1 Raw'!$Q$6:$Q$155,"Yes",'Scenario 1 Raw'!$F$6:$F$155,C5))</f>
        <v>0</v>
      </c>
      <c r="I5" s="23">
        <f>IF(C5="",0,COUNTIFS('Scenario 1 Raw'!$B$6:$B$155,I$4,'Scenario 1 Raw'!$C$6:$C$155,"&lt;&gt;",'Scenario 1 Raw'!$Q$6:$Q$155,"Yes",'Scenario 1 Raw'!$F$6:$F$155,C5))</f>
        <v>0</v>
      </c>
      <c r="J5" s="23">
        <f>IF(C5="",0,COUNTIFS('Scenario 1 Raw'!$B$6:$B$155,J$4,'Scenario 1 Raw'!$C$6:$C$155,"&lt;&gt;",'Scenario 1 Raw'!$Q$6:$Q$155,"Yes",'Scenario 1 Raw'!$F$6:$F$155,C5))</f>
        <v>0</v>
      </c>
      <c r="K5" s="23">
        <f>IF(C5="",0,COUNTIFS('Scenario 1 Raw'!$B$6:$B$155,K$4,'Scenario 1 Raw'!$C$6:$C$155,"&lt;&gt;",'Scenario 1 Raw'!$Q$6:$Q$155,"Yes",'Scenario 1 Raw'!$F$6:$F$155,C5))</f>
        <v>0</v>
      </c>
      <c r="L5" s="23">
        <f t="shared" ref="L5:L34" si="0">COUNTIF(E5:K5,"&gt;0")</f>
        <v>0</v>
      </c>
      <c r="M5" s="5"/>
    </row>
    <row r="6" spans="1:13" ht="16">
      <c r="A6" s="15" t="s">
        <v>47</v>
      </c>
      <c r="B6" s="6" t="s">
        <v>119</v>
      </c>
      <c r="C6" s="6" t="s">
        <v>78</v>
      </c>
      <c r="D6" s="6" t="s">
        <v>189</v>
      </c>
      <c r="E6" s="24">
        <f>IF(C6="",0,COUNTIFS('Scenario 1 Raw'!$B$6:$B$155,E$4,'Scenario 1 Raw'!$C$6:$C$155,"&lt;&gt;",'Scenario 1 Raw'!$Q$6:$Q$155,"Yes",'Scenario 1 Raw'!$F$6:$F$155,C6))</f>
        <v>0</v>
      </c>
      <c r="F6" s="24">
        <f>IF(C6="",0,COUNTIFS('Scenario 1 Raw'!$B$6:$B$155,F$4,'Scenario 1 Raw'!$C$6:$C$155,"&lt;&gt;",'Scenario 1 Raw'!$Q$6:$Q$155,"Yes",'Scenario 1 Raw'!$F$6:$F$155,C6))</f>
        <v>0</v>
      </c>
      <c r="G6" s="24">
        <f>IF(C6="",0,COUNTIFS('Scenario 1 Raw'!$B$6:$B$155,G$4,'Scenario 1 Raw'!$C$6:$C$155,"&lt;&gt;",'Scenario 1 Raw'!$Q$6:$Q$155,"Yes",'Scenario 1 Raw'!$F$6:$F$155,C6))</f>
        <v>0</v>
      </c>
      <c r="H6" s="24">
        <f>IF(C6="",0,COUNTIFS('Scenario 1 Raw'!$B$6:$B$155,H$4,'Scenario 1 Raw'!$C$6:$C$155,"&lt;&gt;",'Scenario 1 Raw'!$Q$6:$Q$155,"Yes",'Scenario 1 Raw'!$F$6:$F$155,C6))</f>
        <v>0</v>
      </c>
      <c r="I6" s="24">
        <f>IF(C6="",0,COUNTIFS('Scenario 1 Raw'!$B$6:$B$155,I$4,'Scenario 1 Raw'!$C$6:$C$155,"&lt;&gt;",'Scenario 1 Raw'!$Q$6:$Q$155,"Yes",'Scenario 1 Raw'!$F$6:$F$155,C6))</f>
        <v>0</v>
      </c>
      <c r="J6" s="24">
        <f>IF(C6="",0,COUNTIFS('Scenario 1 Raw'!$B$6:$B$155,J$4,'Scenario 1 Raw'!$C$6:$C$155,"&lt;&gt;",'Scenario 1 Raw'!$Q$6:$Q$155,"Yes",'Scenario 1 Raw'!$F$6:$F$155,C6))</f>
        <v>0</v>
      </c>
      <c r="K6" s="24">
        <f>IF(C6="",0,COUNTIFS('Scenario 1 Raw'!$B$6:$B$155,K$4,'Scenario 1 Raw'!$C$6:$C$155,"&lt;&gt;",'Scenario 1 Raw'!$Q$6:$Q$155,"Yes",'Scenario 1 Raw'!$F$6:$F$155,C6))</f>
        <v>0</v>
      </c>
      <c r="L6" s="24">
        <f t="shared" si="0"/>
        <v>0</v>
      </c>
      <c r="M6" s="7"/>
    </row>
    <row r="7" spans="1:13" ht="32">
      <c r="A7" s="15" t="s">
        <v>47</v>
      </c>
      <c r="B7" s="6" t="s">
        <v>120</v>
      </c>
      <c r="C7" s="6" t="s">
        <v>190</v>
      </c>
      <c r="D7" s="6" t="s">
        <v>191</v>
      </c>
      <c r="E7" s="24">
        <f>IF(C7="",0,COUNTIFS('Scenario 1 Raw'!$B$6:$B$155,E$4,'Scenario 1 Raw'!$C$6:$C$155,"&lt;&gt;",'Scenario 1 Raw'!$Q$6:$Q$155,"Yes",'Scenario 1 Raw'!$F$6:$F$155,C7))</f>
        <v>0</v>
      </c>
      <c r="F7" s="24">
        <f>IF(C7="",0,COUNTIFS('Scenario 1 Raw'!$B$6:$B$155,F$4,'Scenario 1 Raw'!$C$6:$C$155,"&lt;&gt;",'Scenario 1 Raw'!$Q$6:$Q$155,"Yes",'Scenario 1 Raw'!$F$6:$F$155,C7))</f>
        <v>0</v>
      </c>
      <c r="G7" s="24">
        <f>IF(C7="",0,COUNTIFS('Scenario 1 Raw'!$B$6:$B$155,G$4,'Scenario 1 Raw'!$C$6:$C$155,"&lt;&gt;",'Scenario 1 Raw'!$Q$6:$Q$155,"Yes",'Scenario 1 Raw'!$F$6:$F$155,C7))</f>
        <v>0</v>
      </c>
      <c r="H7" s="24">
        <f>IF(C7="",0,COUNTIFS('Scenario 1 Raw'!$B$6:$B$155,H$4,'Scenario 1 Raw'!$C$6:$C$155,"&lt;&gt;",'Scenario 1 Raw'!$Q$6:$Q$155,"Yes",'Scenario 1 Raw'!$F$6:$F$155,C7))</f>
        <v>0</v>
      </c>
      <c r="I7" s="24">
        <f>IF(C7="",0,COUNTIFS('Scenario 1 Raw'!$B$6:$B$155,I$4,'Scenario 1 Raw'!$C$6:$C$155,"&lt;&gt;",'Scenario 1 Raw'!$Q$6:$Q$155,"Yes",'Scenario 1 Raw'!$F$6:$F$155,C7))</f>
        <v>0</v>
      </c>
      <c r="J7" s="24">
        <f>IF(C7="",0,COUNTIFS('Scenario 1 Raw'!$B$6:$B$155,J$4,'Scenario 1 Raw'!$C$6:$C$155,"&lt;&gt;",'Scenario 1 Raw'!$Q$6:$Q$155,"Yes",'Scenario 1 Raw'!$F$6:$F$155,C7))</f>
        <v>0</v>
      </c>
      <c r="K7" s="24">
        <f>IF(C7="",0,COUNTIFS('Scenario 1 Raw'!$B$6:$B$155,K$4,'Scenario 1 Raw'!$C$6:$C$155,"&lt;&gt;",'Scenario 1 Raw'!$Q$6:$Q$155,"Yes",'Scenario 1 Raw'!$F$6:$F$155,C7))</f>
        <v>0</v>
      </c>
      <c r="L7" s="24">
        <f t="shared" si="0"/>
        <v>0</v>
      </c>
      <c r="M7" s="7"/>
    </row>
    <row r="8" spans="1:13" ht="16">
      <c r="A8" s="15" t="s">
        <v>47</v>
      </c>
      <c r="B8" s="6" t="s">
        <v>120</v>
      </c>
      <c r="C8" s="6" t="s">
        <v>192</v>
      </c>
      <c r="D8" s="6" t="s">
        <v>193</v>
      </c>
      <c r="E8" s="24">
        <f>IF(C8="",0,COUNTIFS('Scenario 1 Raw'!$B$6:$B$155,E$4,'Scenario 1 Raw'!$C$6:$C$155,"&lt;&gt;",'Scenario 1 Raw'!$Q$6:$Q$155,"Yes",'Scenario 1 Raw'!$F$6:$F$155,C8))</f>
        <v>0</v>
      </c>
      <c r="F8" s="24">
        <f>IF(C8="",0,COUNTIFS('Scenario 1 Raw'!$B$6:$B$155,F$4,'Scenario 1 Raw'!$C$6:$C$155,"&lt;&gt;",'Scenario 1 Raw'!$Q$6:$Q$155,"Yes",'Scenario 1 Raw'!$F$6:$F$155,C8))</f>
        <v>0</v>
      </c>
      <c r="G8" s="24">
        <f>IF(C8="",0,COUNTIFS('Scenario 1 Raw'!$B$6:$B$155,G$4,'Scenario 1 Raw'!$C$6:$C$155,"&lt;&gt;",'Scenario 1 Raw'!$Q$6:$Q$155,"Yes",'Scenario 1 Raw'!$F$6:$F$155,C8))</f>
        <v>0</v>
      </c>
      <c r="H8" s="24">
        <f>IF(C8="",0,COUNTIFS('Scenario 1 Raw'!$B$6:$B$155,H$4,'Scenario 1 Raw'!$C$6:$C$155,"&lt;&gt;",'Scenario 1 Raw'!$Q$6:$Q$155,"Yes",'Scenario 1 Raw'!$F$6:$F$155,C8))</f>
        <v>0</v>
      </c>
      <c r="I8" s="24">
        <f>IF(C8="",0,COUNTIFS('Scenario 1 Raw'!$B$6:$B$155,I$4,'Scenario 1 Raw'!$C$6:$C$155,"&lt;&gt;",'Scenario 1 Raw'!$Q$6:$Q$155,"Yes",'Scenario 1 Raw'!$F$6:$F$155,C8))</f>
        <v>0</v>
      </c>
      <c r="J8" s="24">
        <f>IF(C8="",0,COUNTIFS('Scenario 1 Raw'!$B$6:$B$155,J$4,'Scenario 1 Raw'!$C$6:$C$155,"&lt;&gt;",'Scenario 1 Raw'!$Q$6:$Q$155,"Yes",'Scenario 1 Raw'!$F$6:$F$155,C8))</f>
        <v>0</v>
      </c>
      <c r="K8" s="24">
        <f>IF(C8="",0,COUNTIFS('Scenario 1 Raw'!$B$6:$B$155,K$4,'Scenario 1 Raw'!$C$6:$C$155,"&lt;&gt;",'Scenario 1 Raw'!$Q$6:$Q$155,"Yes",'Scenario 1 Raw'!$F$6:$F$155,C8))</f>
        <v>0</v>
      </c>
      <c r="L8" s="24">
        <f t="shared" si="0"/>
        <v>0</v>
      </c>
      <c r="M8" s="7"/>
    </row>
    <row r="9" spans="1:13" ht="16">
      <c r="A9" s="15" t="s">
        <v>47</v>
      </c>
      <c r="B9" s="6" t="s">
        <v>120</v>
      </c>
      <c r="C9" s="6" t="s">
        <v>194</v>
      </c>
      <c r="D9" s="6" t="s">
        <v>195</v>
      </c>
      <c r="E9" s="24">
        <f>IF(C9="",0,COUNTIFS('Scenario 1 Raw'!$B$6:$B$155,E$4,'Scenario 1 Raw'!$C$6:$C$155,"&lt;&gt;",'Scenario 1 Raw'!$Q$6:$Q$155,"Yes",'Scenario 1 Raw'!$F$6:$F$155,C9))</f>
        <v>0</v>
      </c>
      <c r="F9" s="24">
        <f>IF(C9="",0,COUNTIFS('Scenario 1 Raw'!$B$6:$B$155,F$4,'Scenario 1 Raw'!$C$6:$C$155,"&lt;&gt;",'Scenario 1 Raw'!$Q$6:$Q$155,"Yes",'Scenario 1 Raw'!$F$6:$F$155,C9))</f>
        <v>0</v>
      </c>
      <c r="G9" s="24">
        <f>IF(C9="",0,COUNTIFS('Scenario 1 Raw'!$B$6:$B$155,G$4,'Scenario 1 Raw'!$C$6:$C$155,"&lt;&gt;",'Scenario 1 Raw'!$Q$6:$Q$155,"Yes",'Scenario 1 Raw'!$F$6:$F$155,C9))</f>
        <v>0</v>
      </c>
      <c r="H9" s="24">
        <f>IF(C9="",0,COUNTIFS('Scenario 1 Raw'!$B$6:$B$155,H$4,'Scenario 1 Raw'!$C$6:$C$155,"&lt;&gt;",'Scenario 1 Raw'!$Q$6:$Q$155,"Yes",'Scenario 1 Raw'!$F$6:$F$155,C9))</f>
        <v>0</v>
      </c>
      <c r="I9" s="24">
        <f>IF(C9="",0,COUNTIFS('Scenario 1 Raw'!$B$6:$B$155,I$4,'Scenario 1 Raw'!$C$6:$C$155,"&lt;&gt;",'Scenario 1 Raw'!$Q$6:$Q$155,"Yes",'Scenario 1 Raw'!$F$6:$F$155,C9))</f>
        <v>0</v>
      </c>
      <c r="J9" s="24">
        <f>IF(C9="",0,COUNTIFS('Scenario 1 Raw'!$B$6:$B$155,J$4,'Scenario 1 Raw'!$C$6:$C$155,"&lt;&gt;",'Scenario 1 Raw'!$Q$6:$Q$155,"Yes",'Scenario 1 Raw'!$F$6:$F$155,C9))</f>
        <v>0</v>
      </c>
      <c r="K9" s="24">
        <f>IF(C9="",0,COUNTIFS('Scenario 1 Raw'!$B$6:$B$155,K$4,'Scenario 1 Raw'!$C$6:$C$155,"&lt;&gt;",'Scenario 1 Raw'!$Q$6:$Q$155,"Yes",'Scenario 1 Raw'!$F$6:$F$155,C9))</f>
        <v>0</v>
      </c>
      <c r="L9" s="24">
        <f t="shared" si="0"/>
        <v>0</v>
      </c>
      <c r="M9" s="7"/>
    </row>
    <row r="10" spans="1:13" ht="16">
      <c r="A10" s="15" t="s">
        <v>47</v>
      </c>
      <c r="B10" s="6" t="s">
        <v>120</v>
      </c>
      <c r="C10" s="6" t="s">
        <v>196</v>
      </c>
      <c r="D10" s="6" t="s">
        <v>197</v>
      </c>
      <c r="E10" s="24">
        <f>IF(C10="",0,COUNTIFS('Scenario 1 Raw'!$B$6:$B$155,E$4,'Scenario 1 Raw'!$C$6:$C$155,"&lt;&gt;",'Scenario 1 Raw'!$Q$6:$Q$155,"Yes",'Scenario 1 Raw'!$F$6:$F$155,C10))</f>
        <v>0</v>
      </c>
      <c r="F10" s="24">
        <f>IF(C10="",0,COUNTIFS('Scenario 1 Raw'!$B$6:$B$155,F$4,'Scenario 1 Raw'!$C$6:$C$155,"&lt;&gt;",'Scenario 1 Raw'!$Q$6:$Q$155,"Yes",'Scenario 1 Raw'!$F$6:$F$155,C10))</f>
        <v>0</v>
      </c>
      <c r="G10" s="24">
        <f>IF(C10="",0,COUNTIFS('Scenario 1 Raw'!$B$6:$B$155,G$4,'Scenario 1 Raw'!$C$6:$C$155,"&lt;&gt;",'Scenario 1 Raw'!$Q$6:$Q$155,"Yes",'Scenario 1 Raw'!$F$6:$F$155,C10))</f>
        <v>0</v>
      </c>
      <c r="H10" s="24">
        <f>IF(C10="",0,COUNTIFS('Scenario 1 Raw'!$B$6:$B$155,H$4,'Scenario 1 Raw'!$C$6:$C$155,"&lt;&gt;",'Scenario 1 Raw'!$Q$6:$Q$155,"Yes",'Scenario 1 Raw'!$F$6:$F$155,C10))</f>
        <v>0</v>
      </c>
      <c r="I10" s="24">
        <f>IF(C10="",0,COUNTIFS('Scenario 1 Raw'!$B$6:$B$155,I$4,'Scenario 1 Raw'!$C$6:$C$155,"&lt;&gt;",'Scenario 1 Raw'!$Q$6:$Q$155,"Yes",'Scenario 1 Raw'!$F$6:$F$155,C10))</f>
        <v>0</v>
      </c>
      <c r="J10" s="24">
        <f>IF(C10="",0,COUNTIFS('Scenario 1 Raw'!$B$6:$B$155,J$4,'Scenario 1 Raw'!$C$6:$C$155,"&lt;&gt;",'Scenario 1 Raw'!$Q$6:$Q$155,"Yes",'Scenario 1 Raw'!$F$6:$F$155,C10))</f>
        <v>0</v>
      </c>
      <c r="K10" s="24">
        <f>IF(C10="",0,COUNTIFS('Scenario 1 Raw'!$B$6:$B$155,K$4,'Scenario 1 Raw'!$C$6:$C$155,"&lt;&gt;",'Scenario 1 Raw'!$Q$6:$Q$155,"Yes",'Scenario 1 Raw'!$F$6:$F$155,C10))</f>
        <v>0</v>
      </c>
      <c r="L10" s="24">
        <f t="shared" si="0"/>
        <v>0</v>
      </c>
      <c r="M10" s="7"/>
    </row>
    <row r="11" spans="1:13" ht="16">
      <c r="A11" s="15" t="s">
        <v>47</v>
      </c>
      <c r="B11" s="6" t="s">
        <v>120</v>
      </c>
      <c r="C11" s="6" t="s">
        <v>104</v>
      </c>
      <c r="D11" s="6" t="s">
        <v>198</v>
      </c>
      <c r="E11" s="24">
        <f>IF(C11="",0,COUNTIFS('Scenario 1 Raw'!$B$6:$B$155,E$4,'Scenario 1 Raw'!$C$6:$C$155,"&lt;&gt;",'Scenario 1 Raw'!$Q$6:$Q$155,"Yes",'Scenario 1 Raw'!$F$6:$F$155,C11))</f>
        <v>0</v>
      </c>
      <c r="F11" s="24">
        <f>IF(C11="",0,COUNTIFS('Scenario 1 Raw'!$B$6:$B$155,F$4,'Scenario 1 Raw'!$C$6:$C$155,"&lt;&gt;",'Scenario 1 Raw'!$Q$6:$Q$155,"Yes",'Scenario 1 Raw'!$F$6:$F$155,C11))</f>
        <v>0</v>
      </c>
      <c r="G11" s="24">
        <f>IF(C11="",0,COUNTIFS('Scenario 1 Raw'!$B$6:$B$155,G$4,'Scenario 1 Raw'!$C$6:$C$155,"&lt;&gt;",'Scenario 1 Raw'!$Q$6:$Q$155,"Yes",'Scenario 1 Raw'!$F$6:$F$155,C11))</f>
        <v>0</v>
      </c>
      <c r="H11" s="24">
        <f>IF(C11="",0,COUNTIFS('Scenario 1 Raw'!$B$6:$B$155,H$4,'Scenario 1 Raw'!$C$6:$C$155,"&lt;&gt;",'Scenario 1 Raw'!$Q$6:$Q$155,"Yes",'Scenario 1 Raw'!$F$6:$F$155,C11))</f>
        <v>0</v>
      </c>
      <c r="I11" s="24">
        <f>IF(C11="",0,COUNTIFS('Scenario 1 Raw'!$B$6:$B$155,I$4,'Scenario 1 Raw'!$C$6:$C$155,"&lt;&gt;",'Scenario 1 Raw'!$Q$6:$Q$155,"Yes",'Scenario 1 Raw'!$F$6:$F$155,C11))</f>
        <v>0</v>
      </c>
      <c r="J11" s="24">
        <f>IF(C11="",0,COUNTIFS('Scenario 1 Raw'!$B$6:$B$155,J$4,'Scenario 1 Raw'!$C$6:$C$155,"&lt;&gt;",'Scenario 1 Raw'!$Q$6:$Q$155,"Yes",'Scenario 1 Raw'!$F$6:$F$155,C11))</f>
        <v>0</v>
      </c>
      <c r="K11" s="24">
        <f>IF(C11="",0,COUNTIFS('Scenario 1 Raw'!$B$6:$B$155,K$4,'Scenario 1 Raw'!$C$6:$C$155,"&lt;&gt;",'Scenario 1 Raw'!$Q$6:$Q$155,"Yes",'Scenario 1 Raw'!$F$6:$F$155,C11))</f>
        <v>0</v>
      </c>
      <c r="L11" s="24">
        <f t="shared" si="0"/>
        <v>0</v>
      </c>
      <c r="M11" s="7"/>
    </row>
    <row r="12" spans="1:13" ht="16">
      <c r="A12" s="15" t="s">
        <v>47</v>
      </c>
      <c r="B12" s="6" t="s">
        <v>121</v>
      </c>
      <c r="C12" s="6" t="s">
        <v>199</v>
      </c>
      <c r="D12" s="6" t="s">
        <v>200</v>
      </c>
      <c r="E12" s="24">
        <f>IF(C12="",0,COUNTIFS('Scenario 1 Raw'!$B$6:$B$155,E$4,'Scenario 1 Raw'!$C$6:$C$155,"&lt;&gt;",'Scenario 1 Raw'!$Q$6:$Q$155,"Yes",'Scenario 1 Raw'!$F$6:$F$155,C12))</f>
        <v>0</v>
      </c>
      <c r="F12" s="24">
        <f>IF(C12="",0,COUNTIFS('Scenario 1 Raw'!$B$6:$B$155,F$4,'Scenario 1 Raw'!$C$6:$C$155,"&lt;&gt;",'Scenario 1 Raw'!$Q$6:$Q$155,"Yes",'Scenario 1 Raw'!$F$6:$F$155,C12))</f>
        <v>0</v>
      </c>
      <c r="G12" s="24">
        <f>IF(C12="",0,COUNTIFS('Scenario 1 Raw'!$B$6:$B$155,G$4,'Scenario 1 Raw'!$C$6:$C$155,"&lt;&gt;",'Scenario 1 Raw'!$Q$6:$Q$155,"Yes",'Scenario 1 Raw'!$F$6:$F$155,C12))</f>
        <v>0</v>
      </c>
      <c r="H12" s="24">
        <f>IF(C12="",0,COUNTIFS('Scenario 1 Raw'!$B$6:$B$155,H$4,'Scenario 1 Raw'!$C$6:$C$155,"&lt;&gt;",'Scenario 1 Raw'!$Q$6:$Q$155,"Yes",'Scenario 1 Raw'!$F$6:$F$155,C12))</f>
        <v>0</v>
      </c>
      <c r="I12" s="24">
        <f>IF(C12="",0,COUNTIFS('Scenario 1 Raw'!$B$6:$B$155,I$4,'Scenario 1 Raw'!$C$6:$C$155,"&lt;&gt;",'Scenario 1 Raw'!$Q$6:$Q$155,"Yes",'Scenario 1 Raw'!$F$6:$F$155,C12))</f>
        <v>0</v>
      </c>
      <c r="J12" s="24">
        <f>IF(C12="",0,COUNTIFS('Scenario 1 Raw'!$B$6:$B$155,J$4,'Scenario 1 Raw'!$C$6:$C$155,"&lt;&gt;",'Scenario 1 Raw'!$Q$6:$Q$155,"Yes",'Scenario 1 Raw'!$F$6:$F$155,C12))</f>
        <v>0</v>
      </c>
      <c r="K12" s="24">
        <f>IF(C12="",0,COUNTIFS('Scenario 1 Raw'!$B$6:$B$155,K$4,'Scenario 1 Raw'!$C$6:$C$155,"&lt;&gt;",'Scenario 1 Raw'!$Q$6:$Q$155,"Yes",'Scenario 1 Raw'!$F$6:$F$155,C12))</f>
        <v>0</v>
      </c>
      <c r="L12" s="24">
        <f t="shared" si="0"/>
        <v>0</v>
      </c>
      <c r="M12" s="7"/>
    </row>
    <row r="13" spans="1:13" ht="16">
      <c r="A13" s="15" t="s">
        <v>47</v>
      </c>
      <c r="B13" s="6" t="s">
        <v>121</v>
      </c>
      <c r="C13" s="6" t="s">
        <v>201</v>
      </c>
      <c r="D13" s="6" t="s">
        <v>202</v>
      </c>
      <c r="E13" s="24">
        <f>IF(C13="",0,COUNTIFS('Scenario 1 Raw'!$B$6:$B$155,E$4,'Scenario 1 Raw'!$C$6:$C$155,"&lt;&gt;",'Scenario 1 Raw'!$Q$6:$Q$155,"Yes",'Scenario 1 Raw'!$F$6:$F$155,C13))</f>
        <v>0</v>
      </c>
      <c r="F13" s="24">
        <f>IF(C13="",0,COUNTIFS('Scenario 1 Raw'!$B$6:$B$155,F$4,'Scenario 1 Raw'!$C$6:$C$155,"&lt;&gt;",'Scenario 1 Raw'!$Q$6:$Q$155,"Yes",'Scenario 1 Raw'!$F$6:$F$155,C13))</f>
        <v>0</v>
      </c>
      <c r="G13" s="24">
        <f>IF(C13="",0,COUNTIFS('Scenario 1 Raw'!$B$6:$B$155,G$4,'Scenario 1 Raw'!$C$6:$C$155,"&lt;&gt;",'Scenario 1 Raw'!$Q$6:$Q$155,"Yes",'Scenario 1 Raw'!$F$6:$F$155,C13))</f>
        <v>0</v>
      </c>
      <c r="H13" s="24">
        <f>IF(C13="",0,COUNTIFS('Scenario 1 Raw'!$B$6:$B$155,H$4,'Scenario 1 Raw'!$C$6:$C$155,"&lt;&gt;",'Scenario 1 Raw'!$Q$6:$Q$155,"Yes",'Scenario 1 Raw'!$F$6:$F$155,C13))</f>
        <v>0</v>
      </c>
      <c r="I13" s="24">
        <f>IF(C13="",0,COUNTIFS('Scenario 1 Raw'!$B$6:$B$155,I$4,'Scenario 1 Raw'!$C$6:$C$155,"&lt;&gt;",'Scenario 1 Raw'!$Q$6:$Q$155,"Yes",'Scenario 1 Raw'!$F$6:$F$155,C13))</f>
        <v>0</v>
      </c>
      <c r="J13" s="24">
        <f>IF(C13="",0,COUNTIFS('Scenario 1 Raw'!$B$6:$B$155,J$4,'Scenario 1 Raw'!$C$6:$C$155,"&lt;&gt;",'Scenario 1 Raw'!$Q$6:$Q$155,"Yes",'Scenario 1 Raw'!$F$6:$F$155,C13))</f>
        <v>0</v>
      </c>
      <c r="K13" s="24">
        <f>IF(C13="",0,COUNTIFS('Scenario 1 Raw'!$B$6:$B$155,K$4,'Scenario 1 Raw'!$C$6:$C$155,"&lt;&gt;",'Scenario 1 Raw'!$Q$6:$Q$155,"Yes",'Scenario 1 Raw'!$F$6:$F$155,C13))</f>
        <v>0</v>
      </c>
      <c r="L13" s="24">
        <f t="shared" si="0"/>
        <v>0</v>
      </c>
      <c r="M13" s="7"/>
    </row>
    <row r="14" spans="1:13" ht="16">
      <c r="A14" s="15" t="s">
        <v>47</v>
      </c>
      <c r="B14" s="6" t="s">
        <v>121</v>
      </c>
      <c r="C14" s="6" t="s">
        <v>203</v>
      </c>
      <c r="D14" s="6" t="s">
        <v>204</v>
      </c>
      <c r="E14" s="24">
        <f>IF(C14="",0,COUNTIFS('Scenario 1 Raw'!$B$6:$B$155,E$4,'Scenario 1 Raw'!$C$6:$C$155,"&lt;&gt;",'Scenario 1 Raw'!$Q$6:$Q$155,"Yes",'Scenario 1 Raw'!$F$6:$F$155,C14))</f>
        <v>0</v>
      </c>
      <c r="F14" s="24">
        <f>IF(C14="",0,COUNTIFS('Scenario 1 Raw'!$B$6:$B$155,F$4,'Scenario 1 Raw'!$C$6:$C$155,"&lt;&gt;",'Scenario 1 Raw'!$Q$6:$Q$155,"Yes",'Scenario 1 Raw'!$F$6:$F$155,C14))</f>
        <v>0</v>
      </c>
      <c r="G14" s="24">
        <f>IF(C14="",0,COUNTIFS('Scenario 1 Raw'!$B$6:$B$155,G$4,'Scenario 1 Raw'!$C$6:$C$155,"&lt;&gt;",'Scenario 1 Raw'!$Q$6:$Q$155,"Yes",'Scenario 1 Raw'!$F$6:$F$155,C14))</f>
        <v>0</v>
      </c>
      <c r="H14" s="24">
        <f>IF(C14="",0,COUNTIFS('Scenario 1 Raw'!$B$6:$B$155,H$4,'Scenario 1 Raw'!$C$6:$C$155,"&lt;&gt;",'Scenario 1 Raw'!$Q$6:$Q$155,"Yes",'Scenario 1 Raw'!$F$6:$F$155,C14))</f>
        <v>0</v>
      </c>
      <c r="I14" s="24">
        <f>IF(C14="",0,COUNTIFS('Scenario 1 Raw'!$B$6:$B$155,I$4,'Scenario 1 Raw'!$C$6:$C$155,"&lt;&gt;",'Scenario 1 Raw'!$Q$6:$Q$155,"Yes",'Scenario 1 Raw'!$F$6:$F$155,C14))</f>
        <v>0</v>
      </c>
      <c r="J14" s="24">
        <f>IF(C14="",0,COUNTIFS('Scenario 1 Raw'!$B$6:$B$155,J$4,'Scenario 1 Raw'!$C$6:$C$155,"&lt;&gt;",'Scenario 1 Raw'!$Q$6:$Q$155,"Yes",'Scenario 1 Raw'!$F$6:$F$155,C14))</f>
        <v>0</v>
      </c>
      <c r="K14" s="24">
        <f>IF(C14="",0,COUNTIFS('Scenario 1 Raw'!$B$6:$B$155,K$4,'Scenario 1 Raw'!$C$6:$C$155,"&lt;&gt;",'Scenario 1 Raw'!$Q$6:$Q$155,"Yes",'Scenario 1 Raw'!$F$6:$F$155,C14))</f>
        <v>0</v>
      </c>
      <c r="L14" s="24">
        <f t="shared" si="0"/>
        <v>0</v>
      </c>
      <c r="M14" s="7"/>
    </row>
    <row r="15" spans="1:13" ht="32">
      <c r="A15" s="15" t="s">
        <v>62</v>
      </c>
      <c r="B15" s="6"/>
      <c r="C15" s="6"/>
      <c r="D15" s="6" t="s">
        <v>205</v>
      </c>
      <c r="E15" s="24">
        <f>IF(C15="",0,COUNTIFS('Scenario 2 Raw'!$B$6:$B$155,E$4,'Scenario 2 Raw'!$C$6:$C$155,"&lt;&gt;",'Scenario 2 Raw'!$Q$6:$Q$155,"Yes",'Scenario 2 Raw'!$F$6:$F$155,C15))</f>
        <v>0</v>
      </c>
      <c r="F15" s="24">
        <f>IF(C15="",0,COUNTIFS('Scenario 2 Raw'!$B$6:$B$155,F$4,'Scenario 2 Raw'!$C$6:$C$155,"&lt;&gt;",'Scenario 2 Raw'!$Q$6:$Q$155,"Yes",'Scenario 2 Raw'!$F$6:$F$155,C15))</f>
        <v>0</v>
      </c>
      <c r="G15" s="24">
        <f>IF(C15="",0,COUNTIFS('Scenario 2 Raw'!$B$6:$B$155,G$4,'Scenario 2 Raw'!$C$6:$C$155,"&lt;&gt;",'Scenario 2 Raw'!$Q$6:$Q$155,"Yes",'Scenario 2 Raw'!$F$6:$F$155,C15))</f>
        <v>0</v>
      </c>
      <c r="H15" s="24">
        <f>IF(C15="",0,COUNTIFS('Scenario 2 Raw'!$B$6:$B$155,H$4,'Scenario 2 Raw'!$C$6:$C$155,"&lt;&gt;",'Scenario 2 Raw'!$Q$6:$Q$155,"Yes",'Scenario 2 Raw'!$F$6:$F$155,C15))</f>
        <v>0</v>
      </c>
      <c r="I15" s="24">
        <f>IF(C15="",0,COUNTIFS('Scenario 2 Raw'!$B$6:$B$155,I$4,'Scenario 2 Raw'!$C$6:$C$155,"&lt;&gt;",'Scenario 2 Raw'!$Q$6:$Q$155,"Yes",'Scenario 2 Raw'!$F$6:$F$155,C15))</f>
        <v>0</v>
      </c>
      <c r="J15" s="24">
        <f>IF(C15="",0,COUNTIFS('Scenario 2 Raw'!$B$6:$B$155,J$4,'Scenario 2 Raw'!$C$6:$C$155,"&lt;&gt;",'Scenario 2 Raw'!$Q$6:$Q$155,"Yes",'Scenario 2 Raw'!$F$6:$F$155,C15))</f>
        <v>0</v>
      </c>
      <c r="K15" s="24">
        <f>IF(C15="",0,COUNTIFS('Scenario 2 Raw'!$B$6:$B$155,K$4,'Scenario 2 Raw'!$C$6:$C$155,"&lt;&gt;",'Scenario 2 Raw'!$Q$6:$Q$155,"Yes",'Scenario 2 Raw'!$F$6:$F$155,C15))</f>
        <v>0</v>
      </c>
      <c r="L15" s="24">
        <f t="shared" si="0"/>
        <v>0</v>
      </c>
      <c r="M15" s="7"/>
    </row>
    <row r="16" spans="1:13" ht="32">
      <c r="A16" s="15" t="s">
        <v>62</v>
      </c>
      <c r="B16" s="6"/>
      <c r="C16" s="6"/>
      <c r="D16" s="6" t="s">
        <v>205</v>
      </c>
      <c r="E16" s="24">
        <f>IF(C16="",0,COUNTIFS('Scenario 2 Raw'!$B$6:$B$155,E$4,'Scenario 2 Raw'!$C$6:$C$155,"&lt;&gt;",'Scenario 2 Raw'!$Q$6:$Q$155,"Yes",'Scenario 2 Raw'!$F$6:$F$155,C16))</f>
        <v>0</v>
      </c>
      <c r="F16" s="24">
        <f>IF(C16="",0,COUNTIFS('Scenario 2 Raw'!$B$6:$B$155,F$4,'Scenario 2 Raw'!$C$6:$C$155,"&lt;&gt;",'Scenario 2 Raw'!$Q$6:$Q$155,"Yes",'Scenario 2 Raw'!$F$6:$F$155,C16))</f>
        <v>0</v>
      </c>
      <c r="G16" s="24">
        <f>IF(C16="",0,COUNTIFS('Scenario 2 Raw'!$B$6:$B$155,G$4,'Scenario 2 Raw'!$C$6:$C$155,"&lt;&gt;",'Scenario 2 Raw'!$Q$6:$Q$155,"Yes",'Scenario 2 Raw'!$F$6:$F$155,C16))</f>
        <v>0</v>
      </c>
      <c r="H16" s="24">
        <f>IF(C16="",0,COUNTIFS('Scenario 2 Raw'!$B$6:$B$155,H$4,'Scenario 2 Raw'!$C$6:$C$155,"&lt;&gt;",'Scenario 2 Raw'!$Q$6:$Q$155,"Yes",'Scenario 2 Raw'!$F$6:$F$155,C16))</f>
        <v>0</v>
      </c>
      <c r="I16" s="24">
        <f>IF(C16="",0,COUNTIFS('Scenario 2 Raw'!$B$6:$B$155,I$4,'Scenario 2 Raw'!$C$6:$C$155,"&lt;&gt;",'Scenario 2 Raw'!$Q$6:$Q$155,"Yes",'Scenario 2 Raw'!$F$6:$F$155,C16))</f>
        <v>0</v>
      </c>
      <c r="J16" s="24">
        <f>IF(C16="",0,COUNTIFS('Scenario 2 Raw'!$B$6:$B$155,J$4,'Scenario 2 Raw'!$C$6:$C$155,"&lt;&gt;",'Scenario 2 Raw'!$Q$6:$Q$155,"Yes",'Scenario 2 Raw'!$F$6:$F$155,C16))</f>
        <v>0</v>
      </c>
      <c r="K16" s="24">
        <f>IF(C16="",0,COUNTIFS('Scenario 2 Raw'!$B$6:$B$155,K$4,'Scenario 2 Raw'!$C$6:$C$155,"&lt;&gt;",'Scenario 2 Raw'!$Q$6:$Q$155,"Yes",'Scenario 2 Raw'!$F$6:$F$155,C16))</f>
        <v>0</v>
      </c>
      <c r="L16" s="24">
        <f t="shared" si="0"/>
        <v>0</v>
      </c>
      <c r="M16" s="7"/>
    </row>
    <row r="17" spans="1:13" ht="32">
      <c r="A17" s="15" t="s">
        <v>62</v>
      </c>
      <c r="B17" s="6"/>
      <c r="C17" s="6"/>
      <c r="D17" s="6" t="s">
        <v>205</v>
      </c>
      <c r="E17" s="24">
        <f>IF(C17="",0,COUNTIFS('Scenario 2 Raw'!$B$6:$B$155,E$4,'Scenario 2 Raw'!$C$6:$C$155,"&lt;&gt;",'Scenario 2 Raw'!$Q$6:$Q$155,"Yes",'Scenario 2 Raw'!$F$6:$F$155,C17))</f>
        <v>0</v>
      </c>
      <c r="F17" s="24">
        <f>IF(C17="",0,COUNTIFS('Scenario 2 Raw'!$B$6:$B$155,F$4,'Scenario 2 Raw'!$C$6:$C$155,"&lt;&gt;",'Scenario 2 Raw'!$Q$6:$Q$155,"Yes",'Scenario 2 Raw'!$F$6:$F$155,C17))</f>
        <v>0</v>
      </c>
      <c r="G17" s="24">
        <f>IF(C17="",0,COUNTIFS('Scenario 2 Raw'!$B$6:$B$155,G$4,'Scenario 2 Raw'!$C$6:$C$155,"&lt;&gt;",'Scenario 2 Raw'!$Q$6:$Q$155,"Yes",'Scenario 2 Raw'!$F$6:$F$155,C17))</f>
        <v>0</v>
      </c>
      <c r="H17" s="24">
        <f>IF(C17="",0,COUNTIFS('Scenario 2 Raw'!$B$6:$B$155,H$4,'Scenario 2 Raw'!$C$6:$C$155,"&lt;&gt;",'Scenario 2 Raw'!$Q$6:$Q$155,"Yes",'Scenario 2 Raw'!$F$6:$F$155,C17))</f>
        <v>0</v>
      </c>
      <c r="I17" s="24">
        <f>IF(C17="",0,COUNTIFS('Scenario 2 Raw'!$B$6:$B$155,I$4,'Scenario 2 Raw'!$C$6:$C$155,"&lt;&gt;",'Scenario 2 Raw'!$Q$6:$Q$155,"Yes",'Scenario 2 Raw'!$F$6:$F$155,C17))</f>
        <v>0</v>
      </c>
      <c r="J17" s="24">
        <f>IF(C17="",0,COUNTIFS('Scenario 2 Raw'!$B$6:$B$155,J$4,'Scenario 2 Raw'!$C$6:$C$155,"&lt;&gt;",'Scenario 2 Raw'!$Q$6:$Q$155,"Yes",'Scenario 2 Raw'!$F$6:$F$155,C17))</f>
        <v>0</v>
      </c>
      <c r="K17" s="24">
        <f>IF(C17="",0,COUNTIFS('Scenario 2 Raw'!$B$6:$B$155,K$4,'Scenario 2 Raw'!$C$6:$C$155,"&lt;&gt;",'Scenario 2 Raw'!$Q$6:$Q$155,"Yes",'Scenario 2 Raw'!$F$6:$F$155,C17))</f>
        <v>0</v>
      </c>
      <c r="L17" s="24">
        <f t="shared" si="0"/>
        <v>0</v>
      </c>
      <c r="M17" s="7"/>
    </row>
    <row r="18" spans="1:13" ht="32">
      <c r="A18" s="15" t="s">
        <v>62</v>
      </c>
      <c r="B18" s="6"/>
      <c r="C18" s="6"/>
      <c r="D18" s="6" t="s">
        <v>205</v>
      </c>
      <c r="E18" s="24">
        <f>IF(C18="",0,COUNTIFS('Scenario 2 Raw'!$B$6:$B$155,E$4,'Scenario 2 Raw'!$C$6:$C$155,"&lt;&gt;",'Scenario 2 Raw'!$Q$6:$Q$155,"Yes",'Scenario 2 Raw'!$F$6:$F$155,C18))</f>
        <v>0</v>
      </c>
      <c r="F18" s="24">
        <f>IF(C18="",0,COUNTIFS('Scenario 2 Raw'!$B$6:$B$155,F$4,'Scenario 2 Raw'!$C$6:$C$155,"&lt;&gt;",'Scenario 2 Raw'!$Q$6:$Q$155,"Yes",'Scenario 2 Raw'!$F$6:$F$155,C18))</f>
        <v>0</v>
      </c>
      <c r="G18" s="24">
        <f>IF(C18="",0,COUNTIFS('Scenario 2 Raw'!$B$6:$B$155,G$4,'Scenario 2 Raw'!$C$6:$C$155,"&lt;&gt;",'Scenario 2 Raw'!$Q$6:$Q$155,"Yes",'Scenario 2 Raw'!$F$6:$F$155,C18))</f>
        <v>0</v>
      </c>
      <c r="H18" s="24">
        <f>IF(C18="",0,COUNTIFS('Scenario 2 Raw'!$B$6:$B$155,H$4,'Scenario 2 Raw'!$C$6:$C$155,"&lt;&gt;",'Scenario 2 Raw'!$Q$6:$Q$155,"Yes",'Scenario 2 Raw'!$F$6:$F$155,C18))</f>
        <v>0</v>
      </c>
      <c r="I18" s="24">
        <f>IF(C18="",0,COUNTIFS('Scenario 2 Raw'!$B$6:$B$155,I$4,'Scenario 2 Raw'!$C$6:$C$155,"&lt;&gt;",'Scenario 2 Raw'!$Q$6:$Q$155,"Yes",'Scenario 2 Raw'!$F$6:$F$155,C18))</f>
        <v>0</v>
      </c>
      <c r="J18" s="24">
        <f>IF(C18="",0,COUNTIFS('Scenario 2 Raw'!$B$6:$B$155,J$4,'Scenario 2 Raw'!$C$6:$C$155,"&lt;&gt;",'Scenario 2 Raw'!$Q$6:$Q$155,"Yes",'Scenario 2 Raw'!$F$6:$F$155,C18))</f>
        <v>0</v>
      </c>
      <c r="K18" s="24">
        <f>IF(C18="",0,COUNTIFS('Scenario 2 Raw'!$B$6:$B$155,K$4,'Scenario 2 Raw'!$C$6:$C$155,"&lt;&gt;",'Scenario 2 Raw'!$Q$6:$Q$155,"Yes",'Scenario 2 Raw'!$F$6:$F$155,C18))</f>
        <v>0</v>
      </c>
      <c r="L18" s="24">
        <f t="shared" si="0"/>
        <v>0</v>
      </c>
      <c r="M18" s="7"/>
    </row>
    <row r="19" spans="1:13" ht="32">
      <c r="A19" s="15" t="s">
        <v>62</v>
      </c>
      <c r="B19" s="6"/>
      <c r="C19" s="6"/>
      <c r="D19" s="6" t="s">
        <v>205</v>
      </c>
      <c r="E19" s="24">
        <f>IF(C19="",0,COUNTIFS('Scenario 2 Raw'!$B$6:$B$155,E$4,'Scenario 2 Raw'!$C$6:$C$155,"&lt;&gt;",'Scenario 2 Raw'!$Q$6:$Q$155,"Yes",'Scenario 2 Raw'!$F$6:$F$155,C19))</f>
        <v>0</v>
      </c>
      <c r="F19" s="24">
        <f>IF(C19="",0,COUNTIFS('Scenario 2 Raw'!$B$6:$B$155,F$4,'Scenario 2 Raw'!$C$6:$C$155,"&lt;&gt;",'Scenario 2 Raw'!$Q$6:$Q$155,"Yes",'Scenario 2 Raw'!$F$6:$F$155,C19))</f>
        <v>0</v>
      </c>
      <c r="G19" s="24">
        <f>IF(C19="",0,COUNTIFS('Scenario 2 Raw'!$B$6:$B$155,G$4,'Scenario 2 Raw'!$C$6:$C$155,"&lt;&gt;",'Scenario 2 Raw'!$Q$6:$Q$155,"Yes",'Scenario 2 Raw'!$F$6:$F$155,C19))</f>
        <v>0</v>
      </c>
      <c r="H19" s="24">
        <f>IF(C19="",0,COUNTIFS('Scenario 2 Raw'!$B$6:$B$155,H$4,'Scenario 2 Raw'!$C$6:$C$155,"&lt;&gt;",'Scenario 2 Raw'!$Q$6:$Q$155,"Yes",'Scenario 2 Raw'!$F$6:$F$155,C19))</f>
        <v>0</v>
      </c>
      <c r="I19" s="24">
        <f>IF(C19="",0,COUNTIFS('Scenario 2 Raw'!$B$6:$B$155,I$4,'Scenario 2 Raw'!$C$6:$C$155,"&lt;&gt;",'Scenario 2 Raw'!$Q$6:$Q$155,"Yes",'Scenario 2 Raw'!$F$6:$F$155,C19))</f>
        <v>0</v>
      </c>
      <c r="J19" s="24">
        <f>IF(C19="",0,COUNTIFS('Scenario 2 Raw'!$B$6:$B$155,J$4,'Scenario 2 Raw'!$C$6:$C$155,"&lt;&gt;",'Scenario 2 Raw'!$Q$6:$Q$155,"Yes",'Scenario 2 Raw'!$F$6:$F$155,C19))</f>
        <v>0</v>
      </c>
      <c r="K19" s="24">
        <f>IF(C19="",0,COUNTIFS('Scenario 2 Raw'!$B$6:$B$155,K$4,'Scenario 2 Raw'!$C$6:$C$155,"&lt;&gt;",'Scenario 2 Raw'!$Q$6:$Q$155,"Yes",'Scenario 2 Raw'!$F$6:$F$155,C19))</f>
        <v>0</v>
      </c>
      <c r="L19" s="24">
        <f t="shared" si="0"/>
        <v>0</v>
      </c>
      <c r="M19" s="7"/>
    </row>
    <row r="20" spans="1:13" ht="32">
      <c r="A20" s="15" t="s">
        <v>62</v>
      </c>
      <c r="B20" s="6"/>
      <c r="C20" s="6"/>
      <c r="D20" s="6" t="s">
        <v>205</v>
      </c>
      <c r="E20" s="24">
        <f>IF(C20="",0,COUNTIFS('Scenario 2 Raw'!$B$6:$B$155,E$4,'Scenario 2 Raw'!$C$6:$C$155,"&lt;&gt;",'Scenario 2 Raw'!$Q$6:$Q$155,"Yes",'Scenario 2 Raw'!$F$6:$F$155,C20))</f>
        <v>0</v>
      </c>
      <c r="F20" s="24">
        <f>IF(C20="",0,COUNTIFS('Scenario 2 Raw'!$B$6:$B$155,F$4,'Scenario 2 Raw'!$C$6:$C$155,"&lt;&gt;",'Scenario 2 Raw'!$Q$6:$Q$155,"Yes",'Scenario 2 Raw'!$F$6:$F$155,C20))</f>
        <v>0</v>
      </c>
      <c r="G20" s="24">
        <f>IF(C20="",0,COUNTIFS('Scenario 2 Raw'!$B$6:$B$155,G$4,'Scenario 2 Raw'!$C$6:$C$155,"&lt;&gt;",'Scenario 2 Raw'!$Q$6:$Q$155,"Yes",'Scenario 2 Raw'!$F$6:$F$155,C20))</f>
        <v>0</v>
      </c>
      <c r="H20" s="24">
        <f>IF(C20="",0,COUNTIFS('Scenario 2 Raw'!$B$6:$B$155,H$4,'Scenario 2 Raw'!$C$6:$C$155,"&lt;&gt;",'Scenario 2 Raw'!$Q$6:$Q$155,"Yes",'Scenario 2 Raw'!$F$6:$F$155,C20))</f>
        <v>0</v>
      </c>
      <c r="I20" s="24">
        <f>IF(C20="",0,COUNTIFS('Scenario 2 Raw'!$B$6:$B$155,I$4,'Scenario 2 Raw'!$C$6:$C$155,"&lt;&gt;",'Scenario 2 Raw'!$Q$6:$Q$155,"Yes",'Scenario 2 Raw'!$F$6:$F$155,C20))</f>
        <v>0</v>
      </c>
      <c r="J20" s="24">
        <f>IF(C20="",0,COUNTIFS('Scenario 2 Raw'!$B$6:$B$155,J$4,'Scenario 2 Raw'!$C$6:$C$155,"&lt;&gt;",'Scenario 2 Raw'!$Q$6:$Q$155,"Yes",'Scenario 2 Raw'!$F$6:$F$155,C20))</f>
        <v>0</v>
      </c>
      <c r="K20" s="24">
        <f>IF(C20="",0,COUNTIFS('Scenario 2 Raw'!$B$6:$B$155,K$4,'Scenario 2 Raw'!$C$6:$C$155,"&lt;&gt;",'Scenario 2 Raw'!$Q$6:$Q$155,"Yes",'Scenario 2 Raw'!$F$6:$F$155,C20))</f>
        <v>0</v>
      </c>
      <c r="L20" s="24">
        <f t="shared" si="0"/>
        <v>0</v>
      </c>
      <c r="M20" s="7"/>
    </row>
    <row r="21" spans="1:13" ht="32">
      <c r="A21" s="15" t="s">
        <v>62</v>
      </c>
      <c r="B21" s="6"/>
      <c r="C21" s="6"/>
      <c r="D21" s="6" t="s">
        <v>205</v>
      </c>
      <c r="E21" s="24">
        <f>IF(C21="",0,COUNTIFS('Scenario 2 Raw'!$B$6:$B$155,E$4,'Scenario 2 Raw'!$C$6:$C$155,"&lt;&gt;",'Scenario 2 Raw'!$Q$6:$Q$155,"Yes",'Scenario 2 Raw'!$F$6:$F$155,C21))</f>
        <v>0</v>
      </c>
      <c r="F21" s="24">
        <f>IF(C21="",0,COUNTIFS('Scenario 2 Raw'!$B$6:$B$155,F$4,'Scenario 2 Raw'!$C$6:$C$155,"&lt;&gt;",'Scenario 2 Raw'!$Q$6:$Q$155,"Yes",'Scenario 2 Raw'!$F$6:$F$155,C21))</f>
        <v>0</v>
      </c>
      <c r="G21" s="24">
        <f>IF(C21="",0,COUNTIFS('Scenario 2 Raw'!$B$6:$B$155,G$4,'Scenario 2 Raw'!$C$6:$C$155,"&lt;&gt;",'Scenario 2 Raw'!$Q$6:$Q$155,"Yes",'Scenario 2 Raw'!$F$6:$F$155,C21))</f>
        <v>0</v>
      </c>
      <c r="H21" s="24">
        <f>IF(C21="",0,COUNTIFS('Scenario 2 Raw'!$B$6:$B$155,H$4,'Scenario 2 Raw'!$C$6:$C$155,"&lt;&gt;",'Scenario 2 Raw'!$Q$6:$Q$155,"Yes",'Scenario 2 Raw'!$F$6:$F$155,C21))</f>
        <v>0</v>
      </c>
      <c r="I21" s="24">
        <f>IF(C21="",0,COUNTIFS('Scenario 2 Raw'!$B$6:$B$155,I$4,'Scenario 2 Raw'!$C$6:$C$155,"&lt;&gt;",'Scenario 2 Raw'!$Q$6:$Q$155,"Yes",'Scenario 2 Raw'!$F$6:$F$155,C21))</f>
        <v>0</v>
      </c>
      <c r="J21" s="24">
        <f>IF(C21="",0,COUNTIFS('Scenario 2 Raw'!$B$6:$B$155,J$4,'Scenario 2 Raw'!$C$6:$C$155,"&lt;&gt;",'Scenario 2 Raw'!$Q$6:$Q$155,"Yes",'Scenario 2 Raw'!$F$6:$F$155,C21))</f>
        <v>0</v>
      </c>
      <c r="K21" s="24">
        <f>IF(C21="",0,COUNTIFS('Scenario 2 Raw'!$B$6:$B$155,K$4,'Scenario 2 Raw'!$C$6:$C$155,"&lt;&gt;",'Scenario 2 Raw'!$Q$6:$Q$155,"Yes",'Scenario 2 Raw'!$F$6:$F$155,C21))</f>
        <v>0</v>
      </c>
      <c r="L21" s="24">
        <f t="shared" si="0"/>
        <v>0</v>
      </c>
      <c r="M21" s="7"/>
    </row>
    <row r="22" spans="1:13" ht="32">
      <c r="A22" s="15" t="s">
        <v>62</v>
      </c>
      <c r="B22" s="6"/>
      <c r="C22" s="6"/>
      <c r="D22" s="6" t="s">
        <v>205</v>
      </c>
      <c r="E22" s="24">
        <f>IF(C22="",0,COUNTIFS('Scenario 2 Raw'!$B$6:$B$155,E$4,'Scenario 2 Raw'!$C$6:$C$155,"&lt;&gt;",'Scenario 2 Raw'!$Q$6:$Q$155,"Yes",'Scenario 2 Raw'!$F$6:$F$155,C22))</f>
        <v>0</v>
      </c>
      <c r="F22" s="24">
        <f>IF(C22="",0,COUNTIFS('Scenario 2 Raw'!$B$6:$B$155,F$4,'Scenario 2 Raw'!$C$6:$C$155,"&lt;&gt;",'Scenario 2 Raw'!$Q$6:$Q$155,"Yes",'Scenario 2 Raw'!$F$6:$F$155,C22))</f>
        <v>0</v>
      </c>
      <c r="G22" s="24">
        <f>IF(C22="",0,COUNTIFS('Scenario 2 Raw'!$B$6:$B$155,G$4,'Scenario 2 Raw'!$C$6:$C$155,"&lt;&gt;",'Scenario 2 Raw'!$Q$6:$Q$155,"Yes",'Scenario 2 Raw'!$F$6:$F$155,C22))</f>
        <v>0</v>
      </c>
      <c r="H22" s="24">
        <f>IF(C22="",0,COUNTIFS('Scenario 2 Raw'!$B$6:$B$155,H$4,'Scenario 2 Raw'!$C$6:$C$155,"&lt;&gt;",'Scenario 2 Raw'!$Q$6:$Q$155,"Yes",'Scenario 2 Raw'!$F$6:$F$155,C22))</f>
        <v>0</v>
      </c>
      <c r="I22" s="24">
        <f>IF(C22="",0,COUNTIFS('Scenario 2 Raw'!$B$6:$B$155,I$4,'Scenario 2 Raw'!$C$6:$C$155,"&lt;&gt;",'Scenario 2 Raw'!$Q$6:$Q$155,"Yes",'Scenario 2 Raw'!$F$6:$F$155,C22))</f>
        <v>0</v>
      </c>
      <c r="J22" s="24">
        <f>IF(C22="",0,COUNTIFS('Scenario 2 Raw'!$B$6:$B$155,J$4,'Scenario 2 Raw'!$C$6:$C$155,"&lt;&gt;",'Scenario 2 Raw'!$Q$6:$Q$155,"Yes",'Scenario 2 Raw'!$F$6:$F$155,C22))</f>
        <v>0</v>
      </c>
      <c r="K22" s="24">
        <f>IF(C22="",0,COUNTIFS('Scenario 2 Raw'!$B$6:$B$155,K$4,'Scenario 2 Raw'!$C$6:$C$155,"&lt;&gt;",'Scenario 2 Raw'!$Q$6:$Q$155,"Yes",'Scenario 2 Raw'!$F$6:$F$155,C22))</f>
        <v>0</v>
      </c>
      <c r="L22" s="24">
        <f t="shared" si="0"/>
        <v>0</v>
      </c>
      <c r="M22" s="7"/>
    </row>
    <row r="23" spans="1:13" ht="32">
      <c r="A23" s="15" t="s">
        <v>62</v>
      </c>
      <c r="B23" s="6"/>
      <c r="C23" s="6"/>
      <c r="D23" s="6" t="s">
        <v>205</v>
      </c>
      <c r="E23" s="24">
        <f>IF(C23="",0,COUNTIFS('Scenario 2 Raw'!$B$6:$B$155,E$4,'Scenario 2 Raw'!$C$6:$C$155,"&lt;&gt;",'Scenario 2 Raw'!$Q$6:$Q$155,"Yes",'Scenario 2 Raw'!$F$6:$F$155,C23))</f>
        <v>0</v>
      </c>
      <c r="F23" s="24">
        <f>IF(C23="",0,COUNTIFS('Scenario 2 Raw'!$B$6:$B$155,F$4,'Scenario 2 Raw'!$C$6:$C$155,"&lt;&gt;",'Scenario 2 Raw'!$Q$6:$Q$155,"Yes",'Scenario 2 Raw'!$F$6:$F$155,C23))</f>
        <v>0</v>
      </c>
      <c r="G23" s="24">
        <f>IF(C23="",0,COUNTIFS('Scenario 2 Raw'!$B$6:$B$155,G$4,'Scenario 2 Raw'!$C$6:$C$155,"&lt;&gt;",'Scenario 2 Raw'!$Q$6:$Q$155,"Yes",'Scenario 2 Raw'!$F$6:$F$155,C23))</f>
        <v>0</v>
      </c>
      <c r="H23" s="24">
        <f>IF(C23="",0,COUNTIFS('Scenario 2 Raw'!$B$6:$B$155,H$4,'Scenario 2 Raw'!$C$6:$C$155,"&lt;&gt;",'Scenario 2 Raw'!$Q$6:$Q$155,"Yes",'Scenario 2 Raw'!$F$6:$F$155,C23))</f>
        <v>0</v>
      </c>
      <c r="I23" s="24">
        <f>IF(C23="",0,COUNTIFS('Scenario 2 Raw'!$B$6:$B$155,I$4,'Scenario 2 Raw'!$C$6:$C$155,"&lt;&gt;",'Scenario 2 Raw'!$Q$6:$Q$155,"Yes",'Scenario 2 Raw'!$F$6:$F$155,C23))</f>
        <v>0</v>
      </c>
      <c r="J23" s="24">
        <f>IF(C23="",0,COUNTIFS('Scenario 2 Raw'!$B$6:$B$155,J$4,'Scenario 2 Raw'!$C$6:$C$155,"&lt;&gt;",'Scenario 2 Raw'!$Q$6:$Q$155,"Yes",'Scenario 2 Raw'!$F$6:$F$155,C23))</f>
        <v>0</v>
      </c>
      <c r="K23" s="24">
        <f>IF(C23="",0,COUNTIFS('Scenario 2 Raw'!$B$6:$B$155,K$4,'Scenario 2 Raw'!$C$6:$C$155,"&lt;&gt;",'Scenario 2 Raw'!$Q$6:$Q$155,"Yes",'Scenario 2 Raw'!$F$6:$F$155,C23))</f>
        <v>0</v>
      </c>
      <c r="L23" s="24">
        <f t="shared" si="0"/>
        <v>0</v>
      </c>
      <c r="M23" s="7"/>
    </row>
    <row r="24" spans="1:13" ht="32">
      <c r="A24" s="15" t="s">
        <v>62</v>
      </c>
      <c r="B24" s="6"/>
      <c r="C24" s="6"/>
      <c r="D24" s="6" t="s">
        <v>205</v>
      </c>
      <c r="E24" s="24">
        <f>IF(C24="",0,COUNTIFS('Scenario 2 Raw'!$B$6:$B$155,E$4,'Scenario 2 Raw'!$C$6:$C$155,"&lt;&gt;",'Scenario 2 Raw'!$Q$6:$Q$155,"Yes",'Scenario 2 Raw'!$F$6:$F$155,C24))</f>
        <v>0</v>
      </c>
      <c r="F24" s="24">
        <f>IF(C24="",0,COUNTIFS('Scenario 2 Raw'!$B$6:$B$155,F$4,'Scenario 2 Raw'!$C$6:$C$155,"&lt;&gt;",'Scenario 2 Raw'!$Q$6:$Q$155,"Yes",'Scenario 2 Raw'!$F$6:$F$155,C24))</f>
        <v>0</v>
      </c>
      <c r="G24" s="24">
        <f>IF(C24="",0,COUNTIFS('Scenario 2 Raw'!$B$6:$B$155,G$4,'Scenario 2 Raw'!$C$6:$C$155,"&lt;&gt;",'Scenario 2 Raw'!$Q$6:$Q$155,"Yes",'Scenario 2 Raw'!$F$6:$F$155,C24))</f>
        <v>0</v>
      </c>
      <c r="H24" s="24">
        <f>IF(C24="",0,COUNTIFS('Scenario 2 Raw'!$B$6:$B$155,H$4,'Scenario 2 Raw'!$C$6:$C$155,"&lt;&gt;",'Scenario 2 Raw'!$Q$6:$Q$155,"Yes",'Scenario 2 Raw'!$F$6:$F$155,C24))</f>
        <v>0</v>
      </c>
      <c r="I24" s="24">
        <f>IF(C24="",0,COUNTIFS('Scenario 2 Raw'!$B$6:$B$155,I$4,'Scenario 2 Raw'!$C$6:$C$155,"&lt;&gt;",'Scenario 2 Raw'!$Q$6:$Q$155,"Yes",'Scenario 2 Raw'!$F$6:$F$155,C24))</f>
        <v>0</v>
      </c>
      <c r="J24" s="24">
        <f>IF(C24="",0,COUNTIFS('Scenario 2 Raw'!$B$6:$B$155,J$4,'Scenario 2 Raw'!$C$6:$C$155,"&lt;&gt;",'Scenario 2 Raw'!$Q$6:$Q$155,"Yes",'Scenario 2 Raw'!$F$6:$F$155,C24))</f>
        <v>0</v>
      </c>
      <c r="K24" s="24">
        <f>IF(C24="",0,COUNTIFS('Scenario 2 Raw'!$B$6:$B$155,K$4,'Scenario 2 Raw'!$C$6:$C$155,"&lt;&gt;",'Scenario 2 Raw'!$Q$6:$Q$155,"Yes",'Scenario 2 Raw'!$F$6:$F$155,C24))</f>
        <v>0</v>
      </c>
      <c r="L24" s="24">
        <f t="shared" si="0"/>
        <v>0</v>
      </c>
      <c r="M24" s="7"/>
    </row>
    <row r="25" spans="1:13" ht="32">
      <c r="A25" s="15" t="s">
        <v>63</v>
      </c>
      <c r="B25" s="6"/>
      <c r="C25" s="6"/>
      <c r="D25" s="6" t="s">
        <v>205</v>
      </c>
      <c r="E25" s="24">
        <f>IF(C25="",0,COUNTIFS('Scenario 3 Raw'!$B$6:$B$155,E$4,'Scenario 3 Raw'!$C$6:$C$155,"&lt;&gt;",'Scenario 3 Raw'!$Q$6:$Q$155,"Yes",'Scenario 3 Raw'!$F$6:$F$155,C25))</f>
        <v>0</v>
      </c>
      <c r="F25" s="24">
        <f>IF(C25="",0,COUNTIFS('Scenario 3 Raw'!$B$6:$B$155,F$4,'Scenario 3 Raw'!$C$6:$C$155,"&lt;&gt;",'Scenario 3 Raw'!$Q$6:$Q$155,"Yes",'Scenario 3 Raw'!$F$6:$F$155,C25))</f>
        <v>0</v>
      </c>
      <c r="G25" s="24">
        <f>IF(C25="",0,COUNTIFS('Scenario 3 Raw'!$B$6:$B$155,G$4,'Scenario 3 Raw'!$C$6:$C$155,"&lt;&gt;",'Scenario 3 Raw'!$Q$6:$Q$155,"Yes",'Scenario 3 Raw'!$F$6:$F$155,C25))</f>
        <v>0</v>
      </c>
      <c r="H25" s="24">
        <f>IF(C25="",0,COUNTIFS('Scenario 3 Raw'!$B$6:$B$155,H$4,'Scenario 3 Raw'!$C$6:$C$155,"&lt;&gt;",'Scenario 3 Raw'!$Q$6:$Q$155,"Yes",'Scenario 3 Raw'!$F$6:$F$155,C25))</f>
        <v>0</v>
      </c>
      <c r="I25" s="24">
        <f>IF(C25="",0,COUNTIFS('Scenario 3 Raw'!$B$6:$B$155,I$4,'Scenario 3 Raw'!$C$6:$C$155,"&lt;&gt;",'Scenario 3 Raw'!$Q$6:$Q$155,"Yes",'Scenario 3 Raw'!$F$6:$F$155,C25))</f>
        <v>0</v>
      </c>
      <c r="J25" s="24">
        <f>IF(C25="",0,COUNTIFS('Scenario 3 Raw'!$B$6:$B$155,J$4,'Scenario 3 Raw'!$C$6:$C$155,"&lt;&gt;",'Scenario 3 Raw'!$Q$6:$Q$155,"Yes",'Scenario 3 Raw'!$F$6:$F$155,C25))</f>
        <v>0</v>
      </c>
      <c r="K25" s="24">
        <f>IF(C25="",0,COUNTIFS('Scenario 3 Raw'!$B$6:$B$155,K$4,'Scenario 3 Raw'!$C$6:$C$155,"&lt;&gt;",'Scenario 3 Raw'!$Q$6:$Q$155,"Yes",'Scenario 3 Raw'!$F$6:$F$155,C25))</f>
        <v>0</v>
      </c>
      <c r="L25" s="24">
        <f t="shared" si="0"/>
        <v>0</v>
      </c>
      <c r="M25" s="7"/>
    </row>
    <row r="26" spans="1:13" ht="32">
      <c r="A26" s="15" t="s">
        <v>63</v>
      </c>
      <c r="B26" s="6"/>
      <c r="C26" s="6"/>
      <c r="D26" s="6" t="s">
        <v>205</v>
      </c>
      <c r="E26" s="24">
        <f>IF(C26="",0,COUNTIFS('Scenario 3 Raw'!$B$6:$B$155,E$4,'Scenario 3 Raw'!$C$6:$C$155,"&lt;&gt;",'Scenario 3 Raw'!$Q$6:$Q$155,"Yes",'Scenario 3 Raw'!$F$6:$F$155,C26))</f>
        <v>0</v>
      </c>
      <c r="F26" s="24">
        <f>IF(C26="",0,COUNTIFS('Scenario 3 Raw'!$B$6:$B$155,F$4,'Scenario 3 Raw'!$C$6:$C$155,"&lt;&gt;",'Scenario 3 Raw'!$Q$6:$Q$155,"Yes",'Scenario 3 Raw'!$F$6:$F$155,C26))</f>
        <v>0</v>
      </c>
      <c r="G26" s="24">
        <f>IF(C26="",0,COUNTIFS('Scenario 3 Raw'!$B$6:$B$155,G$4,'Scenario 3 Raw'!$C$6:$C$155,"&lt;&gt;",'Scenario 3 Raw'!$Q$6:$Q$155,"Yes",'Scenario 3 Raw'!$F$6:$F$155,C26))</f>
        <v>0</v>
      </c>
      <c r="H26" s="24">
        <f>IF(C26="",0,COUNTIFS('Scenario 3 Raw'!$B$6:$B$155,H$4,'Scenario 3 Raw'!$C$6:$C$155,"&lt;&gt;",'Scenario 3 Raw'!$Q$6:$Q$155,"Yes",'Scenario 3 Raw'!$F$6:$F$155,C26))</f>
        <v>0</v>
      </c>
      <c r="I26" s="24">
        <f>IF(C26="",0,COUNTIFS('Scenario 3 Raw'!$B$6:$B$155,I$4,'Scenario 3 Raw'!$C$6:$C$155,"&lt;&gt;",'Scenario 3 Raw'!$Q$6:$Q$155,"Yes",'Scenario 3 Raw'!$F$6:$F$155,C26))</f>
        <v>0</v>
      </c>
      <c r="J26" s="24">
        <f>IF(C26="",0,COUNTIFS('Scenario 3 Raw'!$B$6:$B$155,J$4,'Scenario 3 Raw'!$C$6:$C$155,"&lt;&gt;",'Scenario 3 Raw'!$Q$6:$Q$155,"Yes",'Scenario 3 Raw'!$F$6:$F$155,C26))</f>
        <v>0</v>
      </c>
      <c r="K26" s="24">
        <f>IF(C26="",0,COUNTIFS('Scenario 3 Raw'!$B$6:$B$155,K$4,'Scenario 3 Raw'!$C$6:$C$155,"&lt;&gt;",'Scenario 3 Raw'!$Q$6:$Q$155,"Yes",'Scenario 3 Raw'!$F$6:$F$155,C26))</f>
        <v>0</v>
      </c>
      <c r="L26" s="24">
        <f t="shared" si="0"/>
        <v>0</v>
      </c>
      <c r="M26" s="7"/>
    </row>
    <row r="27" spans="1:13" ht="32">
      <c r="A27" s="15" t="s">
        <v>63</v>
      </c>
      <c r="B27" s="6"/>
      <c r="C27" s="6"/>
      <c r="D27" s="6" t="s">
        <v>205</v>
      </c>
      <c r="E27" s="24">
        <f>IF(C27="",0,COUNTIFS('Scenario 3 Raw'!$B$6:$B$155,E$4,'Scenario 3 Raw'!$C$6:$C$155,"&lt;&gt;",'Scenario 3 Raw'!$Q$6:$Q$155,"Yes",'Scenario 3 Raw'!$F$6:$F$155,C27))</f>
        <v>0</v>
      </c>
      <c r="F27" s="24">
        <f>IF(C27="",0,COUNTIFS('Scenario 3 Raw'!$B$6:$B$155,F$4,'Scenario 3 Raw'!$C$6:$C$155,"&lt;&gt;",'Scenario 3 Raw'!$Q$6:$Q$155,"Yes",'Scenario 3 Raw'!$F$6:$F$155,C27))</f>
        <v>0</v>
      </c>
      <c r="G27" s="24">
        <f>IF(C27="",0,COUNTIFS('Scenario 3 Raw'!$B$6:$B$155,G$4,'Scenario 3 Raw'!$C$6:$C$155,"&lt;&gt;",'Scenario 3 Raw'!$Q$6:$Q$155,"Yes",'Scenario 3 Raw'!$F$6:$F$155,C27))</f>
        <v>0</v>
      </c>
      <c r="H27" s="24">
        <f>IF(C27="",0,COUNTIFS('Scenario 3 Raw'!$B$6:$B$155,H$4,'Scenario 3 Raw'!$C$6:$C$155,"&lt;&gt;",'Scenario 3 Raw'!$Q$6:$Q$155,"Yes",'Scenario 3 Raw'!$F$6:$F$155,C27))</f>
        <v>0</v>
      </c>
      <c r="I27" s="24">
        <f>IF(C27="",0,COUNTIFS('Scenario 3 Raw'!$B$6:$B$155,I$4,'Scenario 3 Raw'!$C$6:$C$155,"&lt;&gt;",'Scenario 3 Raw'!$Q$6:$Q$155,"Yes",'Scenario 3 Raw'!$F$6:$F$155,C27))</f>
        <v>0</v>
      </c>
      <c r="J27" s="24">
        <f>IF(C27="",0,COUNTIFS('Scenario 3 Raw'!$B$6:$B$155,J$4,'Scenario 3 Raw'!$C$6:$C$155,"&lt;&gt;",'Scenario 3 Raw'!$Q$6:$Q$155,"Yes",'Scenario 3 Raw'!$F$6:$F$155,C27))</f>
        <v>0</v>
      </c>
      <c r="K27" s="24">
        <f>IF(C27="",0,COUNTIFS('Scenario 3 Raw'!$B$6:$B$155,K$4,'Scenario 3 Raw'!$C$6:$C$155,"&lt;&gt;",'Scenario 3 Raw'!$Q$6:$Q$155,"Yes",'Scenario 3 Raw'!$F$6:$F$155,C27))</f>
        <v>0</v>
      </c>
      <c r="L27" s="24">
        <f t="shared" si="0"/>
        <v>0</v>
      </c>
      <c r="M27" s="7"/>
    </row>
    <row r="28" spans="1:13" ht="32">
      <c r="A28" s="15" t="s">
        <v>63</v>
      </c>
      <c r="B28" s="6"/>
      <c r="C28" s="6"/>
      <c r="D28" s="6" t="s">
        <v>205</v>
      </c>
      <c r="E28" s="24">
        <f>IF(C28="",0,COUNTIFS('Scenario 3 Raw'!$B$6:$B$155,E$4,'Scenario 3 Raw'!$C$6:$C$155,"&lt;&gt;",'Scenario 3 Raw'!$Q$6:$Q$155,"Yes",'Scenario 3 Raw'!$F$6:$F$155,C28))</f>
        <v>0</v>
      </c>
      <c r="F28" s="24">
        <f>IF(C28="",0,COUNTIFS('Scenario 3 Raw'!$B$6:$B$155,F$4,'Scenario 3 Raw'!$C$6:$C$155,"&lt;&gt;",'Scenario 3 Raw'!$Q$6:$Q$155,"Yes",'Scenario 3 Raw'!$F$6:$F$155,C28))</f>
        <v>0</v>
      </c>
      <c r="G28" s="24">
        <f>IF(C28="",0,COUNTIFS('Scenario 3 Raw'!$B$6:$B$155,G$4,'Scenario 3 Raw'!$C$6:$C$155,"&lt;&gt;",'Scenario 3 Raw'!$Q$6:$Q$155,"Yes",'Scenario 3 Raw'!$F$6:$F$155,C28))</f>
        <v>0</v>
      </c>
      <c r="H28" s="24">
        <f>IF(C28="",0,COUNTIFS('Scenario 3 Raw'!$B$6:$B$155,H$4,'Scenario 3 Raw'!$C$6:$C$155,"&lt;&gt;",'Scenario 3 Raw'!$Q$6:$Q$155,"Yes",'Scenario 3 Raw'!$F$6:$F$155,C28))</f>
        <v>0</v>
      </c>
      <c r="I28" s="24">
        <f>IF(C28="",0,COUNTIFS('Scenario 3 Raw'!$B$6:$B$155,I$4,'Scenario 3 Raw'!$C$6:$C$155,"&lt;&gt;",'Scenario 3 Raw'!$Q$6:$Q$155,"Yes",'Scenario 3 Raw'!$F$6:$F$155,C28))</f>
        <v>0</v>
      </c>
      <c r="J28" s="24">
        <f>IF(C28="",0,COUNTIFS('Scenario 3 Raw'!$B$6:$B$155,J$4,'Scenario 3 Raw'!$C$6:$C$155,"&lt;&gt;",'Scenario 3 Raw'!$Q$6:$Q$155,"Yes",'Scenario 3 Raw'!$F$6:$F$155,C28))</f>
        <v>0</v>
      </c>
      <c r="K28" s="24">
        <f>IF(C28="",0,COUNTIFS('Scenario 3 Raw'!$B$6:$B$155,K$4,'Scenario 3 Raw'!$C$6:$C$155,"&lt;&gt;",'Scenario 3 Raw'!$Q$6:$Q$155,"Yes",'Scenario 3 Raw'!$F$6:$F$155,C28))</f>
        <v>0</v>
      </c>
      <c r="L28" s="24">
        <f t="shared" si="0"/>
        <v>0</v>
      </c>
      <c r="M28" s="7"/>
    </row>
    <row r="29" spans="1:13" ht="32">
      <c r="A29" s="15" t="s">
        <v>63</v>
      </c>
      <c r="B29" s="6"/>
      <c r="C29" s="6"/>
      <c r="D29" s="6" t="s">
        <v>205</v>
      </c>
      <c r="E29" s="24">
        <f>IF(C29="",0,COUNTIFS('Scenario 3 Raw'!$B$6:$B$155,E$4,'Scenario 3 Raw'!$C$6:$C$155,"&lt;&gt;",'Scenario 3 Raw'!$Q$6:$Q$155,"Yes",'Scenario 3 Raw'!$F$6:$F$155,C29))</f>
        <v>0</v>
      </c>
      <c r="F29" s="24">
        <f>IF(C29="",0,COUNTIFS('Scenario 3 Raw'!$B$6:$B$155,F$4,'Scenario 3 Raw'!$C$6:$C$155,"&lt;&gt;",'Scenario 3 Raw'!$Q$6:$Q$155,"Yes",'Scenario 3 Raw'!$F$6:$F$155,C29))</f>
        <v>0</v>
      </c>
      <c r="G29" s="24">
        <f>IF(C29="",0,COUNTIFS('Scenario 3 Raw'!$B$6:$B$155,G$4,'Scenario 3 Raw'!$C$6:$C$155,"&lt;&gt;",'Scenario 3 Raw'!$Q$6:$Q$155,"Yes",'Scenario 3 Raw'!$F$6:$F$155,C29))</f>
        <v>0</v>
      </c>
      <c r="H29" s="24">
        <f>IF(C29="",0,COUNTIFS('Scenario 3 Raw'!$B$6:$B$155,H$4,'Scenario 3 Raw'!$C$6:$C$155,"&lt;&gt;",'Scenario 3 Raw'!$Q$6:$Q$155,"Yes",'Scenario 3 Raw'!$F$6:$F$155,C29))</f>
        <v>0</v>
      </c>
      <c r="I29" s="24">
        <f>IF(C29="",0,COUNTIFS('Scenario 3 Raw'!$B$6:$B$155,I$4,'Scenario 3 Raw'!$C$6:$C$155,"&lt;&gt;",'Scenario 3 Raw'!$Q$6:$Q$155,"Yes",'Scenario 3 Raw'!$F$6:$F$155,C29))</f>
        <v>0</v>
      </c>
      <c r="J29" s="24">
        <f>IF(C29="",0,COUNTIFS('Scenario 3 Raw'!$B$6:$B$155,J$4,'Scenario 3 Raw'!$C$6:$C$155,"&lt;&gt;",'Scenario 3 Raw'!$Q$6:$Q$155,"Yes",'Scenario 3 Raw'!$F$6:$F$155,C29))</f>
        <v>0</v>
      </c>
      <c r="K29" s="24">
        <f>IF(C29="",0,COUNTIFS('Scenario 3 Raw'!$B$6:$B$155,K$4,'Scenario 3 Raw'!$C$6:$C$155,"&lt;&gt;",'Scenario 3 Raw'!$Q$6:$Q$155,"Yes",'Scenario 3 Raw'!$F$6:$F$155,C29))</f>
        <v>0</v>
      </c>
      <c r="L29" s="24">
        <f t="shared" si="0"/>
        <v>0</v>
      </c>
      <c r="M29" s="7"/>
    </row>
    <row r="30" spans="1:13" ht="32">
      <c r="A30" s="15" t="s">
        <v>63</v>
      </c>
      <c r="B30" s="6"/>
      <c r="C30" s="6"/>
      <c r="D30" s="6" t="s">
        <v>205</v>
      </c>
      <c r="E30" s="24">
        <f>IF(C30="",0,COUNTIFS('Scenario 3 Raw'!$B$6:$B$155,E$4,'Scenario 3 Raw'!$C$6:$C$155,"&lt;&gt;",'Scenario 3 Raw'!$Q$6:$Q$155,"Yes",'Scenario 3 Raw'!$F$6:$F$155,C30))</f>
        <v>0</v>
      </c>
      <c r="F30" s="24">
        <f>IF(C30="",0,COUNTIFS('Scenario 3 Raw'!$B$6:$B$155,F$4,'Scenario 3 Raw'!$C$6:$C$155,"&lt;&gt;",'Scenario 3 Raw'!$Q$6:$Q$155,"Yes",'Scenario 3 Raw'!$F$6:$F$155,C30))</f>
        <v>0</v>
      </c>
      <c r="G30" s="24">
        <f>IF(C30="",0,COUNTIFS('Scenario 3 Raw'!$B$6:$B$155,G$4,'Scenario 3 Raw'!$C$6:$C$155,"&lt;&gt;",'Scenario 3 Raw'!$Q$6:$Q$155,"Yes",'Scenario 3 Raw'!$F$6:$F$155,C30))</f>
        <v>0</v>
      </c>
      <c r="H30" s="24">
        <f>IF(C30="",0,COUNTIFS('Scenario 3 Raw'!$B$6:$B$155,H$4,'Scenario 3 Raw'!$C$6:$C$155,"&lt;&gt;",'Scenario 3 Raw'!$Q$6:$Q$155,"Yes",'Scenario 3 Raw'!$F$6:$F$155,C30))</f>
        <v>0</v>
      </c>
      <c r="I30" s="24">
        <f>IF(C30="",0,COUNTIFS('Scenario 3 Raw'!$B$6:$B$155,I$4,'Scenario 3 Raw'!$C$6:$C$155,"&lt;&gt;",'Scenario 3 Raw'!$Q$6:$Q$155,"Yes",'Scenario 3 Raw'!$F$6:$F$155,C30))</f>
        <v>0</v>
      </c>
      <c r="J30" s="24">
        <f>IF(C30="",0,COUNTIFS('Scenario 3 Raw'!$B$6:$B$155,J$4,'Scenario 3 Raw'!$C$6:$C$155,"&lt;&gt;",'Scenario 3 Raw'!$Q$6:$Q$155,"Yes",'Scenario 3 Raw'!$F$6:$F$155,C30))</f>
        <v>0</v>
      </c>
      <c r="K30" s="24">
        <f>IF(C30="",0,COUNTIFS('Scenario 3 Raw'!$B$6:$B$155,K$4,'Scenario 3 Raw'!$C$6:$C$155,"&lt;&gt;",'Scenario 3 Raw'!$Q$6:$Q$155,"Yes",'Scenario 3 Raw'!$F$6:$F$155,C30))</f>
        <v>0</v>
      </c>
      <c r="L30" s="24">
        <f t="shared" si="0"/>
        <v>0</v>
      </c>
      <c r="M30" s="7"/>
    </row>
    <row r="31" spans="1:13" ht="32">
      <c r="A31" s="15" t="s">
        <v>63</v>
      </c>
      <c r="B31" s="6"/>
      <c r="C31" s="6"/>
      <c r="D31" s="6" t="s">
        <v>205</v>
      </c>
      <c r="E31" s="24">
        <f>IF(C31="",0,COUNTIFS('Scenario 3 Raw'!$B$6:$B$155,E$4,'Scenario 3 Raw'!$C$6:$C$155,"&lt;&gt;",'Scenario 3 Raw'!$Q$6:$Q$155,"Yes",'Scenario 3 Raw'!$F$6:$F$155,C31))</f>
        <v>0</v>
      </c>
      <c r="F31" s="24">
        <f>IF(C31="",0,COUNTIFS('Scenario 3 Raw'!$B$6:$B$155,F$4,'Scenario 3 Raw'!$C$6:$C$155,"&lt;&gt;",'Scenario 3 Raw'!$Q$6:$Q$155,"Yes",'Scenario 3 Raw'!$F$6:$F$155,C31))</f>
        <v>0</v>
      </c>
      <c r="G31" s="24">
        <f>IF(C31="",0,COUNTIFS('Scenario 3 Raw'!$B$6:$B$155,G$4,'Scenario 3 Raw'!$C$6:$C$155,"&lt;&gt;",'Scenario 3 Raw'!$Q$6:$Q$155,"Yes",'Scenario 3 Raw'!$F$6:$F$155,C31))</f>
        <v>0</v>
      </c>
      <c r="H31" s="24">
        <f>IF(C31="",0,COUNTIFS('Scenario 3 Raw'!$B$6:$B$155,H$4,'Scenario 3 Raw'!$C$6:$C$155,"&lt;&gt;",'Scenario 3 Raw'!$Q$6:$Q$155,"Yes",'Scenario 3 Raw'!$F$6:$F$155,C31))</f>
        <v>0</v>
      </c>
      <c r="I31" s="24">
        <f>IF(C31="",0,COUNTIFS('Scenario 3 Raw'!$B$6:$B$155,I$4,'Scenario 3 Raw'!$C$6:$C$155,"&lt;&gt;",'Scenario 3 Raw'!$Q$6:$Q$155,"Yes",'Scenario 3 Raw'!$F$6:$F$155,C31))</f>
        <v>0</v>
      </c>
      <c r="J31" s="24">
        <f>IF(C31="",0,COUNTIFS('Scenario 3 Raw'!$B$6:$B$155,J$4,'Scenario 3 Raw'!$C$6:$C$155,"&lt;&gt;",'Scenario 3 Raw'!$Q$6:$Q$155,"Yes",'Scenario 3 Raw'!$F$6:$F$155,C31))</f>
        <v>0</v>
      </c>
      <c r="K31" s="24">
        <f>IF(C31="",0,COUNTIFS('Scenario 3 Raw'!$B$6:$B$155,K$4,'Scenario 3 Raw'!$C$6:$C$155,"&lt;&gt;",'Scenario 3 Raw'!$Q$6:$Q$155,"Yes",'Scenario 3 Raw'!$F$6:$F$155,C31))</f>
        <v>0</v>
      </c>
      <c r="L31" s="24">
        <f t="shared" si="0"/>
        <v>0</v>
      </c>
      <c r="M31" s="7"/>
    </row>
    <row r="32" spans="1:13" ht="32">
      <c r="A32" s="15" t="s">
        <v>63</v>
      </c>
      <c r="B32" s="6"/>
      <c r="C32" s="6"/>
      <c r="D32" s="6" t="s">
        <v>205</v>
      </c>
      <c r="E32" s="24">
        <f>IF(C32="",0,COUNTIFS('Scenario 3 Raw'!$B$6:$B$155,E$4,'Scenario 3 Raw'!$C$6:$C$155,"&lt;&gt;",'Scenario 3 Raw'!$Q$6:$Q$155,"Yes",'Scenario 3 Raw'!$F$6:$F$155,C32))</f>
        <v>0</v>
      </c>
      <c r="F32" s="24">
        <f>IF(C32="",0,COUNTIFS('Scenario 3 Raw'!$B$6:$B$155,F$4,'Scenario 3 Raw'!$C$6:$C$155,"&lt;&gt;",'Scenario 3 Raw'!$Q$6:$Q$155,"Yes",'Scenario 3 Raw'!$F$6:$F$155,C32))</f>
        <v>0</v>
      </c>
      <c r="G32" s="24">
        <f>IF(C32="",0,COUNTIFS('Scenario 3 Raw'!$B$6:$B$155,G$4,'Scenario 3 Raw'!$C$6:$C$155,"&lt;&gt;",'Scenario 3 Raw'!$Q$6:$Q$155,"Yes",'Scenario 3 Raw'!$F$6:$F$155,C32))</f>
        <v>0</v>
      </c>
      <c r="H32" s="24">
        <f>IF(C32="",0,COUNTIFS('Scenario 3 Raw'!$B$6:$B$155,H$4,'Scenario 3 Raw'!$C$6:$C$155,"&lt;&gt;",'Scenario 3 Raw'!$Q$6:$Q$155,"Yes",'Scenario 3 Raw'!$F$6:$F$155,C32))</f>
        <v>0</v>
      </c>
      <c r="I32" s="24">
        <f>IF(C32="",0,COUNTIFS('Scenario 3 Raw'!$B$6:$B$155,I$4,'Scenario 3 Raw'!$C$6:$C$155,"&lt;&gt;",'Scenario 3 Raw'!$Q$6:$Q$155,"Yes",'Scenario 3 Raw'!$F$6:$F$155,C32))</f>
        <v>0</v>
      </c>
      <c r="J32" s="24">
        <f>IF(C32="",0,COUNTIFS('Scenario 3 Raw'!$B$6:$B$155,J$4,'Scenario 3 Raw'!$C$6:$C$155,"&lt;&gt;",'Scenario 3 Raw'!$Q$6:$Q$155,"Yes",'Scenario 3 Raw'!$F$6:$F$155,C32))</f>
        <v>0</v>
      </c>
      <c r="K32" s="24">
        <f>IF(C32="",0,COUNTIFS('Scenario 3 Raw'!$B$6:$B$155,K$4,'Scenario 3 Raw'!$C$6:$C$155,"&lt;&gt;",'Scenario 3 Raw'!$Q$6:$Q$155,"Yes",'Scenario 3 Raw'!$F$6:$F$155,C32))</f>
        <v>0</v>
      </c>
      <c r="L32" s="24">
        <f t="shared" si="0"/>
        <v>0</v>
      </c>
      <c r="M32" s="7"/>
    </row>
    <row r="33" spans="1:13" ht="32">
      <c r="A33" s="15" t="s">
        <v>63</v>
      </c>
      <c r="B33" s="6"/>
      <c r="C33" s="6"/>
      <c r="D33" s="6" t="s">
        <v>205</v>
      </c>
      <c r="E33" s="24">
        <f>IF(C33="",0,COUNTIFS('Scenario 3 Raw'!$B$6:$B$155,E$4,'Scenario 3 Raw'!$C$6:$C$155,"&lt;&gt;",'Scenario 3 Raw'!$Q$6:$Q$155,"Yes",'Scenario 3 Raw'!$F$6:$F$155,C33))</f>
        <v>0</v>
      </c>
      <c r="F33" s="24">
        <f>IF(C33="",0,COUNTIFS('Scenario 3 Raw'!$B$6:$B$155,F$4,'Scenario 3 Raw'!$C$6:$C$155,"&lt;&gt;",'Scenario 3 Raw'!$Q$6:$Q$155,"Yes",'Scenario 3 Raw'!$F$6:$F$155,C33))</f>
        <v>0</v>
      </c>
      <c r="G33" s="24">
        <f>IF(C33="",0,COUNTIFS('Scenario 3 Raw'!$B$6:$B$155,G$4,'Scenario 3 Raw'!$C$6:$C$155,"&lt;&gt;",'Scenario 3 Raw'!$Q$6:$Q$155,"Yes",'Scenario 3 Raw'!$F$6:$F$155,C33))</f>
        <v>0</v>
      </c>
      <c r="H33" s="24">
        <f>IF(C33="",0,COUNTIFS('Scenario 3 Raw'!$B$6:$B$155,H$4,'Scenario 3 Raw'!$C$6:$C$155,"&lt;&gt;",'Scenario 3 Raw'!$Q$6:$Q$155,"Yes",'Scenario 3 Raw'!$F$6:$F$155,C33))</f>
        <v>0</v>
      </c>
      <c r="I33" s="24">
        <f>IF(C33="",0,COUNTIFS('Scenario 3 Raw'!$B$6:$B$155,I$4,'Scenario 3 Raw'!$C$6:$C$155,"&lt;&gt;",'Scenario 3 Raw'!$Q$6:$Q$155,"Yes",'Scenario 3 Raw'!$F$6:$F$155,C33))</f>
        <v>0</v>
      </c>
      <c r="J33" s="24">
        <f>IF(C33="",0,COUNTIFS('Scenario 3 Raw'!$B$6:$B$155,J$4,'Scenario 3 Raw'!$C$6:$C$155,"&lt;&gt;",'Scenario 3 Raw'!$Q$6:$Q$155,"Yes",'Scenario 3 Raw'!$F$6:$F$155,C33))</f>
        <v>0</v>
      </c>
      <c r="K33" s="24">
        <f>IF(C33="",0,COUNTIFS('Scenario 3 Raw'!$B$6:$B$155,K$4,'Scenario 3 Raw'!$C$6:$C$155,"&lt;&gt;",'Scenario 3 Raw'!$Q$6:$Q$155,"Yes",'Scenario 3 Raw'!$F$6:$F$155,C33))</f>
        <v>0</v>
      </c>
      <c r="L33" s="24">
        <f t="shared" si="0"/>
        <v>0</v>
      </c>
      <c r="M33" s="7"/>
    </row>
    <row r="34" spans="1:13" ht="32">
      <c r="A34" s="16" t="s">
        <v>63</v>
      </c>
      <c r="B34" s="8"/>
      <c r="C34" s="8"/>
      <c r="D34" s="8" t="s">
        <v>205</v>
      </c>
      <c r="E34" s="25">
        <f>IF(C34="",0,COUNTIFS('Scenario 3 Raw'!$B$6:$B$155,E$4,'Scenario 3 Raw'!$C$6:$C$155,"&lt;&gt;",'Scenario 3 Raw'!$Q$6:$Q$155,"Yes",'Scenario 3 Raw'!$F$6:$F$155,C34))</f>
        <v>0</v>
      </c>
      <c r="F34" s="25">
        <f>IF(C34="",0,COUNTIFS('Scenario 3 Raw'!$B$6:$B$155,F$4,'Scenario 3 Raw'!$C$6:$C$155,"&lt;&gt;",'Scenario 3 Raw'!$Q$6:$Q$155,"Yes",'Scenario 3 Raw'!$F$6:$F$155,C34))</f>
        <v>0</v>
      </c>
      <c r="G34" s="25">
        <f>IF(C34="",0,COUNTIFS('Scenario 3 Raw'!$B$6:$B$155,G$4,'Scenario 3 Raw'!$C$6:$C$155,"&lt;&gt;",'Scenario 3 Raw'!$Q$6:$Q$155,"Yes",'Scenario 3 Raw'!$F$6:$F$155,C34))</f>
        <v>0</v>
      </c>
      <c r="H34" s="25">
        <f>IF(C34="",0,COUNTIFS('Scenario 3 Raw'!$B$6:$B$155,H$4,'Scenario 3 Raw'!$C$6:$C$155,"&lt;&gt;",'Scenario 3 Raw'!$Q$6:$Q$155,"Yes",'Scenario 3 Raw'!$F$6:$F$155,C34))</f>
        <v>0</v>
      </c>
      <c r="I34" s="25">
        <f>IF(C34="",0,COUNTIFS('Scenario 3 Raw'!$B$6:$B$155,I$4,'Scenario 3 Raw'!$C$6:$C$155,"&lt;&gt;",'Scenario 3 Raw'!$Q$6:$Q$155,"Yes",'Scenario 3 Raw'!$F$6:$F$155,C34))</f>
        <v>0</v>
      </c>
      <c r="J34" s="25">
        <f>IF(C34="",0,COUNTIFS('Scenario 3 Raw'!$B$6:$B$155,J$4,'Scenario 3 Raw'!$C$6:$C$155,"&lt;&gt;",'Scenario 3 Raw'!$Q$6:$Q$155,"Yes",'Scenario 3 Raw'!$F$6:$F$155,C34))</f>
        <v>0</v>
      </c>
      <c r="K34" s="25">
        <f>IF(C34="",0,COUNTIFS('Scenario 3 Raw'!$B$6:$B$155,K$4,'Scenario 3 Raw'!$C$6:$C$155,"&lt;&gt;",'Scenario 3 Raw'!$Q$6:$Q$155,"Yes",'Scenario 3 Raw'!$F$6:$F$155,C34))</f>
        <v>0</v>
      </c>
      <c r="L34" s="25">
        <f t="shared" si="0"/>
        <v>0</v>
      </c>
      <c r="M34" s="9"/>
    </row>
  </sheetData>
  <mergeCells count="2">
    <mergeCell ref="A1:M1"/>
    <mergeCell ref="A2:M2"/>
  </mergeCells>
  <conditionalFormatting sqref="L5:L34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{3661673D-83EE-7C3E-31D9-7A675B22922E}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61673D-83EE-7C3E-31D9-7A675B22922E}">
            <x14:dataBar>
              <x14:cfvo type="min"/>
              <x14:cfvo type="max"/>
              <x14:negativeFillColor auto="1"/>
              <x14:axisColor auto="1"/>
            </x14:dataBar>
          </x14:cfRule>
          <xm:sqref>L5:L34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5"/>
  <sheetViews>
    <sheetView showGridLines="0" workbookViewId="0">
      <selection sqref="A1:I1"/>
    </sheetView>
  </sheetViews>
  <sheetFormatPr baseColWidth="10" defaultColWidth="8.83203125" defaultRowHeight="15"/>
  <cols>
    <col min="1" max="1" width="16" customWidth="1"/>
    <col min="2" max="2" width="21" customWidth="1"/>
    <col min="3" max="3" width="17" customWidth="1"/>
    <col min="4" max="4" width="23" customWidth="1"/>
    <col min="5" max="5" width="21" customWidth="1"/>
    <col min="6" max="6" width="27" customWidth="1"/>
    <col min="7" max="7" width="20" customWidth="1"/>
    <col min="8" max="8" width="42" customWidth="1"/>
    <col min="9" max="9" width="36" customWidth="1"/>
  </cols>
  <sheetData>
    <row r="1" spans="1:9" ht="28" customHeight="1">
      <c r="A1" s="44" t="s">
        <v>206</v>
      </c>
      <c r="B1" s="45"/>
      <c r="C1" s="45"/>
      <c r="D1" s="45"/>
      <c r="E1" s="45"/>
      <c r="F1" s="45"/>
      <c r="G1" s="45"/>
      <c r="H1" s="45"/>
      <c r="I1" s="45"/>
    </row>
    <row r="2" spans="1:9" ht="30" customHeight="1">
      <c r="A2" s="46" t="s">
        <v>207</v>
      </c>
      <c r="B2" s="45"/>
      <c r="C2" s="45"/>
      <c r="D2" s="45"/>
      <c r="E2" s="45"/>
      <c r="F2" s="45"/>
      <c r="G2" s="45"/>
      <c r="H2" s="45"/>
      <c r="I2" s="45"/>
    </row>
    <row r="3" spans="1:9">
      <c r="A3" s="31"/>
      <c r="B3" s="31"/>
      <c r="C3" s="31"/>
      <c r="D3" s="31"/>
      <c r="E3" s="31"/>
      <c r="F3" s="31"/>
      <c r="G3" s="31"/>
      <c r="H3" s="31"/>
      <c r="I3" s="31"/>
    </row>
    <row r="4" spans="1:9">
      <c r="A4" s="48" t="s">
        <v>208</v>
      </c>
      <c r="B4" s="48"/>
      <c r="C4" s="48"/>
      <c r="D4" s="48"/>
      <c r="E4" s="48"/>
      <c r="F4" s="48"/>
      <c r="G4" s="48"/>
      <c r="H4" s="48"/>
      <c r="I4" s="48"/>
    </row>
    <row r="5" spans="1:9" ht="32" customHeight="1">
      <c r="A5" s="32" t="s">
        <v>39</v>
      </c>
      <c r="B5" s="32" t="s">
        <v>40</v>
      </c>
      <c r="C5" s="32" t="s">
        <v>209</v>
      </c>
      <c r="D5" s="32" t="s">
        <v>210</v>
      </c>
      <c r="E5" s="32" t="s">
        <v>211</v>
      </c>
      <c r="F5" s="31"/>
      <c r="G5" s="31"/>
      <c r="H5" s="31"/>
      <c r="I5" s="31"/>
    </row>
    <row r="6" spans="1:9" ht="32" customHeight="1">
      <c r="A6" s="14" t="s">
        <v>48</v>
      </c>
      <c r="B6" s="4" t="s">
        <v>49</v>
      </c>
      <c r="C6" s="29">
        <f>SUMIFS('All Approaches'!$F$5:$F$25,'All Approaches'!$B$5:$B$25,A6)</f>
        <v>0</v>
      </c>
      <c r="D6" s="29">
        <f t="shared" ref="D6:D12" si="0">C6/3</f>
        <v>0</v>
      </c>
      <c r="E6" s="4"/>
      <c r="F6" s="31"/>
      <c r="G6" s="31"/>
      <c r="H6" s="31"/>
      <c r="I6" s="31"/>
    </row>
    <row r="7" spans="1:9" ht="32" customHeight="1">
      <c r="A7" s="15" t="s">
        <v>51</v>
      </c>
      <c r="B7" s="6" t="s">
        <v>49</v>
      </c>
      <c r="C7" s="30">
        <f>SUMIFS('All Approaches'!$F$5:$F$25,'All Approaches'!$B$5:$B$25,A7)</f>
        <v>0</v>
      </c>
      <c r="D7" s="30">
        <f t="shared" si="0"/>
        <v>0</v>
      </c>
      <c r="E7" s="6"/>
      <c r="F7" s="31"/>
      <c r="G7" s="31"/>
      <c r="H7" s="31"/>
      <c r="I7" s="31"/>
    </row>
    <row r="8" spans="1:9" ht="32" customHeight="1">
      <c r="A8" s="15" t="s">
        <v>53</v>
      </c>
      <c r="B8" s="6" t="s">
        <v>54</v>
      </c>
      <c r="C8" s="30">
        <f>SUMIFS('All Approaches'!$F$5:$F$25,'All Approaches'!$B$5:$B$25,A8)</f>
        <v>0</v>
      </c>
      <c r="D8" s="30">
        <f t="shared" si="0"/>
        <v>0</v>
      </c>
      <c r="E8" s="6"/>
      <c r="F8" s="31"/>
      <c r="G8" s="31"/>
      <c r="H8" s="31"/>
      <c r="I8" s="31"/>
    </row>
    <row r="9" spans="1:9" ht="32" customHeight="1">
      <c r="A9" s="15" t="s">
        <v>55</v>
      </c>
      <c r="B9" s="6" t="s">
        <v>54</v>
      </c>
      <c r="C9" s="30">
        <f>SUMIFS('All Approaches'!$F$5:$F$25,'All Approaches'!$B$5:$B$25,A9)</f>
        <v>0</v>
      </c>
      <c r="D9" s="30">
        <f t="shared" si="0"/>
        <v>0</v>
      </c>
      <c r="E9" s="6"/>
      <c r="F9" s="31"/>
      <c r="G9" s="31"/>
      <c r="H9" s="31"/>
      <c r="I9" s="31"/>
    </row>
    <row r="10" spans="1:9" ht="32" customHeight="1">
      <c r="A10" s="15" t="s">
        <v>56</v>
      </c>
      <c r="B10" s="6" t="s">
        <v>57</v>
      </c>
      <c r="C10" s="30">
        <f>SUMIFS('All Approaches'!$F$5:$F$25,'All Approaches'!$B$5:$B$25,A10)</f>
        <v>0</v>
      </c>
      <c r="D10" s="30">
        <f t="shared" si="0"/>
        <v>0</v>
      </c>
      <c r="E10" s="6"/>
      <c r="F10" s="31"/>
      <c r="G10" s="31"/>
      <c r="H10" s="31"/>
      <c r="I10" s="31"/>
    </row>
    <row r="11" spans="1:9" ht="32" customHeight="1">
      <c r="A11" s="15" t="s">
        <v>59</v>
      </c>
      <c r="B11" s="6" t="s">
        <v>60</v>
      </c>
      <c r="C11" s="30">
        <f>SUMIFS('All Approaches'!$F$5:$F$25,'All Approaches'!$B$5:$B$25,A11)</f>
        <v>0</v>
      </c>
      <c r="D11" s="30">
        <f t="shared" si="0"/>
        <v>0</v>
      </c>
      <c r="E11" s="6"/>
      <c r="F11" s="31"/>
      <c r="G11" s="31"/>
      <c r="H11" s="31"/>
      <c r="I11" s="31"/>
    </row>
    <row r="12" spans="1:9" ht="32" customHeight="1">
      <c r="A12" s="15" t="s">
        <v>61</v>
      </c>
      <c r="B12" s="6" t="s">
        <v>60</v>
      </c>
      <c r="C12" s="30">
        <f>SUMIFS('All Approaches'!$F$5:$F$25,'All Approaches'!$B$5:$B$25,A12)</f>
        <v>0</v>
      </c>
      <c r="D12" s="30">
        <f t="shared" si="0"/>
        <v>0</v>
      </c>
      <c r="E12" s="6"/>
      <c r="F12" s="31"/>
      <c r="G12" s="31"/>
      <c r="H12" s="31"/>
      <c r="I12" s="31"/>
    </row>
    <row r="13" spans="1:9">
      <c r="A13" s="31"/>
      <c r="B13" s="31"/>
      <c r="C13" s="31"/>
      <c r="D13" s="31"/>
      <c r="E13" s="31"/>
      <c r="F13" s="31"/>
      <c r="G13" s="31"/>
      <c r="H13" s="31"/>
      <c r="I13" s="31"/>
    </row>
    <row r="14" spans="1:9">
      <c r="A14" s="31"/>
      <c r="B14" s="31"/>
      <c r="C14" s="31"/>
      <c r="D14" s="31"/>
      <c r="E14" s="31"/>
      <c r="F14" s="31"/>
      <c r="G14" s="31"/>
      <c r="H14" s="31"/>
      <c r="I14" s="31"/>
    </row>
    <row r="15" spans="1:9">
      <c r="A15" s="48" t="s">
        <v>212</v>
      </c>
      <c r="B15" s="48"/>
      <c r="C15" s="48"/>
      <c r="D15" s="48"/>
      <c r="E15" s="48"/>
      <c r="F15" s="48"/>
      <c r="G15" s="48"/>
      <c r="H15" s="48"/>
      <c r="I15" s="48"/>
    </row>
    <row r="16" spans="1:9" ht="32" customHeight="1">
      <c r="A16" s="32" t="s">
        <v>38</v>
      </c>
      <c r="B16" s="32" t="s">
        <v>39</v>
      </c>
      <c r="C16" s="32" t="s">
        <v>176</v>
      </c>
      <c r="D16" s="32" t="s">
        <v>213</v>
      </c>
      <c r="E16" s="32" t="s">
        <v>214</v>
      </c>
      <c r="F16" s="32" t="s">
        <v>215</v>
      </c>
      <c r="G16" s="32" t="s">
        <v>169</v>
      </c>
      <c r="H16" s="32" t="s">
        <v>216</v>
      </c>
      <c r="I16" s="32" t="s">
        <v>217</v>
      </c>
    </row>
    <row r="17" spans="1:9" ht="24" customHeight="1">
      <c r="A17" s="14" t="s">
        <v>47</v>
      </c>
      <c r="B17" s="4" t="s">
        <v>48</v>
      </c>
      <c r="C17" s="23">
        <f>SUMIFS('All Approaches'!$F$5:$F$25,'All Approaches'!$A$5:$A$25,$A17,'All Approaches'!$B$5:$B$25,$B17)</f>
        <v>0</v>
      </c>
      <c r="D17" s="23">
        <f>COUNTIFS('STRIDE Summary'!$A$5:$A$130,$A17,'STRIDE Summary'!$B$5:$B$130,$B17,'STRIDE Summary'!$D$5:$D$130,"&gt;0")</f>
        <v>0</v>
      </c>
      <c r="E17" s="23">
        <f>COUNTIFS('LLM Coverage'!$A$5:$A$151,$A17,'LLM Coverage'!$B$5:$B$151,$B17,'LLM Coverage'!$D$5:$D$151,"&gt;0")</f>
        <v>0</v>
      </c>
      <c r="F17" s="23">
        <f>SUMPRODUCT(--('Architecture Coverage'!$A$5:$A$34=$A17),--(INDEX('Architecture Coverage'!$E$5:$K$34,0,MATCH($B17,'Architecture Coverage'!$E$4:$K$4,0))&gt;0))</f>
        <v>0</v>
      </c>
      <c r="G17" s="23">
        <f>SUMIFS('All Approaches'!$I$5:$I$25,'All Approaches'!$A$5:$A$25,$A17,'All Approaches'!$B$5:$B$25,$B17)</f>
        <v>0</v>
      </c>
      <c r="H17" s="4"/>
      <c r="I17" s="5"/>
    </row>
    <row r="18" spans="1:9" ht="24" customHeight="1">
      <c r="A18" s="15" t="s">
        <v>47</v>
      </c>
      <c r="B18" s="6" t="s">
        <v>51</v>
      </c>
      <c r="C18" s="24">
        <f>SUMIFS('All Approaches'!$F$5:$F$25,'All Approaches'!$A$5:$A$25,$A18,'All Approaches'!$B$5:$B$25,$B18)</f>
        <v>0</v>
      </c>
      <c r="D18" s="24">
        <f>COUNTIFS('STRIDE Summary'!$A$5:$A$130,$A18,'STRIDE Summary'!$B$5:$B$130,$B18,'STRIDE Summary'!$D$5:$D$130,"&gt;0")</f>
        <v>0</v>
      </c>
      <c r="E18" s="24">
        <f>COUNTIFS('LLM Coverage'!$A$5:$A$151,$A18,'LLM Coverage'!$B$5:$B$151,$B18,'LLM Coverage'!$D$5:$D$151,"&gt;0")</f>
        <v>0</v>
      </c>
      <c r="F18" s="24">
        <f>SUMPRODUCT(--('Architecture Coverage'!$A$5:$A$34=$A18),--(INDEX('Architecture Coverage'!$E$5:$K$34,0,MATCH($B18,'Architecture Coverage'!$E$4:$K$4,0))&gt;0))</f>
        <v>0</v>
      </c>
      <c r="G18" s="24">
        <f>SUMIFS('All Approaches'!$I$5:$I$25,'All Approaches'!$A$5:$A$25,$A18,'All Approaches'!$B$5:$B$25,$B18)</f>
        <v>0</v>
      </c>
      <c r="H18" s="6"/>
      <c r="I18" s="7"/>
    </row>
    <row r="19" spans="1:9" ht="24" customHeight="1">
      <c r="A19" s="15" t="s">
        <v>47</v>
      </c>
      <c r="B19" s="6" t="s">
        <v>53</v>
      </c>
      <c r="C19" s="24">
        <f>SUMIFS('All Approaches'!$F$5:$F$25,'All Approaches'!$A$5:$A$25,$A19,'All Approaches'!$B$5:$B$25,$B19)</f>
        <v>0</v>
      </c>
      <c r="D19" s="24">
        <f>COUNTIFS('STRIDE Summary'!$A$5:$A$130,$A19,'STRIDE Summary'!$B$5:$B$130,$B19,'STRIDE Summary'!$D$5:$D$130,"&gt;0")</f>
        <v>0</v>
      </c>
      <c r="E19" s="24">
        <f>COUNTIFS('LLM Coverage'!$A$5:$A$151,$A19,'LLM Coverage'!$B$5:$B$151,$B19,'LLM Coverage'!$D$5:$D$151,"&gt;0")</f>
        <v>0</v>
      </c>
      <c r="F19" s="24">
        <f>SUMPRODUCT(--('Architecture Coverage'!$A$5:$A$34=$A19),--(INDEX('Architecture Coverage'!$E$5:$K$34,0,MATCH($B19,'Architecture Coverage'!$E$4:$K$4,0))&gt;0))</f>
        <v>0</v>
      </c>
      <c r="G19" s="24">
        <f>SUMIFS('All Approaches'!$I$5:$I$25,'All Approaches'!$A$5:$A$25,$A19,'All Approaches'!$B$5:$B$25,$B19)</f>
        <v>0</v>
      </c>
      <c r="H19" s="6"/>
      <c r="I19" s="7"/>
    </row>
    <row r="20" spans="1:9" ht="24" customHeight="1">
      <c r="A20" s="15" t="s">
        <v>47</v>
      </c>
      <c r="B20" s="6" t="s">
        <v>55</v>
      </c>
      <c r="C20" s="24">
        <f>SUMIFS('All Approaches'!$F$5:$F$25,'All Approaches'!$A$5:$A$25,$A20,'All Approaches'!$B$5:$B$25,$B20)</f>
        <v>0</v>
      </c>
      <c r="D20" s="24">
        <f>COUNTIFS('STRIDE Summary'!$A$5:$A$130,$A20,'STRIDE Summary'!$B$5:$B$130,$B20,'STRIDE Summary'!$D$5:$D$130,"&gt;0")</f>
        <v>0</v>
      </c>
      <c r="E20" s="24">
        <f>COUNTIFS('LLM Coverage'!$A$5:$A$151,$A20,'LLM Coverage'!$B$5:$B$151,$B20,'LLM Coverage'!$D$5:$D$151,"&gt;0")</f>
        <v>0</v>
      </c>
      <c r="F20" s="24">
        <f>SUMPRODUCT(--('Architecture Coverage'!$A$5:$A$34=$A20),--(INDEX('Architecture Coverage'!$E$5:$K$34,0,MATCH($B20,'Architecture Coverage'!$E$4:$K$4,0))&gt;0))</f>
        <v>0</v>
      </c>
      <c r="G20" s="24">
        <f>SUMIFS('All Approaches'!$I$5:$I$25,'All Approaches'!$A$5:$A$25,$A20,'All Approaches'!$B$5:$B$25,$B20)</f>
        <v>0</v>
      </c>
      <c r="H20" s="6"/>
      <c r="I20" s="7"/>
    </row>
    <row r="21" spans="1:9" ht="24" customHeight="1">
      <c r="A21" s="15" t="s">
        <v>47</v>
      </c>
      <c r="B21" s="6" t="s">
        <v>56</v>
      </c>
      <c r="C21" s="24">
        <f>SUMIFS('All Approaches'!$F$5:$F$25,'All Approaches'!$A$5:$A$25,$A21,'All Approaches'!$B$5:$B$25,$B21)</f>
        <v>0</v>
      </c>
      <c r="D21" s="24">
        <f>COUNTIFS('STRIDE Summary'!$A$5:$A$130,$A21,'STRIDE Summary'!$B$5:$B$130,$B21,'STRIDE Summary'!$D$5:$D$130,"&gt;0")</f>
        <v>0</v>
      </c>
      <c r="E21" s="24">
        <f>COUNTIFS('LLM Coverage'!$A$5:$A$151,$A21,'LLM Coverage'!$B$5:$B$151,$B21,'LLM Coverage'!$D$5:$D$151,"&gt;0")</f>
        <v>0</v>
      </c>
      <c r="F21" s="24">
        <f>SUMPRODUCT(--('Architecture Coverage'!$A$5:$A$34=$A21),--(INDEX('Architecture Coverage'!$E$5:$K$34,0,MATCH($B21,'Architecture Coverage'!$E$4:$K$4,0))&gt;0))</f>
        <v>0</v>
      </c>
      <c r="G21" s="24">
        <f>SUMIFS('All Approaches'!$I$5:$I$25,'All Approaches'!$A$5:$A$25,$A21,'All Approaches'!$B$5:$B$25,$B21)</f>
        <v>0</v>
      </c>
      <c r="H21" s="6"/>
      <c r="I21" s="7"/>
    </row>
    <row r="22" spans="1:9" ht="24" customHeight="1">
      <c r="A22" s="15" t="s">
        <v>47</v>
      </c>
      <c r="B22" s="6" t="s">
        <v>59</v>
      </c>
      <c r="C22" s="24">
        <f>SUMIFS('All Approaches'!$F$5:$F$25,'All Approaches'!$A$5:$A$25,$A22,'All Approaches'!$B$5:$B$25,$B22)</f>
        <v>0</v>
      </c>
      <c r="D22" s="24">
        <f>COUNTIFS('STRIDE Summary'!$A$5:$A$130,$A22,'STRIDE Summary'!$B$5:$B$130,$B22,'STRIDE Summary'!$D$5:$D$130,"&gt;0")</f>
        <v>0</v>
      </c>
      <c r="E22" s="24">
        <f>COUNTIFS('LLM Coverage'!$A$5:$A$151,$A22,'LLM Coverage'!$B$5:$B$151,$B22,'LLM Coverage'!$D$5:$D$151,"&gt;0")</f>
        <v>0</v>
      </c>
      <c r="F22" s="24">
        <f>SUMPRODUCT(--('Architecture Coverage'!$A$5:$A$34=$A22),--(INDEX('Architecture Coverage'!$E$5:$K$34,0,MATCH($B22,'Architecture Coverage'!$E$4:$K$4,0))&gt;0))</f>
        <v>0</v>
      </c>
      <c r="G22" s="24">
        <f>SUMIFS('All Approaches'!$I$5:$I$25,'All Approaches'!$A$5:$A$25,$A22,'All Approaches'!$B$5:$B$25,$B22)</f>
        <v>0</v>
      </c>
      <c r="H22" s="6"/>
      <c r="I22" s="7"/>
    </row>
    <row r="23" spans="1:9" ht="24" customHeight="1">
      <c r="A23" s="15" t="s">
        <v>47</v>
      </c>
      <c r="B23" s="6" t="s">
        <v>61</v>
      </c>
      <c r="C23" s="24">
        <f>SUMIFS('All Approaches'!$F$5:$F$25,'All Approaches'!$A$5:$A$25,$A23,'All Approaches'!$B$5:$B$25,$B23)</f>
        <v>0</v>
      </c>
      <c r="D23" s="24">
        <f>COUNTIFS('STRIDE Summary'!$A$5:$A$130,$A23,'STRIDE Summary'!$B$5:$B$130,$B23,'STRIDE Summary'!$D$5:$D$130,"&gt;0")</f>
        <v>0</v>
      </c>
      <c r="E23" s="24">
        <f>COUNTIFS('LLM Coverage'!$A$5:$A$151,$A23,'LLM Coverage'!$B$5:$B$151,$B23,'LLM Coverage'!$D$5:$D$151,"&gt;0")</f>
        <v>0</v>
      </c>
      <c r="F23" s="24">
        <f>SUMPRODUCT(--('Architecture Coverage'!$A$5:$A$34=$A23),--(INDEX('Architecture Coverage'!$E$5:$K$34,0,MATCH($B23,'Architecture Coverage'!$E$4:$K$4,0))&gt;0))</f>
        <v>0</v>
      </c>
      <c r="G23" s="24">
        <f>SUMIFS('All Approaches'!$I$5:$I$25,'All Approaches'!$A$5:$A$25,$A23,'All Approaches'!$B$5:$B$25,$B23)</f>
        <v>0</v>
      </c>
      <c r="H23" s="6"/>
      <c r="I23" s="7"/>
    </row>
    <row r="24" spans="1:9" ht="24" customHeight="1">
      <c r="A24" s="15" t="s">
        <v>62</v>
      </c>
      <c r="B24" s="6" t="s">
        <v>48</v>
      </c>
      <c r="C24" s="24">
        <f>SUMIFS('All Approaches'!$F$5:$F$25,'All Approaches'!$A$5:$A$25,$A24,'All Approaches'!$B$5:$B$25,$B24)</f>
        <v>0</v>
      </c>
      <c r="D24" s="24">
        <f>COUNTIFS('STRIDE Summary'!$A$5:$A$130,$A24,'STRIDE Summary'!$B$5:$B$130,$B24,'STRIDE Summary'!$D$5:$D$130,"&gt;0")</f>
        <v>0</v>
      </c>
      <c r="E24" s="24">
        <f>COUNTIFS('LLM Coverage'!$A$5:$A$151,$A24,'LLM Coverage'!$B$5:$B$151,$B24,'LLM Coverage'!$D$5:$D$151,"&gt;0")</f>
        <v>0</v>
      </c>
      <c r="F24" s="24">
        <f>SUMPRODUCT(--('Architecture Coverage'!$A$5:$A$34=$A24),--(INDEX('Architecture Coverage'!$E$5:$K$34,0,MATCH($B24,'Architecture Coverage'!$E$4:$K$4,0))&gt;0))</f>
        <v>0</v>
      </c>
      <c r="G24" s="24">
        <f>SUMIFS('All Approaches'!$I$5:$I$25,'All Approaches'!$A$5:$A$25,$A24,'All Approaches'!$B$5:$B$25,$B24)</f>
        <v>0</v>
      </c>
      <c r="H24" s="6"/>
      <c r="I24" s="7"/>
    </row>
    <row r="25" spans="1:9" ht="24" customHeight="1">
      <c r="A25" s="15" t="s">
        <v>62</v>
      </c>
      <c r="B25" s="6" t="s">
        <v>51</v>
      </c>
      <c r="C25" s="24">
        <f>SUMIFS('All Approaches'!$F$5:$F$25,'All Approaches'!$A$5:$A$25,$A25,'All Approaches'!$B$5:$B$25,$B25)</f>
        <v>0</v>
      </c>
      <c r="D25" s="24">
        <f>COUNTIFS('STRIDE Summary'!$A$5:$A$130,$A25,'STRIDE Summary'!$B$5:$B$130,$B25,'STRIDE Summary'!$D$5:$D$130,"&gt;0")</f>
        <v>0</v>
      </c>
      <c r="E25" s="24">
        <f>COUNTIFS('LLM Coverage'!$A$5:$A$151,$A25,'LLM Coverage'!$B$5:$B$151,$B25,'LLM Coverage'!$D$5:$D$151,"&gt;0")</f>
        <v>0</v>
      </c>
      <c r="F25" s="24">
        <f>SUMPRODUCT(--('Architecture Coverage'!$A$5:$A$34=$A25),--(INDEX('Architecture Coverage'!$E$5:$K$34,0,MATCH($B25,'Architecture Coverage'!$E$4:$K$4,0))&gt;0))</f>
        <v>0</v>
      </c>
      <c r="G25" s="24">
        <f>SUMIFS('All Approaches'!$I$5:$I$25,'All Approaches'!$A$5:$A$25,$A25,'All Approaches'!$B$5:$B$25,$B25)</f>
        <v>0</v>
      </c>
      <c r="H25" s="6"/>
      <c r="I25" s="7"/>
    </row>
    <row r="26" spans="1:9" ht="24" customHeight="1">
      <c r="A26" s="15" t="s">
        <v>62</v>
      </c>
      <c r="B26" s="6" t="s">
        <v>53</v>
      </c>
      <c r="C26" s="24">
        <f>SUMIFS('All Approaches'!$F$5:$F$25,'All Approaches'!$A$5:$A$25,$A26,'All Approaches'!$B$5:$B$25,$B26)</f>
        <v>0</v>
      </c>
      <c r="D26" s="24">
        <f>COUNTIFS('STRIDE Summary'!$A$5:$A$130,$A26,'STRIDE Summary'!$B$5:$B$130,$B26,'STRIDE Summary'!$D$5:$D$130,"&gt;0")</f>
        <v>0</v>
      </c>
      <c r="E26" s="24">
        <f>COUNTIFS('LLM Coverage'!$A$5:$A$151,$A26,'LLM Coverage'!$B$5:$B$151,$B26,'LLM Coverage'!$D$5:$D$151,"&gt;0")</f>
        <v>0</v>
      </c>
      <c r="F26" s="24">
        <f>SUMPRODUCT(--('Architecture Coverage'!$A$5:$A$34=$A26),--(INDEX('Architecture Coverage'!$E$5:$K$34,0,MATCH($B26,'Architecture Coverage'!$E$4:$K$4,0))&gt;0))</f>
        <v>0</v>
      </c>
      <c r="G26" s="24">
        <f>SUMIFS('All Approaches'!$I$5:$I$25,'All Approaches'!$A$5:$A$25,$A26,'All Approaches'!$B$5:$B$25,$B26)</f>
        <v>0</v>
      </c>
      <c r="H26" s="6"/>
      <c r="I26" s="7"/>
    </row>
    <row r="27" spans="1:9" ht="24" customHeight="1">
      <c r="A27" s="15" t="s">
        <v>62</v>
      </c>
      <c r="B27" s="6" t="s">
        <v>55</v>
      </c>
      <c r="C27" s="24">
        <f>SUMIFS('All Approaches'!$F$5:$F$25,'All Approaches'!$A$5:$A$25,$A27,'All Approaches'!$B$5:$B$25,$B27)</f>
        <v>0</v>
      </c>
      <c r="D27" s="24">
        <f>COUNTIFS('STRIDE Summary'!$A$5:$A$130,$A27,'STRIDE Summary'!$B$5:$B$130,$B27,'STRIDE Summary'!$D$5:$D$130,"&gt;0")</f>
        <v>0</v>
      </c>
      <c r="E27" s="24">
        <f>COUNTIFS('LLM Coverage'!$A$5:$A$151,$A27,'LLM Coverage'!$B$5:$B$151,$B27,'LLM Coverage'!$D$5:$D$151,"&gt;0")</f>
        <v>0</v>
      </c>
      <c r="F27" s="24">
        <f>SUMPRODUCT(--('Architecture Coverage'!$A$5:$A$34=$A27),--(INDEX('Architecture Coverage'!$E$5:$K$34,0,MATCH($B27,'Architecture Coverage'!$E$4:$K$4,0))&gt;0))</f>
        <v>0</v>
      </c>
      <c r="G27" s="24">
        <f>SUMIFS('All Approaches'!$I$5:$I$25,'All Approaches'!$A$5:$A$25,$A27,'All Approaches'!$B$5:$B$25,$B27)</f>
        <v>0</v>
      </c>
      <c r="H27" s="6"/>
      <c r="I27" s="7"/>
    </row>
    <row r="28" spans="1:9" ht="24" customHeight="1">
      <c r="A28" s="15" t="s">
        <v>62</v>
      </c>
      <c r="B28" s="6" t="s">
        <v>56</v>
      </c>
      <c r="C28" s="24">
        <f>SUMIFS('All Approaches'!$F$5:$F$25,'All Approaches'!$A$5:$A$25,$A28,'All Approaches'!$B$5:$B$25,$B28)</f>
        <v>0</v>
      </c>
      <c r="D28" s="24">
        <f>COUNTIFS('STRIDE Summary'!$A$5:$A$130,$A28,'STRIDE Summary'!$B$5:$B$130,$B28,'STRIDE Summary'!$D$5:$D$130,"&gt;0")</f>
        <v>0</v>
      </c>
      <c r="E28" s="24">
        <f>COUNTIFS('LLM Coverage'!$A$5:$A$151,$A28,'LLM Coverage'!$B$5:$B$151,$B28,'LLM Coverage'!$D$5:$D$151,"&gt;0")</f>
        <v>0</v>
      </c>
      <c r="F28" s="24">
        <f>SUMPRODUCT(--('Architecture Coverage'!$A$5:$A$34=$A28),--(INDEX('Architecture Coverage'!$E$5:$K$34,0,MATCH($B28,'Architecture Coverage'!$E$4:$K$4,0))&gt;0))</f>
        <v>0</v>
      </c>
      <c r="G28" s="24">
        <f>SUMIFS('All Approaches'!$I$5:$I$25,'All Approaches'!$A$5:$A$25,$A28,'All Approaches'!$B$5:$B$25,$B28)</f>
        <v>0</v>
      </c>
      <c r="H28" s="6"/>
      <c r="I28" s="7"/>
    </row>
    <row r="29" spans="1:9" ht="24" customHeight="1">
      <c r="A29" s="15" t="s">
        <v>62</v>
      </c>
      <c r="B29" s="6" t="s">
        <v>59</v>
      </c>
      <c r="C29" s="24">
        <f>SUMIFS('All Approaches'!$F$5:$F$25,'All Approaches'!$A$5:$A$25,$A29,'All Approaches'!$B$5:$B$25,$B29)</f>
        <v>0</v>
      </c>
      <c r="D29" s="24">
        <f>COUNTIFS('STRIDE Summary'!$A$5:$A$130,$A29,'STRIDE Summary'!$B$5:$B$130,$B29,'STRIDE Summary'!$D$5:$D$130,"&gt;0")</f>
        <v>0</v>
      </c>
      <c r="E29" s="24">
        <f>COUNTIFS('LLM Coverage'!$A$5:$A$151,$A29,'LLM Coverage'!$B$5:$B$151,$B29,'LLM Coverage'!$D$5:$D$151,"&gt;0")</f>
        <v>0</v>
      </c>
      <c r="F29" s="24">
        <f>SUMPRODUCT(--('Architecture Coverage'!$A$5:$A$34=$A29),--(INDEX('Architecture Coverage'!$E$5:$K$34,0,MATCH($B29,'Architecture Coverage'!$E$4:$K$4,0))&gt;0))</f>
        <v>0</v>
      </c>
      <c r="G29" s="24">
        <f>SUMIFS('All Approaches'!$I$5:$I$25,'All Approaches'!$A$5:$A$25,$A29,'All Approaches'!$B$5:$B$25,$B29)</f>
        <v>0</v>
      </c>
      <c r="H29" s="6"/>
      <c r="I29" s="7"/>
    </row>
    <row r="30" spans="1:9" ht="24" customHeight="1">
      <c r="A30" s="15" t="s">
        <v>62</v>
      </c>
      <c r="B30" s="6" t="s">
        <v>61</v>
      </c>
      <c r="C30" s="24">
        <f>SUMIFS('All Approaches'!$F$5:$F$25,'All Approaches'!$A$5:$A$25,$A30,'All Approaches'!$B$5:$B$25,$B30)</f>
        <v>0</v>
      </c>
      <c r="D30" s="24">
        <f>COUNTIFS('STRIDE Summary'!$A$5:$A$130,$A30,'STRIDE Summary'!$B$5:$B$130,$B30,'STRIDE Summary'!$D$5:$D$130,"&gt;0")</f>
        <v>0</v>
      </c>
      <c r="E30" s="24">
        <f>COUNTIFS('LLM Coverage'!$A$5:$A$151,$A30,'LLM Coverage'!$B$5:$B$151,$B30,'LLM Coverage'!$D$5:$D$151,"&gt;0")</f>
        <v>0</v>
      </c>
      <c r="F30" s="24">
        <f>SUMPRODUCT(--('Architecture Coverage'!$A$5:$A$34=$A30),--(INDEX('Architecture Coverage'!$E$5:$K$34,0,MATCH($B30,'Architecture Coverage'!$E$4:$K$4,0))&gt;0))</f>
        <v>0</v>
      </c>
      <c r="G30" s="24">
        <f>SUMIFS('All Approaches'!$I$5:$I$25,'All Approaches'!$A$5:$A$25,$A30,'All Approaches'!$B$5:$B$25,$B30)</f>
        <v>0</v>
      </c>
      <c r="H30" s="6"/>
      <c r="I30" s="7"/>
    </row>
    <row r="31" spans="1:9" ht="24" customHeight="1">
      <c r="A31" s="15" t="s">
        <v>63</v>
      </c>
      <c r="B31" s="6" t="s">
        <v>48</v>
      </c>
      <c r="C31" s="24">
        <f>SUMIFS('All Approaches'!$F$5:$F$25,'All Approaches'!$A$5:$A$25,$A31,'All Approaches'!$B$5:$B$25,$B31)</f>
        <v>0</v>
      </c>
      <c r="D31" s="24">
        <f>COUNTIFS('STRIDE Summary'!$A$5:$A$130,$A31,'STRIDE Summary'!$B$5:$B$130,$B31,'STRIDE Summary'!$D$5:$D$130,"&gt;0")</f>
        <v>0</v>
      </c>
      <c r="E31" s="24">
        <f>COUNTIFS('LLM Coverage'!$A$5:$A$151,$A31,'LLM Coverage'!$B$5:$B$151,$B31,'LLM Coverage'!$D$5:$D$151,"&gt;0")</f>
        <v>0</v>
      </c>
      <c r="F31" s="24">
        <f>SUMPRODUCT(--('Architecture Coverage'!$A$5:$A$34=$A31),--(INDEX('Architecture Coverage'!$E$5:$K$34,0,MATCH($B31,'Architecture Coverage'!$E$4:$K$4,0))&gt;0))</f>
        <v>0</v>
      </c>
      <c r="G31" s="24">
        <f>SUMIFS('All Approaches'!$I$5:$I$25,'All Approaches'!$A$5:$A$25,$A31,'All Approaches'!$B$5:$B$25,$B31)</f>
        <v>0</v>
      </c>
      <c r="H31" s="6"/>
      <c r="I31" s="7"/>
    </row>
    <row r="32" spans="1:9" ht="24" customHeight="1">
      <c r="A32" s="15" t="s">
        <v>63</v>
      </c>
      <c r="B32" s="6" t="s">
        <v>51</v>
      </c>
      <c r="C32" s="24">
        <f>SUMIFS('All Approaches'!$F$5:$F$25,'All Approaches'!$A$5:$A$25,$A32,'All Approaches'!$B$5:$B$25,$B32)</f>
        <v>0</v>
      </c>
      <c r="D32" s="24">
        <f>COUNTIFS('STRIDE Summary'!$A$5:$A$130,$A32,'STRIDE Summary'!$B$5:$B$130,$B32,'STRIDE Summary'!$D$5:$D$130,"&gt;0")</f>
        <v>0</v>
      </c>
      <c r="E32" s="24">
        <f>COUNTIFS('LLM Coverage'!$A$5:$A$151,$A32,'LLM Coverage'!$B$5:$B$151,$B32,'LLM Coverage'!$D$5:$D$151,"&gt;0")</f>
        <v>0</v>
      </c>
      <c r="F32" s="24">
        <f>SUMPRODUCT(--('Architecture Coverage'!$A$5:$A$34=$A32),--(INDEX('Architecture Coverage'!$E$5:$K$34,0,MATCH($B32,'Architecture Coverage'!$E$4:$K$4,0))&gt;0))</f>
        <v>0</v>
      </c>
      <c r="G32" s="24">
        <f>SUMIFS('All Approaches'!$I$5:$I$25,'All Approaches'!$A$5:$A$25,$A32,'All Approaches'!$B$5:$B$25,$B32)</f>
        <v>0</v>
      </c>
      <c r="H32" s="6"/>
      <c r="I32" s="7"/>
    </row>
    <row r="33" spans="1:9" ht="24" customHeight="1">
      <c r="A33" s="15" t="s">
        <v>63</v>
      </c>
      <c r="B33" s="6" t="s">
        <v>53</v>
      </c>
      <c r="C33" s="24">
        <f>SUMIFS('All Approaches'!$F$5:$F$25,'All Approaches'!$A$5:$A$25,$A33,'All Approaches'!$B$5:$B$25,$B33)</f>
        <v>0</v>
      </c>
      <c r="D33" s="24">
        <f>COUNTIFS('STRIDE Summary'!$A$5:$A$130,$A33,'STRIDE Summary'!$B$5:$B$130,$B33,'STRIDE Summary'!$D$5:$D$130,"&gt;0")</f>
        <v>0</v>
      </c>
      <c r="E33" s="24">
        <f>COUNTIFS('LLM Coverage'!$A$5:$A$151,$A33,'LLM Coverage'!$B$5:$B$151,$B33,'LLM Coverage'!$D$5:$D$151,"&gt;0")</f>
        <v>0</v>
      </c>
      <c r="F33" s="24">
        <f>SUMPRODUCT(--('Architecture Coverage'!$A$5:$A$34=$A33),--(INDEX('Architecture Coverage'!$E$5:$K$34,0,MATCH($B33,'Architecture Coverage'!$E$4:$K$4,0))&gt;0))</f>
        <v>0</v>
      </c>
      <c r="G33" s="24">
        <f>SUMIFS('All Approaches'!$I$5:$I$25,'All Approaches'!$A$5:$A$25,$A33,'All Approaches'!$B$5:$B$25,$B33)</f>
        <v>0</v>
      </c>
      <c r="H33" s="6"/>
      <c r="I33" s="7"/>
    </row>
    <row r="34" spans="1:9" ht="24" customHeight="1">
      <c r="A34" s="15" t="s">
        <v>63</v>
      </c>
      <c r="B34" s="6" t="s">
        <v>55</v>
      </c>
      <c r="C34" s="24">
        <f>SUMIFS('All Approaches'!$F$5:$F$25,'All Approaches'!$A$5:$A$25,$A34,'All Approaches'!$B$5:$B$25,$B34)</f>
        <v>0</v>
      </c>
      <c r="D34" s="24">
        <f>COUNTIFS('STRIDE Summary'!$A$5:$A$130,$A34,'STRIDE Summary'!$B$5:$B$130,$B34,'STRIDE Summary'!$D$5:$D$130,"&gt;0")</f>
        <v>0</v>
      </c>
      <c r="E34" s="24">
        <f>COUNTIFS('LLM Coverage'!$A$5:$A$151,$A34,'LLM Coverage'!$B$5:$B$151,$B34,'LLM Coverage'!$D$5:$D$151,"&gt;0")</f>
        <v>0</v>
      </c>
      <c r="F34" s="24">
        <f>SUMPRODUCT(--('Architecture Coverage'!$A$5:$A$34=$A34),--(INDEX('Architecture Coverage'!$E$5:$K$34,0,MATCH($B34,'Architecture Coverage'!$E$4:$K$4,0))&gt;0))</f>
        <v>0</v>
      </c>
      <c r="G34" s="24">
        <f>SUMIFS('All Approaches'!$I$5:$I$25,'All Approaches'!$A$5:$A$25,$A34,'All Approaches'!$B$5:$B$25,$B34)</f>
        <v>0</v>
      </c>
      <c r="H34" s="6"/>
      <c r="I34" s="7"/>
    </row>
    <row r="35" spans="1:9" ht="24" customHeight="1">
      <c r="A35" s="15" t="s">
        <v>63</v>
      </c>
      <c r="B35" s="6" t="s">
        <v>56</v>
      </c>
      <c r="C35" s="24">
        <f>SUMIFS('All Approaches'!$F$5:$F$25,'All Approaches'!$A$5:$A$25,$A35,'All Approaches'!$B$5:$B$25,$B35)</f>
        <v>0</v>
      </c>
      <c r="D35" s="24">
        <f>COUNTIFS('STRIDE Summary'!$A$5:$A$130,$A35,'STRIDE Summary'!$B$5:$B$130,$B35,'STRIDE Summary'!$D$5:$D$130,"&gt;0")</f>
        <v>0</v>
      </c>
      <c r="E35" s="24">
        <f>COUNTIFS('LLM Coverage'!$A$5:$A$151,$A35,'LLM Coverage'!$B$5:$B$151,$B35,'LLM Coverage'!$D$5:$D$151,"&gt;0")</f>
        <v>0</v>
      </c>
      <c r="F35" s="24">
        <f>SUMPRODUCT(--('Architecture Coverage'!$A$5:$A$34=$A35),--(INDEX('Architecture Coverage'!$E$5:$K$34,0,MATCH($B35,'Architecture Coverage'!$E$4:$K$4,0))&gt;0))</f>
        <v>0</v>
      </c>
      <c r="G35" s="24">
        <f>SUMIFS('All Approaches'!$I$5:$I$25,'All Approaches'!$A$5:$A$25,$A35,'All Approaches'!$B$5:$B$25,$B35)</f>
        <v>0</v>
      </c>
      <c r="H35" s="6"/>
      <c r="I35" s="7"/>
    </row>
    <row r="36" spans="1:9" ht="24" customHeight="1">
      <c r="A36" s="15" t="s">
        <v>63</v>
      </c>
      <c r="B36" s="6" t="s">
        <v>59</v>
      </c>
      <c r="C36" s="24">
        <f>SUMIFS('All Approaches'!$F$5:$F$25,'All Approaches'!$A$5:$A$25,$A36,'All Approaches'!$B$5:$B$25,$B36)</f>
        <v>0</v>
      </c>
      <c r="D36" s="24">
        <f>COUNTIFS('STRIDE Summary'!$A$5:$A$130,$A36,'STRIDE Summary'!$B$5:$B$130,$B36,'STRIDE Summary'!$D$5:$D$130,"&gt;0")</f>
        <v>0</v>
      </c>
      <c r="E36" s="24">
        <f>COUNTIFS('LLM Coverage'!$A$5:$A$151,$A36,'LLM Coverage'!$B$5:$B$151,$B36,'LLM Coverage'!$D$5:$D$151,"&gt;0")</f>
        <v>0</v>
      </c>
      <c r="F36" s="24">
        <f>SUMPRODUCT(--('Architecture Coverage'!$A$5:$A$34=$A36),--(INDEX('Architecture Coverage'!$E$5:$K$34,0,MATCH($B36,'Architecture Coverage'!$E$4:$K$4,0))&gt;0))</f>
        <v>0</v>
      </c>
      <c r="G36" s="24">
        <f>SUMIFS('All Approaches'!$I$5:$I$25,'All Approaches'!$A$5:$A$25,$A36,'All Approaches'!$B$5:$B$25,$B36)</f>
        <v>0</v>
      </c>
      <c r="H36" s="6"/>
      <c r="I36" s="7"/>
    </row>
    <row r="37" spans="1:9" ht="24" customHeight="1">
      <c r="A37" s="16" t="s">
        <v>63</v>
      </c>
      <c r="B37" s="8" t="s">
        <v>61</v>
      </c>
      <c r="C37" s="25">
        <f>SUMIFS('All Approaches'!$F$5:$F$25,'All Approaches'!$A$5:$A$25,$A37,'All Approaches'!$B$5:$B$25,$B37)</f>
        <v>0</v>
      </c>
      <c r="D37" s="25">
        <f>COUNTIFS('STRIDE Summary'!$A$5:$A$130,$A37,'STRIDE Summary'!$B$5:$B$130,$B37,'STRIDE Summary'!$D$5:$D$130,"&gt;0")</f>
        <v>0</v>
      </c>
      <c r="E37" s="25">
        <f>COUNTIFS('LLM Coverage'!$A$5:$A$151,$A37,'LLM Coverage'!$B$5:$B$151,$B37,'LLM Coverage'!$D$5:$D$151,"&gt;0")</f>
        <v>0</v>
      </c>
      <c r="F37" s="25">
        <f>SUMPRODUCT(--('Architecture Coverage'!$A$5:$A$34=$A37),--(INDEX('Architecture Coverage'!$E$5:$K$34,0,MATCH($B37,'Architecture Coverage'!$E$4:$K$4,0))&gt;0))</f>
        <v>0</v>
      </c>
      <c r="G37" s="25">
        <f>SUMIFS('All Approaches'!$I$5:$I$25,'All Approaches'!$A$5:$A$25,$A37,'All Approaches'!$B$5:$B$25,$B37)</f>
        <v>0</v>
      </c>
      <c r="H37" s="8"/>
      <c r="I37" s="9"/>
    </row>
    <row r="38" spans="1:9">
      <c r="A38" s="31"/>
      <c r="B38" s="31"/>
      <c r="C38" s="31"/>
      <c r="D38" s="31"/>
      <c r="E38" s="31"/>
      <c r="F38" s="31"/>
      <c r="G38" s="31"/>
      <c r="H38" s="31"/>
      <c r="I38" s="31"/>
    </row>
    <row r="39" spans="1:9">
      <c r="A39" s="31"/>
      <c r="B39" s="31"/>
      <c r="C39" s="31"/>
      <c r="D39" s="31"/>
      <c r="E39" s="31"/>
      <c r="F39" s="31"/>
      <c r="G39" s="31"/>
      <c r="H39" s="31"/>
      <c r="I39" s="31"/>
    </row>
    <row r="40" spans="1:9">
      <c r="A40" s="48" t="s">
        <v>218</v>
      </c>
      <c r="B40" s="48"/>
      <c r="C40" s="48"/>
      <c r="D40" s="48"/>
      <c r="E40" s="48"/>
      <c r="F40" s="48"/>
      <c r="G40" s="48"/>
      <c r="H40" s="48"/>
      <c r="I40" s="48"/>
    </row>
    <row r="41" spans="1:9" ht="16">
      <c r="A41" s="1" t="s">
        <v>219</v>
      </c>
      <c r="B41" s="37" t="s">
        <v>220</v>
      </c>
      <c r="C41" s="37"/>
      <c r="D41" s="37"/>
      <c r="E41" s="37"/>
      <c r="F41" s="37"/>
      <c r="G41" s="37"/>
      <c r="H41" s="37"/>
      <c r="I41" s="38"/>
    </row>
    <row r="42" spans="1:9" ht="16">
      <c r="A42" s="2" t="s">
        <v>221</v>
      </c>
      <c r="B42" s="39" t="s">
        <v>222</v>
      </c>
      <c r="C42" s="39"/>
      <c r="D42" s="39"/>
      <c r="E42" s="39"/>
      <c r="F42" s="39"/>
      <c r="G42" s="39"/>
      <c r="H42" s="39"/>
      <c r="I42" s="40"/>
    </row>
    <row r="43" spans="1:9" ht="32">
      <c r="A43" s="2" t="s">
        <v>223</v>
      </c>
      <c r="B43" s="39" t="s">
        <v>224</v>
      </c>
      <c r="C43" s="39"/>
      <c r="D43" s="39"/>
      <c r="E43" s="39"/>
      <c r="F43" s="39"/>
      <c r="G43" s="39"/>
      <c r="H43" s="39"/>
      <c r="I43" s="40"/>
    </row>
    <row r="44" spans="1:9" ht="32">
      <c r="A44" s="2" t="s">
        <v>225</v>
      </c>
      <c r="B44" s="39" t="s">
        <v>226</v>
      </c>
      <c r="C44" s="39"/>
      <c r="D44" s="39"/>
      <c r="E44" s="39"/>
      <c r="F44" s="39"/>
      <c r="G44" s="39"/>
      <c r="H44" s="39"/>
      <c r="I44" s="40"/>
    </row>
    <row r="45" spans="1:9" ht="16">
      <c r="A45" s="3" t="s">
        <v>227</v>
      </c>
      <c r="B45" s="41" t="s">
        <v>228</v>
      </c>
      <c r="C45" s="41"/>
      <c r="D45" s="41"/>
      <c r="E45" s="41"/>
      <c r="F45" s="41"/>
      <c r="G45" s="41"/>
      <c r="H45" s="41"/>
      <c r="I45" s="42"/>
    </row>
  </sheetData>
  <mergeCells count="10">
    <mergeCell ref="B41:I41"/>
    <mergeCell ref="B42:I42"/>
    <mergeCell ref="B43:I43"/>
    <mergeCell ref="B44:I44"/>
    <mergeCell ref="B45:I45"/>
    <mergeCell ref="A1:I1"/>
    <mergeCell ref="A2:I2"/>
    <mergeCell ref="A4:I4"/>
    <mergeCell ref="A15:I15"/>
    <mergeCell ref="A40:I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 &amp; Method</vt:lpstr>
      <vt:lpstr>Experiment Metadata</vt:lpstr>
      <vt:lpstr>Lists &amp; Codebook</vt:lpstr>
      <vt:lpstr>Scenario 1 Raw</vt:lpstr>
      <vt:lpstr>Scenario 2 Raw</vt:lpstr>
      <vt:lpstr>Scenario 3 Raw</vt:lpstr>
      <vt:lpstr>All Approaches</vt:lpstr>
      <vt:lpstr>STRIDE Summary</vt:lpstr>
      <vt:lpstr>LLM Coverage</vt:lpstr>
      <vt:lpstr>Architecture Coverage</vt:lpstr>
      <vt:lpstr>Cross-Scenario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Ananth Chowdary Ramineni</cp:lastModifiedBy>
  <dcterms:modified xsi:type="dcterms:W3CDTF">2026-08-23T10:51:08Z</dcterms:modified>
</cp:coreProperties>
</file>